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Trang bìa" sheetId="1" state="visible" r:id="rId3"/>
    <sheet name="Hướng dẫn" sheetId="2" state="visible" r:id="rId4"/>
    <sheet name="Investment" sheetId="3" state="hidden" r:id="rId5"/>
    <sheet name="Income Statement" sheetId="4" state="visible" r:id="rId6"/>
    <sheet name="Balance Sheet" sheetId="5" state="visible" r:id="rId7"/>
    <sheet name="Cash Flow Statement" sheetId="6" state="visible" r:id="rId8"/>
    <sheet name="Discount rate" sheetId="7" state="visible" r:id="rId9"/>
    <sheet name="Assumption" sheetId="8" state="visible" r:id="rId10"/>
    <sheet name="Drivers" sheetId="9" state="visible" r:id="rId11"/>
    <sheet name="Pro Forma" sheetId="10" state="visible" r:id="rId12"/>
    <sheet name="DCF" sheetId="11" state="visible" r:id="rId13"/>
    <sheet name="VCM" sheetId="12" state="visible" r:id="rId14"/>
    <sheet name="Multiples" sheetId="13" state="visible" r:id="rId15"/>
    <sheet name="Summary" sheetId="14" state="visible" r:id="rId16"/>
    <sheet name="Sensitivity" sheetId="15" state="visible" r:id="rId17"/>
    <sheet name="Checks" sheetId="16" state="visible" r:id="rId18"/>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<sst xmlns="http://schemas.openxmlformats.org/spreadsheetml/2006/main" count="1027" uniqueCount="808">
  <si>
    <t xml:space="preserve">Công ty Cổ phần AgriPack</t>
  </si>
  <si>
    <t xml:space="preserve">Mô tả</t>
  </si>
  <si>
    <t xml:space="preserve">Mã màu</t>
  </si>
  <si>
    <t xml:space="preserve">Mã cổ phiếu</t>
  </si>
  <si>
    <t xml:space="preserve">Công ty Cổ phần AgriPack (chưa niêm yết, chưa có mã cổ phiếu)</t>
  </si>
  <si>
    <t xml:space="preserve">Aaa</t>
  </si>
  <si>
    <t xml:space="preserve">Giả định (ô nhập liệu)</t>
  </si>
  <si>
    <t xml:space="preserve">Sàn niêm yết</t>
  </si>
  <si>
    <t xml:space="preserve">Chưa niêm yết – định giá cổ phần cho vòng gọi vốn Series A</t>
  </si>
  <si>
    <t xml:space="preserve">Dữ liệu lịch sử</t>
  </si>
  <si>
    <t xml:space="preserve">Ngày update</t>
  </si>
  <si>
    <t xml:space="preserve">Công thức</t>
  </si>
  <si>
    <t xml:space="preserve">Miêu tả ngắn gọn</t>
  </si>
  <si>
    <t xml:space="preserve">Mô hình định giá cổ phần trước vòng gọi vốn bằng DCF, VC Method và Multiples.</t>
  </si>
  <si>
    <t xml:space="preserve">Link đến các trang khác</t>
  </si>
  <si>
    <t xml:space="preserve">Thông tin doanh nghiệp</t>
  </si>
  <si>
    <t xml:space="preserve">Note (ghi chú, nguồn, lý do)</t>
  </si>
  <si>
    <t xml:space="preserve">Thông tin về mô hình</t>
  </si>
  <si>
    <t xml:space="preserve">Cấu trúc các Tab</t>
  </si>
  <si>
    <t xml:space="preserve">Tiền tệ</t>
  </si>
  <si>
    <t xml:space="preserve">VND</t>
  </si>
  <si>
    <t xml:space="preserve">Trang bìa</t>
  </si>
  <si>
    <t xml:space="preserve">Thông tin chung, mã màu, cấu trúc file và thông tin mô hình</t>
  </si>
  <si>
    <t xml:space="preserve">Đơn vị</t>
  </si>
  <si>
    <t xml:space="preserve">Nghìn đồng; tỷ đồng ở Multiples, Summary, Sensitivity, Chart_Data</t>
  </si>
  <si>
    <t xml:space="preserve">Hướng dẫn</t>
  </si>
  <si>
    <t xml:space="preserve">Hướng dẫn của file mẫu (giảng viên)</t>
  </si>
  <si>
    <t xml:space="preserve">Thời điểm định giá</t>
  </si>
  <si>
    <t xml:space="preserve">01/10/2026 (BCTC đến 31/12/2025)</t>
  </si>
  <si>
    <t xml:space="preserve">Investment</t>
  </si>
  <si>
    <t xml:space="preserve">Kế hoạch đầu tư tài sản của file mẫu</t>
  </si>
  <si>
    <t xml:space="preserve">Rf (TPCP 10 năm, 01/10/2026)</t>
  </si>
  <si>
    <t xml:space="preserve">Income Statement</t>
  </si>
  <si>
    <t xml:space="preserve">Báo cáo kết quả kinh doanh 2023A–2030E (theo chức năng, VAS)</t>
  </si>
  <si>
    <t xml:space="preserve">WACC</t>
  </si>
  <si>
    <t xml:space="preserve">Balance Sheet</t>
  </si>
  <si>
    <t xml:space="preserve">Bảng cân đối kế toán 2023A–2030E</t>
  </si>
  <si>
    <t xml:space="preserve">Pre-money khuyến nghị (tỷ đồng)</t>
  </si>
  <si>
    <t xml:space="preserve">Cash Flow Statement</t>
  </si>
  <si>
    <t xml:space="preserve">Báo cáo lưu chuyển tiền tệ 2023A–2030E</t>
  </si>
  <si>
    <t xml:space="preserve">Discount rate</t>
  </si>
  <si>
    <t xml:space="preserve">Chi phí vốn: Rf, ERP, CRP, beta, Ke, Kd và WACC</t>
  </si>
  <si>
    <t xml:space="preserve">Assumption</t>
  </si>
  <si>
    <t xml:space="preserve">Tỷ lệ giả định tổng hợp 2026E–2030E, g và RONIC</t>
  </si>
  <si>
    <t xml:space="preserve">Drivers</t>
  </si>
  <si>
    <t xml:space="preserve">Động lực dự phóng: sản lượng × giá, chi phí, CAPEX, VLĐ, vay, thuế, kịch bản</t>
  </si>
  <si>
    <t xml:space="preserve">Pro Forma</t>
  </si>
  <si>
    <t xml:space="preserve">KQKD dự phóng, CAPEX, vốn lưu động và nhu cầu vốn</t>
  </si>
  <si>
    <t xml:space="preserve">DCF</t>
  </si>
  <si>
    <t xml:space="preserve">Định giá chiết khấu dòng tiền tự do (FCFF)</t>
  </si>
  <si>
    <t xml:space="preserve">VCM</t>
  </si>
  <si>
    <t xml:space="preserve">Định giá theo VC Method (thoái vốn 2030, tỷ lệ thất bại 40%)</t>
  </si>
  <si>
    <t xml:space="preserve">Multiples</t>
  </si>
  <si>
    <t xml:space="preserve">Định giá theo bội số so sánh EV/EBITDA và P/E</t>
  </si>
  <si>
    <t xml:space="preserve">Summary</t>
  </si>
  <si>
    <t xml:space="preserve">Tổng hợp định giá, khoảng giá trị, kịch bản và độ nhạy theo nhân tố</t>
  </si>
  <si>
    <t xml:space="preserve">Sensitivity</t>
  </si>
  <si>
    <t xml:space="preserve">Bảng độ nhạy DCF và VC Method</t>
  </si>
  <si>
    <t xml:space="preserve">Checks</t>
  </si>
  <si>
    <t xml:space="preserve">Kiểm tra cân đối và liên kết giữa các sheet</t>
  </si>
  <si>
    <t xml:space="preserve">Three Statement Model</t>
  </si>
  <si>
    <t xml:space="preserve">Năm hiện tại</t>
  </si>
  <si>
    <t xml:space="preserve">LƯU Ý</t>
  </si>
  <si>
    <t xml:space="preserve">Model Legend</t>
  </si>
  <si>
    <t xml:space="preserve">Ô nhập liệu</t>
  </si>
  <si>
    <t xml:space="preserve">ABC</t>
  </si>
  <si>
    <t xml:space="preserve">Chỉ nhập dữ liệu vào những ô màu vàng này</t>
  </si>
  <si>
    <t xml:space="preserve">Tất cả các ô khác đã được nhập sẵn hàm hoặc là ô chứa dữ liệu cho trước. KHÔNG thay đổi những ô này!</t>
  </si>
  <si>
    <t xml:space="preserve">Các khoản đầu tư dự kiến 5 năm</t>
  </si>
  <si>
    <t xml:space="preserve">Đơn giá
(nghìn đồng)</t>
  </si>
  <si>
    <t xml:space="preserve">Số lượng</t>
  </si>
  <si>
    <t xml:space="preserve">Thành tiền</t>
  </si>
  <si>
    <t xml:space="preserve">Tháng</t>
  </si>
  <si>
    <t xml:space="preserve">Năm</t>
  </si>
  <si>
    <t xml:space="preserve">Thời gian sử dụng</t>
  </si>
  <si>
    <t xml:space="preserve">Giá trị còn lại </t>
  </si>
  <si>
    <t xml:space="preserve">Nhà máy sản xuất</t>
  </si>
  <si>
    <t xml:space="preserve">Thiết bị sản xuất</t>
  </si>
  <si>
    <t xml:space="preserve">Xe tải chở hàng</t>
  </si>
  <si>
    <t xml:space="preserve">Kho hàng</t>
  </si>
  <si>
    <t xml:space="preserve">Đầu tư mạnh tăng trưởng mở rộng KD</t>
  </si>
  <si>
    <t xml:space="preserve">CAPEX/Revenue = 60%</t>
  </si>
  <si>
    <t xml:space="preserve">Nâng cấp văn phòng</t>
  </si>
  <si>
    <t xml:space="preserve">Đơn vị: Nghìn đồng</t>
  </si>
  <si>
    <t xml:space="preserve">Ngoài kỳ dự phóng 5 năm – không sử dụng</t>
  </si>
  <si>
    <t xml:space="preserve">Doanh thu bán hàng</t>
  </si>
  <si>
    <t xml:space="preserve">Doanh thu 1</t>
  </si>
  <si>
    <t xml:space="preserve">Doanh thu 2</t>
  </si>
  <si>
    <t xml:space="preserve">Doanh thu 3</t>
  </si>
  <si>
    <t xml:space="preserve">Doanh thu 4</t>
  </si>
  <si>
    <t xml:space="preserve">(-) Khoản giảm trừ </t>
  </si>
  <si>
    <t xml:space="preserve">Doanh thu thuần</t>
  </si>
  <si>
    <t xml:space="preserve">Giá vốn hàng bán</t>
  </si>
  <si>
    <t xml:space="preserve">Chi phí biến đổi</t>
  </si>
  <si>
    <t xml:space="preserve">Chi phí cố định</t>
  </si>
  <si>
    <t xml:space="preserve">Tiền lương bộ phận sản xuất (70% quỹ lương)</t>
  </si>
  <si>
    <t xml:space="preserve">Khấu hao TSCĐ sản xuất (90% khấu hao)</t>
  </si>
  <si>
    <t xml:space="preserve">Tổng Giá vốn hàng bán</t>
  </si>
  <si>
    <t xml:space="preserve">Lợi nhuận gộp</t>
  </si>
  <si>
    <t xml:space="preserve">Biên lợi nhuận gộp</t>
  </si>
  <si>
    <t xml:space="preserve">Chi phí</t>
  </si>
  <si>
    <t xml:space="preserve">Chi phí Bán hàng và quản lý doanh nghiệp</t>
  </si>
  <si>
    <t xml:space="preserve">Tiền lương bộ phận bán hàng &amp; quản lý (30% quỹ lương)</t>
  </si>
  <si>
    <t xml:space="preserve">Thuê mặt bằng</t>
  </si>
  <si>
    <t xml:space="preserve">Khấu hao TSCĐ bộ phận bán hàng &amp; quản lý (10% khấu hao)</t>
  </si>
  <si>
    <t xml:space="preserve">Sửa chữa, bảo dưỡng</t>
  </si>
  <si>
    <t xml:space="preserve">Furniture &amp; Fixtures</t>
  </si>
  <si>
    <t xml:space="preserve">Chi phí dịch vụ chung (điện, nước...)</t>
  </si>
  <si>
    <t xml:space="preserve">Internet &amp; Communications </t>
  </si>
  <si>
    <t xml:space="preserve">Infrastructure Services</t>
  </si>
  <si>
    <t xml:space="preserve">Software</t>
  </si>
  <si>
    <t xml:space="preserve">Bank Service Charges</t>
  </si>
  <si>
    <t xml:space="preserve">Business Licenses and Permits</t>
  </si>
  <si>
    <t xml:space="preserve">Conferences, Dues, and Subscriptions</t>
  </si>
  <si>
    <t xml:space="preserve">Văn phòng phẩm</t>
  </si>
  <si>
    <t xml:space="preserve">Gifts</t>
  </si>
  <si>
    <t xml:space="preserve">Printing , Postage and Delivery</t>
  </si>
  <si>
    <t xml:space="preserve">Miscellaneous</t>
  </si>
  <si>
    <t xml:space="preserve">Recruiting Expense</t>
  </si>
  <si>
    <t xml:space="preserve">Hỗ trợ tiền ăn cho CNV</t>
  </si>
  <si>
    <t xml:space="preserve">Equipment Rental</t>
  </si>
  <si>
    <t xml:space="preserve">Other Tech Expense</t>
  </si>
  <si>
    <t xml:space="preserve">Professional Services (dùng cho: Kiểm nghiệm, chứng nhận &amp; R&amp;D vật liệu)</t>
  </si>
  <si>
    <t xml:space="preserve">Accounting Fees</t>
  </si>
  <si>
    <t xml:space="preserve">Legal Fees</t>
  </si>
  <si>
    <t xml:space="preserve">Consultant Fees</t>
  </si>
  <si>
    <t xml:space="preserve">Other Professional Services</t>
  </si>
  <si>
    <t xml:space="preserve">Marketing </t>
  </si>
  <si>
    <t xml:space="preserve">Public Relations</t>
  </si>
  <si>
    <t xml:space="preserve">Tổng Chi phí bán hàng và quản lý doanh nghiệp</t>
  </si>
  <si>
    <t xml:space="preserve">Tiền lương</t>
  </si>
  <si>
    <t xml:space="preserve">Tổng quỹ tiền lương (trước phân bổ)</t>
  </si>
  <si>
    <t xml:space="preserve">(−) Phân bổ vào giá vốn hàng bán (70%)</t>
  </si>
  <si>
    <t xml:space="preserve">(−) Phân bổ vào chi phí bán hàng &amp; QLDN (30%)</t>
  </si>
  <si>
    <t xml:space="preserve">Payroll Processing Fees</t>
  </si>
  <si>
    <t xml:space="preserve">Bonuses</t>
  </si>
  <si>
    <t xml:space="preserve">Commissions</t>
  </si>
  <si>
    <t xml:space="preserve">Tiền lương chưa phân bổ (= 0)</t>
  </si>
  <si>
    <t xml:space="preserve">Tổng chi phí bán hàng &amp; QLDN (theo chức năng)</t>
  </si>
  <si>
    <t xml:space="preserve">Lợi nhuận thuần từ HĐKD trước lãi vay (EBIT)</t>
  </si>
  <si>
    <t xml:space="preserve">Thu/chi khác</t>
  </si>
  <si>
    <t xml:space="preserve">Interest Income</t>
  </si>
  <si>
    <t xml:space="preserve">Other Income</t>
  </si>
  <si>
    <t xml:space="preserve">Chi phí tài chính</t>
  </si>
  <si>
    <t xml:space="preserve">Bad Debt Expense</t>
  </si>
  <si>
    <t xml:space="preserve">Khấu hao (ghi nhớ – đã phân bổ 90% vào GVHB, 10% vào CPBH &amp; QLDN)</t>
  </si>
  <si>
    <t xml:space="preserve">Amortization</t>
  </si>
  <si>
    <t xml:space="preserve">Tổng chi phí tài chính (khấu hao đã nằm trong GVHB và CPBH &amp; QLDN)</t>
  </si>
  <si>
    <t xml:space="preserve">Lợi nhuận trước thuế</t>
  </si>
  <si>
    <t xml:space="preserve">Thuế</t>
  </si>
  <si>
    <t xml:space="preserve">Thuế thu nhập doanh nghiệp</t>
  </si>
  <si>
    <t xml:space="preserve">Lợi nhuận sau thuế</t>
  </si>
  <si>
    <t xml:space="preserve">EBITDA = EBIT + khấu hao</t>
  </si>
  <si>
    <t xml:space="preserve">Biên EBITDA</t>
  </si>
  <si>
    <t xml:space="preserve">Ngoài kỳ dự phóng – không sử dụng</t>
  </si>
  <si>
    <t xml:space="preserve">Tài sản ngắn hạn</t>
  </si>
  <si>
    <t xml:space="preserve">01/01/2023 (đầu kỳ)</t>
  </si>
  <si>
    <t xml:space="preserve">31/12/2023</t>
  </si>
  <si>
    <t xml:space="preserve">Tiền và các khoản tương đương tiền</t>
  </si>
  <si>
    <t xml:space="preserve">Tiền mặt</t>
  </si>
  <si>
    <t xml:space="preserve">Tổng tiền mặt</t>
  </si>
  <si>
    <t xml:space="preserve">Hàng tồn kho</t>
  </si>
  <si>
    <t xml:space="preserve">Tổng hàng tồn kho</t>
  </si>
  <si>
    <t xml:space="preserve">Khoản phải thu</t>
  </si>
  <si>
    <t xml:space="preserve">Phải thu khách hàng</t>
  </si>
  <si>
    <t xml:space="preserve">Tổng khoản phải thu</t>
  </si>
  <si>
    <t xml:space="preserve">Tài sản ngắn hạn khác</t>
  </si>
  <si>
    <t xml:space="preserve">Other Receivable</t>
  </si>
  <si>
    <t xml:space="preserve">Chi phí trả trước</t>
  </si>
  <si>
    <t xml:space="preserve">Prepaid Insurance</t>
  </si>
  <si>
    <t xml:space="preserve">-</t>
  </si>
  <si>
    <t xml:space="preserve">Unbilled Revenue</t>
  </si>
  <si>
    <t xml:space="preserve">Tổng tài sản ngắn hạn khác</t>
  </si>
  <si>
    <t xml:space="preserve">Tổng tài sản ngắn hạn</t>
  </si>
  <si>
    <t xml:space="preserve">Tài sản dài hạn</t>
  </si>
  <si>
    <t xml:space="preserve">Khấu khao</t>
  </si>
  <si>
    <t xml:space="preserve">Khấu hao lũy kế</t>
  </si>
  <si>
    <t xml:space="preserve">Accumulated Amortization</t>
  </si>
  <si>
    <t xml:space="preserve">Tài sản cố định vô hình</t>
  </si>
  <si>
    <t xml:space="preserve">Thiết bị, nhà xưởng</t>
  </si>
  <si>
    <t xml:space="preserve">Văn phòng</t>
  </si>
  <si>
    <t xml:space="preserve">Tổng tài sản dài hạn</t>
  </si>
  <si>
    <t xml:space="preserve">Tổng tài sản</t>
  </si>
  <si>
    <t xml:space="preserve">Nợ phải trả và Vốn chủ sở hữu</t>
  </si>
  <si>
    <t xml:space="preserve">Nợ ngắn hạn</t>
  </si>
  <si>
    <t xml:space="preserve">Khoản phải trả</t>
  </si>
  <si>
    <t xml:space="preserve">Phải trả người bán</t>
  </si>
  <si>
    <t xml:space="preserve">Tổng khoản khải trả</t>
  </si>
  <si>
    <t xml:space="preserve">Credit Cards</t>
  </si>
  <si>
    <t xml:space="preserve">Credit Card 1</t>
  </si>
  <si>
    <t xml:space="preserve">Credit Card 2</t>
  </si>
  <si>
    <t xml:space="preserve">Total Credit Cards Payable</t>
  </si>
  <si>
    <t xml:space="preserve">Nợ vay ngắn hạn</t>
  </si>
  <si>
    <t xml:space="preserve">Khoản vay 1</t>
  </si>
  <si>
    <t xml:space="preserve">Tổng nợ vay ngắn hạn</t>
  </si>
  <si>
    <t xml:space="preserve">Deferred Income/Advances from Customers</t>
  </si>
  <si>
    <t xml:space="preserve">Deferred Income - current</t>
  </si>
  <si>
    <t xml:space="preserve">Total Deferred Income</t>
  </si>
  <si>
    <t xml:space="preserve">Nợ phải trả ngắn hạn khác</t>
  </si>
  <si>
    <t xml:space="preserve">Accrued Expenses</t>
  </si>
  <si>
    <t xml:space="preserve">Accrued Income Taxes</t>
  </si>
  <si>
    <t xml:space="preserve">Tổng nợ phải trả ngắn hạn khác</t>
  </si>
  <si>
    <t xml:space="preserve">Tổng nợ ngắn hạn</t>
  </si>
  <si>
    <t xml:space="preserve">Nợ dài hạn</t>
  </si>
  <si>
    <t xml:space="preserve">Nợ vay dài hạn</t>
  </si>
  <si>
    <t xml:space="preserve">Deferred Income Taxes</t>
  </si>
  <si>
    <t xml:space="preserve">Nợ dài hạn khác</t>
  </si>
  <si>
    <t xml:space="preserve">Tổng nợ dài hạn</t>
  </si>
  <si>
    <t xml:space="preserve">Tổng nợ phải trả</t>
  </si>
  <si>
    <t xml:space="preserve">Vốn chủ sở hữu</t>
  </si>
  <si>
    <t xml:space="preserve">Paid-in Capital</t>
  </si>
  <si>
    <t xml:space="preserve">Vốn cổ phần</t>
  </si>
  <si>
    <t xml:space="preserve">Preferred Stock</t>
  </si>
  <si>
    <t xml:space="preserve">Vốn cổ phần tăng thêm</t>
  </si>
  <si>
    <t xml:space="preserve">Capital Raising Round B</t>
  </si>
  <si>
    <t xml:space="preserve">Capital Raising Round C</t>
  </si>
  <si>
    <t xml:space="preserve">Lợi nhuận giữ lại</t>
  </si>
  <si>
    <t xml:space="preserve">Tổng vốn chủ sở hữu</t>
  </si>
  <si>
    <t xml:space="preserve">Tổng nguồn vốn</t>
  </si>
  <si>
    <t xml:space="preserve">Statement of Cash Flows</t>
  </si>
  <si>
    <t xml:space="preserve">Hoạt động kinh doanh</t>
  </si>
  <si>
    <t xml:space="preserve">Khấu hao</t>
  </si>
  <si>
    <t xml:space="preserve">Biến động Tài sản ngắn hạn</t>
  </si>
  <si>
    <t xml:space="preserve">Biến động Nợ ngắn hạn</t>
  </si>
  <si>
    <t xml:space="preserve">Nợ ngắn hạn khác</t>
  </si>
  <si>
    <t xml:space="preserve">Lưu chuyển tiền thuần từ hoạt động kinh doanh</t>
  </si>
  <si>
    <t xml:space="preserve">Đầu tư</t>
  </si>
  <si>
    <t xml:space="preserve">Biến động Tài sản cố định</t>
  </si>
  <si>
    <t xml:space="preserve">Lưu chuyển tiền thuần từ hoạt động đầu tư</t>
  </si>
  <si>
    <t xml:space="preserve">Tài chính</t>
  </si>
  <si>
    <t xml:space="preserve">Nhận vốn góp cổ phần</t>
  </si>
  <si>
    <t xml:space="preserve">Vay (trả) nợ dài hạn</t>
  </si>
  <si>
    <t xml:space="preserve">Lưu chuyển tiền thuần từ hoạt động tài chính</t>
  </si>
  <si>
    <t xml:space="preserve">Số dư tiền mặt đầu kỳ</t>
  </si>
  <si>
    <t xml:space="preserve">Biến động tiền mặt trong kỳ</t>
  </si>
  <si>
    <t xml:space="preserve">Số dư tiền mặt cuối kỳ</t>
  </si>
  <si>
    <t xml:space="preserve">Discount rate calculation</t>
  </si>
  <si>
    <t xml:space="preserve">Beta</t>
  </si>
  <si>
    <t xml:space="preserve">Chi phí vốn CSH</t>
  </si>
  <si>
    <t xml:space="preserve">Risk-free rate</t>
  </si>
  <si>
    <t xml:space="preserve">Chi phí vốn nợ (sau thuế)</t>
  </si>
  <si>
    <t xml:space="preserve">Market return</t>
  </si>
  <si>
    <t xml:space="preserve">Vốn CSH</t>
  </si>
  <si>
    <t xml:space="preserve">Total</t>
  </si>
  <si>
    <t xml:space="preserve">CƠ SỞ TÍNH CHI PHÍ VỐN </t>
  </si>
  <si>
    <t xml:space="preserve">Nguồn / lý do </t>
  </si>
  <si>
    <t xml:space="preserve">Lợi suất phi rủi ro Rf </t>
  </si>
  <si>
    <t xml:space="preserve">Nguồn: lợi suất TPCP Việt Nam kỳ hạn 10 năm ngày 01/10/2026 = 4,588% 
https://vn.investing.com/rates-bonds/vietnam-10-year-bond-yield-historical-data</t>
  </si>
  <si>
    <t xml:space="preserve">ERP thị trường phát triển</t>
  </si>
  <si>
    <t xml:space="preserve">Nguồn: Damodaran (01/2026) – ERP thị trường trưởng thành 4,23% 
https://pages.stern.nyu.edu/~adamodar/New_Home_Page/datafile/ctryprem.html</t>
  </si>
  <si>
    <t xml:space="preserve">Lãi suất vay trước thuế (Kd)</t>
  </si>
  <si>
    <t xml:space="preserve">Lý do: lãi suất cho vay VND 8,1–10,5%/năm (6/2026); DN nhỏ vay ở nửa trên khung → 10%. Nguồn: NHNN (2026), Mục 3.1.3.</t>
  </si>
  <si>
    <t xml:space="preserve">Phần bù rủi ro quốc gia Việt Nam (CRP)</t>
  </si>
  <si>
    <t xml:space="preserve">ƯỚC TÍNH: Moody's Ba2 (triển vọng tích cực từ 5/2026); chênh lệch vỡ nợ Ba2 ~2,9% × hệ số biến động cổ phiếu/trái phiếu ~1,35 (phương pháp Damodaran). Nguồn: Moody's (2026); Damodaran (2026).
https://pages.stern.nyu.edu/~adamodar/New_Home_Page/datafile/ctryprem.html</t>
  </si>
  <si>
    <t xml:space="preserve">ERP Việt Nam = ERP phát triển + CRP</t>
  </si>
  <si>
    <t xml:space="preserve">Beta không đòn bẩy ngành bao bì (βu)</t>
  </si>
  <si>
    <t xml:space="preserve">Nguồn: Damodaran (01/2026) – beta không đòn bẩy ngành Packaging &amp; Container 0,78
https://pages.stern.nyu.edu/~adamodar/New_Home_Page/datafile/Betas.html</t>
  </si>
  <si>
    <t xml:space="preserve">D/E mục tiêu (BCĐKT dự phóng 2028, sau huy động)</t>
  </si>
  <si>
    <t xml:space="preserve">Công thức: D/E theo BCĐKT dự phóng cuối 2028 – năm đầu tư lớn (sau huy động vốn cổ phần và khoản vay trung hạn).</t>
  </si>
  <si>
    <t xml:space="preserve">Thuế suất</t>
  </si>
  <si>
    <t xml:space="preserve">Nguồn: Luật Thuế TNDN 67/2025/QH15 (20%).</t>
  </si>
  <si>
    <t xml:space="preserve">Beta có đòn bẩy = βu × [1 + (1 − t) × D/E]</t>
  </si>
  <si>
    <t xml:space="preserve">Hệ số tương quan ρ (NĐT VC đa dạng hóa một phần)</t>
  </si>
  <si>
    <t xml:space="preserve">Công thức: beta tổng = beta có đòn bẩy / ρ (B23 = B21/B22), trong đó ρ là hệ số tương quan giữa danh mục của nhà đầu tư VC và thị trường. ρ = 0,7 vì quỹ VC nắm 20–30 khoản đầu tư nên chỉ đa dạng hóa một phần. Nguồn: Damodaran (2009), Valuing Young, Start-up and Growth Companies.</t>
  </si>
  <si>
    <t xml:space="preserve">Beta điều chỉnh cho startup (total beta = β / ρ)</t>
  </si>
  <si>
    <t xml:space="preserve">Lợi suất thị trường kỳ vọng = Rf + ERP Việt Nam</t>
  </si>
  <si>
    <t xml:space="preserve">% Tăng trưởng doanh thu</t>
  </si>
  <si>
    <t xml:space="preserve">GVHB/Doanh thu</t>
  </si>
  <si>
    <t xml:space="preserve">Tổng CP hoạt động/Doanh thu</t>
  </si>
  <si>
    <t xml:space="preserve">CP Tài chính/Doanh thu</t>
  </si>
  <si>
    <t xml:space="preserve">TSNH (ngoài tiền)/Doanh thu</t>
  </si>
  <si>
    <t xml:space="preserve">Nợ ngắn hạn (ngoài vay)/Doanh thu</t>
  </si>
  <si>
    <t xml:space="preserve">Hàng tồn kho/TSNH ngoài tiền</t>
  </si>
  <si>
    <t xml:space="preserve">Khoản phải thu/TSNH ngoài tiền</t>
  </si>
  <si>
    <t xml:space="preserve">Khoản phải trả/Nợ NH ngoài vay</t>
  </si>
  <si>
    <t xml:space="preserve">CAPEX/Doanh thu</t>
  </si>
  <si>
    <t xml:space="preserve">Thuế suất thuế TNDN</t>
  </si>
  <si>
    <t xml:space="preserve">Nguồn: Luật Thuế TNDN 67/2025/QH15 – thuế suất phổ thông 20% </t>
  </si>
  <si>
    <t xml:space="preserve">Tỷ lệ tăng trưởng vĩnh viễn</t>
  </si>
  <si>
    <t xml:space="preserve">Lý do: tăng trưởng dài hạn danh nghĩa VND 5%: lạm phát mục tiêu ~4–4,5% cộng tăng trưởng thực thấp; thấp hơn GDP danh nghĩa VN (~10–12%) và thấp hơn Rf + tăng trưởng thực. Nguồn: NHNN, Quốc hội (mục tiêu CPI 2026 ~4,5%); Damodaran (2026).
https://congbao.chinhphu.vn/van-ban/nghi-quyet-so-244-2025-qh15-46693.htm</t>
  </si>
  <si>
    <t xml:space="preserve">Tỷ lệ khấu hao</t>
  </si>
  <si>
    <t xml:space="preserve">Tỷ lệ chiết khấu WACC</t>
  </si>
  <si>
    <t xml:space="preserve">Lợi nhuận trên vốn đầu tư mới sau 2030 (RONIC) = ROIC 2030E</t>
  </si>
  <si>
    <t xml:space="preserve">Ghi chú: các tỷ lệ 2026E–2030E là kết quả của mô hình động lực ở sheet Drivers </t>
  </si>
  <si>
    <t xml:space="preserve">GIẢ ĐỊNH CHI TIẾT &amp; MÔ HÌNH ĐỘNG LỰC (DRIVERS) – AgriPack</t>
  </si>
  <si>
    <t xml:space="preserve">Đơn vị: nghìn đồng </t>
  </si>
  <si>
    <t xml:space="preserve">Kịch bản đang chạy (1 = Bear, 2 = Base, 3 = Bull)</t>
  </si>
  <si>
    <t xml:space="preserve">Chỉ tiêu</t>
  </si>
  <si>
    <t xml:space="preserve">Đơn vị / cơ sở</t>
  </si>
  <si>
    <t xml:space="preserve">2023A</t>
  </si>
  <si>
    <t xml:space="preserve">2024A</t>
  </si>
  <si>
    <t xml:space="preserve">2025A</t>
  </si>
  <si>
    <t xml:space="preserve">2026E</t>
  </si>
  <si>
    <t xml:space="preserve">2027E</t>
  </si>
  <si>
    <t xml:space="preserve">2028E</t>
  </si>
  <si>
    <t xml:space="preserve">2029E</t>
  </si>
  <si>
    <t xml:space="preserve">2030E</t>
  </si>
  <si>
    <t xml:space="preserve">Giả định</t>
  </si>
  <si>
    <t xml:space="preserve">năm (dùng cho công thức)</t>
  </si>
  <si>
    <t xml:space="preserve">A. DOANH THU THEO PHÂN KHÚC (Sản lượng × Giá bán)</t>
  </si>
  <si>
    <t xml:space="preserve">A1. Bao bì F&amp;B/FMCG (hộp, khay ép khuôn từ bã mía + vỏ trứng)</t>
  </si>
  <si>
    <t xml:space="preserve">Giá bán bình quân (ASP)</t>
  </si>
  <si>
    <t xml:space="preserve">nghìn đ/sản phẩm</t>
  </si>
  <si>
    <t xml:space="preserve">Lý do: giá 2025 lấy cận dưới khung giá hộp/khay 2.500–4.000đ/cái của nhóm vì doanh thu gồm cả khay nhỏ và đơn hàng sỉ; cao hơn hộp bã mía 500 ml bán lẻ 1.900–2.700đ nhờ ép khuôn theo mẫu. Nguồn: bảng chiến lược giá (Mục 1.2.2), bảng giá hộp 500 ml (Mục 1.1.1)</t>
  </si>
  <si>
    <t xml:space="preserve">Tăng giá bán bình quân</t>
  </si>
  <si>
    <t xml:space="preserve">%/năm</t>
  </si>
  <si>
    <t xml:space="preserve">Lý do: Base +2%/năm, thấp hơn CPI 8T/2026 (+4,45%) vì khách hàng B2B có sức mạnh đàm phán rất cao và bao bì nhựa rẻ hơn nhiều lần (Mục 3.1.2, 3.2.3); Bear +1%, Bull +2,5%. Nguồn: Cục Thống kê (2026); phân tích ngành của nhóm.</t>
  </si>
  <si>
    <t xml:space="preserve">Sản lượng quy đổi</t>
  </si>
  <si>
    <t xml:space="preserve">sản phẩm</t>
  </si>
  <si>
    <t xml:space="preserve">Lịch sử = doanh thu / ASP 2025 (quy đổi, giả định giá không đổi 2023–25 – do BCTC không công bố sản lượng).</t>
  </si>
  <si>
    <t xml:space="preserve">Tăng trưởng sản lượng</t>
  </si>
  <si>
    <t xml:space="preserve">%</t>
  </si>
  <si>
    <t xml:space="preserve">Lý do: sản lượng bị giới hạn bởi công suất: 2026 +32% nhờ máy ép bổ sung (CAPEX 20% DT); 2027 +25% khi khai thác tối đa nhà máy hiện hữu; 2028 +20% vì nhà máy mới đang xây (đầu tư lớn theo đề bài); 2029 +35% khi 2 dây chuyền mới chạy; 2030 +25%. Lịch sử +60% (2024), +58% (2025). Nguồn: BCTC 2023–2025; giả định của nhóm.</t>
  </si>
  <si>
    <t xml:space="preserve">Doanh thu F&amp;B/FMCG</t>
  </si>
  <si>
    <t xml:space="preserve">nghìn đồng</t>
  </si>
  <si>
    <t xml:space="preserve">A2. Thiết kế &amp; sản xuất khuôn theo mẫu</t>
  </si>
  <si>
    <t xml:space="preserve">Giá bình quân/bộ khuôn</t>
  </si>
  <si>
    <t xml:space="preserve">nghìn đ/bộ</t>
  </si>
  <si>
    <t xml:space="preserve">Lý do: ~20 triệu đồng/bộ khuôn, bằng giá tham chiếu khuôn ép bã mía/tre. Nguồn: bảng chiến lược giá (Mục 1.2.2).</t>
  </si>
  <si>
    <t xml:space="preserve">Tăng giá</t>
  </si>
  <si>
    <t xml:space="preserve">Số bộ khuôn bàn giao</t>
  </si>
  <si>
    <t xml:space="preserve">bộ</t>
  </si>
  <si>
    <t xml:space="preserve">Tăng trưởng số bộ khuôn</t>
  </si>
  <si>
    <t xml:space="preserve">Lý do: số bộ khuôn gắn với số SKU/khách hàng mới; chậm lại năm 2028 khi nhà máy mới đang xây, tăng nhanh năm 2029 khi có công suất mới và mở thị trường miền Bắc. Lịch sử +40% (2024), +39,5% (2025). Nguồn: BCTC 2023–2025; giả định của nhóm.</t>
  </si>
  <si>
    <t xml:space="preserve">Doanh thu thiết kế &amp; khuôn</t>
  </si>
  <si>
    <t xml:space="preserve">A3. Đệm bảo vệ nội thất / thương mại điện tử</t>
  </si>
  <si>
    <t xml:space="preserve">Giá bình quân</t>
  </si>
  <si>
    <t xml:space="preserve">nghìn đ/m²</t>
  </si>
  <si>
    <t xml:space="preserve">Lý do: trung điểm khung 15.000–30.000đ/m² của vật liệu đệm định hình (PE foam) mà sản phẩm thay thế. Nguồn: báo giá PE foam định hình trên thị trường (2026); https://mutxophabac.com/xop-dinh-hinh-nha-san-xuat-gia-re/</t>
  </si>
  <si>
    <t xml:space="preserve">Lý do: đệm bảo vệ cạnh tranh trực tiếp với EPE/PE foam giá rẻ (áp lực thay thế cao, Mục 3.2.6) nên chỉ tăng 1,5%/năm (Base); Bear 0,5%, Bull 2%. Nguồn: phân tích ngành của nhóm.</t>
  </si>
  <si>
    <t xml:space="preserve">Diện tích quy đổi</t>
  </si>
  <si>
    <t xml:space="preserve">m²</t>
  </si>
  <si>
    <t xml:space="preserve">Tăng trưởng diện tích</t>
  </si>
  <si>
    <t xml:space="preserve">Lý do: bám theo tăng trưởng TMĐT ~18%/năm và khách hàng nội thất xuất khẩu; năm 2029 +40% nhờ công suất mới. Nguồn: Mục 3.2.2; BCTC 2023–2025.</t>
  </si>
  <si>
    <t xml:space="preserve">Doanh thu nội thất/TMĐT</t>
  </si>
  <si>
    <t xml:space="preserve">A4. Đệm bảo vệ thiết bị, linh kiện điện tử</t>
  </si>
  <si>
    <t xml:space="preserve">Lý do: trung điểm khung 25.000–55.000đ/m² của khay EPE/EPE chống tĩnh điện mà sản phẩm thay thế. Nguồn: báo giá khay EPE trên thị trường (2026)</t>
  </si>
  <si>
    <t xml:space="preserve">Lý do: nền nhỏ (1,2 tỷ đồng năm 2025); thay thế khay EPS/EPE cho khách hàng FDI điện tử khi chuỗi cung ứng xuất khẩu yêu cầu xanh hóa.</t>
  </si>
  <si>
    <t xml:space="preserve">Doanh thu điện tử</t>
  </si>
  <si>
    <t xml:space="preserve">Tổng doanh thu gộp</t>
  </si>
  <si>
    <t xml:space="preserve">Khoản giảm trừ / doanh thu gộp</t>
  </si>
  <si>
    <t xml:space="preserve">Lý do: giữ mức 2025 (0,70% doanh thu gộp), xu hướng giảm từ 0,80% (2023). Nguồn: BCTC 2023–2025 </t>
  </si>
  <si>
    <t xml:space="preserve">Tăng trưởng doanh thu thuần</t>
  </si>
  <si>
    <t xml:space="preserve">Tỷ trọng F&amp;B/FMCG trong doanh thu gộp</t>
  </si>
  <si>
    <t xml:space="preserve">A5. Kiểm tra công suất (vòng quay tài sản) &amp; thị phần ngầm định</t>
  </si>
  <si>
    <t xml:space="preserve">Nguyên giá TSCĐ bình quân</t>
  </si>
  <si>
    <t xml:space="preserve">Vòng quay nguyên giá TSCĐ (DT thuần / NG bình quân)</t>
  </si>
  <si>
    <t xml:space="preserve">lần</t>
  </si>
  <si>
    <t xml:space="preserve">Vòng quay 2025 = 1,66x. Nếu vòng quay dự phóng &lt; 2025 → còn công suất trống (không cần CAPEX lớn tiếp theo); nếu &gt;&gt; 2025 → dự báo vượt công suất.</t>
  </si>
  <si>
    <t xml:space="preserve">Tỷ giá USD/VND bình quân</t>
  </si>
  <si>
    <t xml:space="preserve">VND/USD</t>
  </si>
  <si>
    <t xml:space="preserve">Lý do: dùng để quy đổi doanh thu sang USD khi so với TAM/SAM của IMARC. 2025: 26.000; 2026: 26.300; sau đó VND mất giá 2%/năm. Nguồn: Vietcombank (tỷ giá bán ra); MBS Research dự báo 26.800–27.000 cuối 2026 (Mục 3.1.4).</t>
  </si>
  <si>
    <t xml:space="preserve">Doanh thu F&amp;B/FMCG quy USD</t>
  </si>
  <si>
    <t xml:space="preserve">triệu USD</t>
  </si>
  <si>
    <t xml:space="preserve">SAM: bao bì dùng một lần phân hủy sinh học ngành F&amp;B VN</t>
  </si>
  <si>
    <t xml:space="preserve">Lý do: SAM = bao bì dùng một lần phân hủy sinh học cho ngành dịch vụ ăn uống VN, 33,93 triệu USD (2025), CAGR 4,73%. Nguồn: IMARC Group (2025), Mục 1.2.1.</t>
  </si>
  <si>
    <t xml:space="preserve">Thị phần ngầm định trong SAM</t>
  </si>
  <si>
    <t xml:space="preserve">Nếu thị phần dự phóng vượt 15% SAM, giả định này hơi cao vì quy mô SAM của IMARC hiện khá hẹp, chủ yếu tập trung vào nhóm sản phẩm dùng một lần trong ngành dịch vụ ăn uống. Do đó, để mức tăng trưởng này hợp lý hơn, AgriPack cần mở rộng sang các phân khúc khác như bao bì FMCG, thương mại điện tử, xuất khẩu và các sản phẩm thay thế nhựa dùng một lần trong dài hạn.</t>
  </si>
  <si>
    <t xml:space="preserve">TAM: thị trường bao bì xanh VN</t>
  </si>
  <si>
    <t xml:space="preserve">Lý do: TAM = thị trường bao bì xanh VN 1.129,79 triệu USD (2025), CAGR 4,15% (2026–2034). Nguồn: IMARC Group (2025), Mục 1.2.1.</t>
  </si>
  <si>
    <t xml:space="preserve">Thị phần ngầm định trong TAM (toàn bộ doanh thu)</t>
  </si>
  <si>
    <t xml:space="preserve">B. GIÁ VỐN &amp; CHI PHÍ HOẠT ĐỘNG</t>
  </si>
  <si>
    <t xml:space="preserve">Chi phí biến đổi (NVL, nhân công trực tiếp) / DT thuần</t>
  </si>
  <si>
    <t xml:space="preserve">Lý do: 25,5% → 25,0% → 24,5% (2023–25). Tăng lên 25,0–27,0% vì lạm phát tác động chủ yếu vào chi phí thu gom, vận chuyển, sấy và năng lượng (Mục 3.1.2), bã mía bị cạnh tranh bởi lò hơi nhà máy đường và các nhà sản xuất bao bì sợi trước mốc dừng nhựa dùng một lần 2030; năm đầu chạy nhà máy mới hao hụt cao. Nguồn: BCTC 2023–2025; Cục Thống kê (CPI 8T/2026 +4,45%, nhóm nhà ở-điện-nước +6,71%).</t>
  </si>
  <si>
    <t xml:space="preserve">Chi phí cố định sản xuất</t>
  </si>
  <si>
    <t xml:space="preserve">Tăng chi phí cố định sản xuất (nền)</t>
  </si>
  <si>
    <t xml:space="preserve">Lý do: giữ mức tăng 10%/năm như 2024–2025. Nguồn: BCTC 2023–2025 </t>
  </si>
  <si>
    <t xml:space="preserve">Chi phí cố định tăng thêm của nhà máy mới</t>
  </si>
  <si>
    <t xml:space="preserve">Lý do: bước nhảy chi phí cố định (phòng QC, bảo trì, quản đốc) 0,9 tỷ đồng/năm khi 2 nhà máy mới vận hành. Nguồn: giả định của nhóm.</t>
  </si>
  <si>
    <t xml:space="preserve">Giá vốn theo BCTC gốc (NVL, nhân công theo sản lượng, chi phí cố định SX)</t>
  </si>
  <si>
    <t xml:space="preserve">Theo tính chất, chưa gồm tiền lương và khấu hao. Là cơ sở tính số ngày tồn kho/phải trả (DIO, DPO) như BCTC 2023–2025.</t>
  </si>
  <si>
    <t xml:space="preserve">Chi phí hoạt động    </t>
  </si>
  <si>
    <t xml:space="preserve">Chi phí nhân sự / DT thuần</t>
  </si>
  <si>
    <t xml:space="preserve">Lý do: 36,0% → 24,9% → 22,6% (2023–25). Giảm chậm lại (22,5–23,5%) vì lương tối thiểu vùng tăng 7,2% từ 01/01/2026 và nhà máy mới phải tuyển trước khi đạt công suất. Nguồn: BCTC 2023–2025; Nghị định 293/2025/NĐ-CP.</t>
  </si>
  <si>
    <t xml:space="preserve">Chi phí nhân sự (tiền lương)</t>
  </si>
  <si>
    <t xml:space="preserve">Hỗ trợ tiền ăn / tiền lương</t>
  </si>
  <si>
    <t xml:space="preserve">Lý do: giữ ~mức 2025 (28,8% quỹ lương). Nguồn: BCTC 2023–2025.</t>
  </si>
  <si>
    <t xml:space="preserve">Hỗ trợ tiền ăn CNV</t>
  </si>
  <si>
    <t xml:space="preserve">Tăng chi phí thuê mặt bằng</t>
  </si>
  <si>
    <t xml:space="preserve">Lý do: tiền thuê tăng 35%, 41% (2024–25) khi thuê thêm kho, xưởng. Sau đó tăng chậm (12%/năm) vì nhà máy mới là tài sản tự đầu tư; năm sau đầu tư lớn +30% do thuê kho vệ tinh gần khách hàng. Nguồn: BCTC 2023–2025; giả định của nhóm.</t>
  </si>
  <si>
    <t xml:space="preserve">Sửa chữa, bảo dưỡng / DT</t>
  </si>
  <si>
    <t xml:space="preserve">Lý do: giữ ~mức 2025 (4,4% DT; 2023–24: 4,9%, 5,2%). Nguồn: BCTC 2023–2025.</t>
  </si>
  <si>
    <t xml:space="preserve">Điện, nước, dịch vụ chung / DT</t>
  </si>
  <si>
    <t xml:space="preserve">Lý do: 6,2% → 5,8% → 4,7% (2023–25). Nâng lên 5,0% vì sấy, ép nhiệt tốn điện và giá bán lẻ điện bình quân tăng 4,8% ngày 11/10/2024 và 4,8% ngày 10/5/2025 (2.204,07 đ/kWh). Nguồn: BCTC 2023–2025; Quyết định 1279/QĐ-BCT (2025); Mục 3.1.2.</t>
  </si>
  <si>
    <t xml:space="preserve">Điện, nước, dịch vụ chung</t>
  </si>
  <si>
    <t xml:space="preserve">Marketing / DT</t>
  </si>
  <si>
    <t xml:space="preserve">Lý do: 4,7% → 3,1% → 2,4% (2023–25). Tăng lại 2,8–3,0% khi mở rộng ra miền Bắc và khách hàng FDI (hội chợ, mẫu thử). Nguồn: BCTC 2023–2025; Mục 1.2.1.</t>
  </si>
  <si>
    <t xml:space="preserve">Marketing</t>
  </si>
  <si>
    <t xml:space="preserve">Kiểm nghiệm, chứng nhận &amp; R&amp;D vật liệu / DT</t>
  </si>
  <si>
    <t xml:space="preserve">Lý do: dòng chi phí mới 0,6% DT cho kiểm nghiệm bao bì tiếp xúc trực tiếp với thực phẩm, chứng nhận phân hủy (BPI, OK compost) và R&amp;D lớp chống thấm không PFAS. Nguồn: Thông tư 27/2026/TT-BYT (hiệu lực 01/7/2026); Mục 3.1.6.1</t>
  </si>
  <si>
    <t xml:space="preserve">Kiểm nghiệm, chứng nhận &amp; R&amp;D</t>
  </si>
  <si>
    <t xml:space="preserve">Chi phí hoạt động theo tính chất (tiền lương + chi phí khác, không gồm khấu hao)</t>
  </si>
  <si>
    <t xml:space="preserve">EBITDA</t>
  </si>
  <si>
    <t xml:space="preserve">B2. BCKQKD theo chức năng </t>
  </si>
  <si>
    <t xml:space="preserve">Tiền lương bộ phận sản xuất (phân bổ vào giá vốn)</t>
  </si>
  <si>
    <t xml:space="preserve">Khấu hao TSCĐ sản xuất (phân bổ vào giá vốn)</t>
  </si>
  <si>
    <t xml:space="preserve">Tổng giá vốn hàng bán (theo chức năng)</t>
  </si>
  <si>
    <t xml:space="preserve">GVHB / DT thuần</t>
  </si>
  <si>
    <t xml:space="preserve">Biên lợi nhuận gộp (sau phân bổ tiền lương và khấu hao)</t>
  </si>
  <si>
    <t xml:space="preserve">BCTC gốc hạch toán toàn bộ tiền lương và khấu hao ngoài giá vốn nên biên gộp 69–73%. Mô hình phân bổ 70% tiền lương (công nhân, quản đốc, QC) và 90% khấu hao (máy ép, sấy, nhà xưởng) vào giá vốn theo đặc thù nhà máy sản xuất.</t>
  </si>
  <si>
    <t xml:space="preserve">Biên gộp theo BCTC gốc (tham khảo, chưa phân bổ)</t>
  </si>
  <si>
    <t xml:space="preserve">Tiền lương bộ phận bán hàng &amp; quản lý</t>
  </si>
  <si>
    <t xml:space="preserve">Khấu hao TSCĐ bộ phận bán hàng &amp; quản lý</t>
  </si>
  <si>
    <t xml:space="preserve">CPBH &amp; QLDN / DT thuần</t>
  </si>
  <si>
    <t xml:space="preserve">EBIT = DT thuần − GVHB − CPBH &amp; QLDN (= EBITDA − khấu hao)</t>
  </si>
  <si>
    <t xml:space="preserve">C. CAPEX, TÀI SẢN CỐ ĐỊNH &amp; KHẤU HAO</t>
  </si>
  <si>
    <t xml:space="preserve">CAPEX / DT thuần (tỷ lệ tái đầu tư)</t>
  </si>
  <si>
    <t xml:space="preserve">Lý do: tỷ lệ tái đầu tư = CAPEX/DT từng năm: 2026 20% (máy ép, xe tải, kho), 2027 15% (mở rộng nhà máy hiện hữu), 2028 65% (đầu tư lớn theo đề bài), 2029 12% (hoàn thiện, chạy thử), 2030 10%. Ngành: trung vị CAPEX/DT của 16 DN bao bì niêm yết 2023–25 là 3,1%, tứ phân vị trên 8,3%, DN đang mở rộng 13–30% (Fig. A10).</t>
  </si>
  <si>
    <t xml:space="preserve">Tỷ lệ CAPEX năm thường</t>
  </si>
  <si>
    <t xml:space="preserve">Lý do: 2026: 20% (mức mặc định của file mẫu, tương đương 2024 là 20,4%) cho máy ép, xe tải, kho; sau mở rộng 10% ≈ khấu hao/DT (duy trì + nâng cấp). Nguồn: file Excel mẫu; BCTC 2023–2025; FiinX (Fig. A10).</t>
  </si>
  <si>
    <t xml:space="preserve">CAPEX</t>
  </si>
  <si>
    <t xml:space="preserve">Nguyên giá TSCĐ cuối kỳ</t>
  </si>
  <si>
    <t xml:space="preserve">Tỷ lệ khấu hao (% nguyên giá đầu kỳ)</t>
  </si>
  <si>
    <t xml:space="preserve">Lý do: 12% nguyên giá đầu kỳ, khớp số liệu 2024–2025. Nguồn: file Excel mẫu (Assumption!D17); BCTC 2024–2025.</t>
  </si>
  <si>
    <t xml:space="preserve">Giá trị còn lại TSCĐ</t>
  </si>
  <si>
    <t xml:space="preserve">Khấu hao / DT</t>
  </si>
  <si>
    <t xml:space="preserve">D. VỐN LƯU ĐỘNG</t>
  </si>
  <si>
    <t xml:space="preserve">Số ngày tồn kho (DIO, theo giá vốn chưa gồm lương, khấu hao)</t>
  </si>
  <si>
    <t xml:space="preserve">ngày</t>
  </si>
  <si>
    <t xml:space="preserve">Lý do: 152 → 123 → 106 ngày (2023–25), cao do tích trữ bã mía theo vụ ép (khoảng tháng 11–4). Giữ ~100 ngày; 2029 tăng lên 105 ngày để tích trữ cho 2 dây chuyền mới. </t>
  </si>
  <si>
    <t xml:space="preserve">Số ngày phải thu (DSO, theo DT)</t>
  </si>
  <si>
    <t xml:space="preserve">Lý do: 24 → 18 → 14 ngày (2023–25), rất ngắn cho B2B vì nhiều khách F&amp;B nhỏ trả ngay. Khi phục vụ chuỗi F&amp;B, FMCG, FDI điện tử (điều khoản 30–45 ngày), DSO tăng dần lên 30 ngày. Nguồn: BCTC 2023–2025; Mục 3.2.6 (khách hàng B2B có sức mạnh cao).</t>
  </si>
  <si>
    <t xml:space="preserve">TSNH khác (chi phí trả trước...) / DT</t>
  </si>
  <si>
    <t xml:space="preserve">Lý do: 6,3% → 5,5% → 4,4% (2023–25); giữ 4,0%. Nguồn: BCTC 2023–2025.</t>
  </si>
  <si>
    <t xml:space="preserve">TSNH khác</t>
  </si>
  <si>
    <t xml:space="preserve">Số ngày phải trả (DPO, theo giá vốn chưa gồm lương, khấu hao)</t>
  </si>
  <si>
    <t xml:space="preserve">Lý do: 9 → 8 → 7 ngày (2023–25). Quy mô lớn hơn giúp đàm phán kỳ hạn 15 ngày với nhà máy đường và đơn vị thu gom. Nguồn: BCTC 2023–2025.</t>
  </si>
  <si>
    <t xml:space="preserve">Nợ ngắn hạn khác (không phải vay) / DT</t>
  </si>
  <si>
    <t xml:space="preserve">Lý do: giữ ~mức 2023–2025 (0,17–0,24% DT). Nguồn: BCTC 2023–2025.</t>
  </si>
  <si>
    <t xml:space="preserve">Vốn lưu động hoạt động thuần</t>
  </si>
  <si>
    <t xml:space="preserve">Thay đổi vốn lưu động</t>
  </si>
  <si>
    <t xml:space="preserve">VLĐ hoạt động / DT</t>
  </si>
  <si>
    <t xml:space="preserve">E. TÀI TRỢ, TIỀN MẶT TỐI THIỂU &amp; THUẾ TNDN</t>
  </si>
  <si>
    <t xml:space="preserve">Tiền mặt tối thiểu (% DT)</t>
  </si>
  <si>
    <t xml:space="preserve">Lý do: 5% DT ≈ 18 ngày chi phí tiền mặt, đệm cho vụ ép bã mía và kỳ thu tiền dài hơn. Nguồn: giả định của nhóm.</t>
  </si>
  <si>
    <t xml:space="preserve">Tiền mặt tối thiểu</t>
  </si>
  <si>
    <t xml:space="preserve">Vay ngắn hạn</t>
  </si>
  <si>
    <t xml:space="preserve">Lý do: giữ nguyên số dư 2025. Nguồn: BCTC 2025.</t>
  </si>
  <si>
    <t xml:space="preserve">Nợ vay dài hạn hiện hữu</t>
  </si>
  <si>
    <t xml:space="preserve">Lý do: giữ nguyên 1,5 tỷ đồng (đảo nợ; không có thông tin kỳ hạn). Nguồn: BCTC 2025.</t>
  </si>
  <si>
    <t xml:space="preserve">Tỷ lệ CAPEX năm đầu tư lớn tài trợ bằng vay xanh/trung hạn</t>
  </si>
  <si>
    <t xml:space="preserve">Lý do: 60% CAPEX nhà máy mới vay trung hạn có tài sản bảo đảm (nhà xưởng, máy); lãi suất cho vay 8,1–10,5% (Mục 3.1.3), có thể xin hỗ trợ lãi suất NATIF (Mục 3.1.5). Nguồn: NHNN (2026); NATIF (2026); giả định của nhóm.</t>
  </si>
  <si>
    <t xml:space="preserve">Vay trung hạn – giải ngân</t>
  </si>
  <si>
    <t xml:space="preserve">Vay trung hạn – trả gốc</t>
  </si>
  <si>
    <t xml:space="preserve">Lý do: kỳ hạn 7 năm, ân hạn gốc 2 năm, trả đều 5 năm. Nguồn: giả định của nhóm (thông lệ vay đầu tư trung hạn).</t>
  </si>
  <si>
    <t xml:space="preserve">Dư nợ vay trung hạn cuối kỳ</t>
  </si>
  <si>
    <t xml:space="preserve">Lý do: cuối 2025 chưa có khoản vay trung hạn nào cho nhà máy mới (số dư = 0). Nguồn: BCTC 2025.</t>
  </si>
  <si>
    <t xml:space="preserve">Tổng nợ vay dài hạn</t>
  </si>
  <si>
    <t xml:space="preserve">Lãi suất vay bình quân</t>
  </si>
  <si>
    <t xml:space="preserve">Chi phí lãi vay</t>
  </si>
  <si>
    <t xml:space="preserve">Lãi tính trên dư nợ bình quân (không vòng lặp vì dư nợ theo lịch vay).</t>
  </si>
  <si>
    <t xml:space="preserve">Chi phí tài chính / DT</t>
  </si>
  <si>
    <t xml:space="preserve">Vốn cổ phần huy động (Series A)</t>
  </si>
  <si>
    <t xml:space="preserve">Lý do: bằng nhu cầu vốn cổ phần ở Pro Forma!B63 (thiếu hụt tiền lớn nhất sau khoản vay + 10% dự phòng); là số vốn đầu tư dùng trong VC Method. Nguồn: mô hình.</t>
  </si>
  <si>
    <t xml:space="preserve">Lỗ tính thuế chuyển sang – đầu kỳ</t>
  </si>
  <si>
    <t xml:space="preserve">Lỗ được bù trừ trong kỳ</t>
  </si>
  <si>
    <t xml:space="preserve">Lỗ tính thuế chuyển sang – cuối kỳ</t>
  </si>
  <si>
    <t xml:space="preserve">Lý do: lỗ lũy kế chưa phân phối cuối 2025 (2,17 tỷ) được coi là lỗ tính thuế còn trong thời hạn chuyển lỗ 5 năm – vì vậy thuế TNDN 2025 = 0. Nguồn: BCTC 2025; Luật Thuế TNDN.</t>
  </si>
  <si>
    <t xml:space="preserve">Thuế suất TNDN áp dụng</t>
  </si>
  <si>
    <t xml:space="preserve">Lý do: 17% nếu tổng DT năm trước ≤ 50 tỷ đồng (2026: DT 2025 = 47,5 tỷ), 20% từ 2027. Không giả định miễn, giảm thuế khởi nghiệp sáng tạo (NQ 198/2025/QH15) vì chưa chứng minh đủ điều kiện. Nguồn: Luật Thuế TNDN 67/2025/QH15; Mục 3.1.6.3.</t>
  </si>
  <si>
    <t xml:space="preserve">Lợi nhuận trước thuế (từ BCKQKD)</t>
  </si>
  <si>
    <t xml:space="preserve">Thuế TNDN</t>
  </si>
  <si>
    <t xml:space="preserve">Thuế suất hiệu dụng</t>
  </si>
  <si>
    <t xml:space="preserve">F. KỊCH BẢN (Bear / Base / Bull) &amp; THAM SỐ</t>
  </si>
  <si>
    <t xml:space="preserve">Tham số theo kịch bản</t>
  </si>
  <si>
    <t xml:space="preserve">Bear</t>
  </si>
  <si>
    <t xml:space="preserve">Base</t>
  </si>
  <si>
    <t xml:space="preserve">Bull</t>
  </si>
  <si>
    <t xml:space="preserve">Hệ số nhân tăng trưởng sản lượng (mọi phân khúc)</t>
  </si>
  <si>
    <t xml:space="preserve">Lý do: Bear 0,7 (nhu cầu yếu, đối thủ nhập khẩu giá rẻ); Bull 1,2 (lộ trình hạn chế nhựa dùng một lần thực thi sớm, ký hợp đồng khung với chuỗi F&amp;B). Nguồn: giả định kịch bản của nhóm.</t>
  </si>
  <si>
    <t xml:space="preserve">Tăng giá bán F&amp;B và khuôn (%/năm)</t>
  </si>
  <si>
    <t xml:space="preserve">Lý do: xem hàng "Tăng giá bán bình quân". Nguồn: Cục Thống kê (CPI 2026)</t>
  </si>
  <si>
    <t xml:space="preserve">Tăng giá đệm bảo vệ (%/năm)</t>
  </si>
  <si>
    <t xml:space="preserve">Lý do: xem hàng "Tăng giá" của đệm bảo vệ</t>
  </si>
  <si>
    <t xml:space="preserve">Chênh lệch chi phí biến đổi/DT so với Base (điểm %)</t>
  </si>
  <si>
    <t xml:space="preserve">Lý do: Bear +1 điểm % (giá bã mía, vận chuyển tăng mạnh); Bull −0,5 điểm % (tỷ lệ hao hụt giảm). Nguồn: giả định kịch bản.</t>
  </si>
  <si>
    <t xml:space="preserve">Chênh lệch chi phí nhân sự/DT so với Base (điểm %)</t>
  </si>
  <si>
    <t xml:space="preserve">Lý do: Bear +0,5 điểm %; Bull −0,5 điểm % (năng suất lao động). Nguồn: giả định kịch bản.</t>
  </si>
  <si>
    <t xml:space="preserve">Đường giả định nền theo năm (Base)</t>
  </si>
  <si>
    <t xml:space="preserve">Tăng trưởng sản lượng F&amp;B – đầu tư lớn năm 2028</t>
  </si>
  <si>
    <t xml:space="preserve">Lý do: xem hàng "Tăng trưởng sản lượng" (mục A1). Nguồn: BCTC 2023–2025; IMARC Group (2025); giả định của nhóm.</t>
  </si>
  <si>
    <t xml:space="preserve">Lý do: xem hàng "Tăng trưởng số bộ khuôn". Nguồn: giả định của nhóm.</t>
  </si>
  <si>
    <t xml:space="preserve">Tăng trưởng diện tích đệm nội thất/TMĐT</t>
  </si>
  <si>
    <t xml:space="preserve">Lý do: xem hàng "Tăng trưởng diện tích" (mục A3). Nguồn: VECOM; Bộ Công Thương (TMĐT +18–25%/năm).</t>
  </si>
  <si>
    <t xml:space="preserve">Tăng trưởng diện tích đệm điện tử</t>
  </si>
  <si>
    <t xml:space="preserve">Lý do: xem hàng "Tăng trưởng diện tích" (mục A4). Nguồn: Tổng cục Thống kê</t>
  </si>
  <si>
    <t xml:space="preserve">Chi phí biến đổi/DT – Base</t>
  </si>
  <si>
    <t xml:space="preserve">Lý do: +1,5 điểm % năm đầu chạy nhà máy mới (hao hụt, đào tạo); 2030 tăng lại 27% do giá bã mía tăng khi nhiều nhà máy bao bì sợi cạnh tranh nguyên liệu trước mốc dừng nhựa dùng một lần 2030. </t>
  </si>
  <si>
    <t xml:space="preserve">Chi phí nhân sự/DT – Base</t>
  </si>
  <si>
    <t xml:space="preserve">Lý do: tuyển trước cho nhà máy mới (2028–29), sau đó đòn bẩy hoạt động. Nguồn: BCTC 2023–2025; Nghị định 293/2025/NĐ-CP.</t>
  </si>
  <si>
    <t xml:space="preserve">Năm đầu tư lớn (đề bài)</t>
  </si>
  <si>
    <t xml:space="preserve">năm</t>
  </si>
  <si>
    <t xml:space="preserve">Lý do: đề bài quy định năm đầu tư lớn là 2028 (CAPEX/DT = 65%); các công thức CAPEX, vay trung hạn, chi phí cố định nhà máy mới, tiền thuê và lịch trả nợ đều tham chiếu ô này. </t>
  </si>
  <si>
    <t xml:space="preserve">Tham số đơn</t>
  </si>
  <si>
    <t xml:space="preserve">CAPEX/DT năm đầu tư lớn (đề bài)</t>
  </si>
  <si>
    <t xml:space="preserve">Lý do: đề bài quy định đầu tư lớn năm 2028 với CAPEX/DT = 65% (năm đặt ở ô C156). </t>
  </si>
  <si>
    <t xml:space="preserve">CAPEX/DT năm sau đầu tư lớn</t>
  </si>
  <si>
    <t xml:space="preserve">Lý do: năm sau đầu tư lớn còn hoàn thiện, lắp đặt và chạy thử (12% DT). Nguồn: giả định của nhóm.</t>
  </si>
  <si>
    <t xml:space="preserve">Chi phí cố định sản xuất tăng thêm của 2 nhà máy mới (nghìn đồng)</t>
  </si>
  <si>
    <t xml:space="preserve">Lý do: xem hàng "Chi phí cố định tăng thêm của nhà máy mới". Nguồn: giả định của nhóm.</t>
  </si>
  <si>
    <t xml:space="preserve">Tăng tiền thuê – năm thường</t>
  </si>
  <si>
    <t xml:space="preserve">Lý do: tăng thuê theo diện tích kho khi sản lượng tăng. Nguồn: BCTC 2023–2025; giả định của nhóm.</t>
  </si>
  <si>
    <t xml:space="preserve">Tăng tiền thuê – năm đầu tư lớn</t>
  </si>
  <si>
    <t xml:space="preserve">Lý do: thuê thêm kho tạm khi xây nhà máy. Nguồn: giả định của nhóm.</t>
  </si>
  <si>
    <t xml:space="preserve">Tăng tiền thuê – năm sau đầu tư lớn</t>
  </si>
  <si>
    <t xml:space="preserve">Lý do: thuê đất KCN/kho vệ tinh cho 2 nhà máy mới. Nguồn: giả định của nhóm.</t>
  </si>
  <si>
    <t xml:space="preserve">Tăng tiền thuê – 2026</t>
  </si>
  <si>
    <t xml:space="preserve">Lý do: như năm thường. Nguồn: giả định của nhóm.</t>
  </si>
  <si>
    <t xml:space="preserve">Thuế suất TNDN cho DN có DT năm ≤ 50 tỷ (Luật 67/2025/QH15)</t>
  </si>
  <si>
    <t xml:space="preserve">Lý do: thuế suất 17% cho DN có tổng DT năm trên 3 tỷ đến không quá 50 tỷ đồng. Nguồn: Luật Thuế TNDN 67/2025/QH15 (Mục 3.1.6.3).</t>
  </si>
  <si>
    <t xml:space="preserve">Ngưỡng doanh thu áp dụng 17% (nghìn đồng)</t>
  </si>
  <si>
    <t xml:space="preserve">Lý do: ngưỡng 50 tỷ đồng doanh thu năm. Nguồn: Luật Thuế TNDN 67/2025/QH15.</t>
  </si>
  <si>
    <t xml:space="preserve">Tỷ lệ tiền lương phân bổ vào giá vốn (lao động sản xuất)</t>
  </si>
  <si>
    <t xml:space="preserve">Lý do: 70% quỹ lương là lao động trực tiếp và quản lý phân xưởng (công nhân ép, sấy, QC, quản đốc) → giá vốn; 30% là bán hàng và quản lý DN → CPBH &amp; QLDN. Nguồn: giả định phân bổ của nhóm theo đặc thù DN sản xuất (BCTC gốc hạch toán tiền lương ngoài giá vốn).</t>
  </si>
  <si>
    <t xml:space="preserve">Tỷ lệ khấu hao phân bổ vào giá vốn (TSCĐ sản xuất)</t>
  </si>
  <si>
    <t xml:space="preserve">Lý do: ~90% nguyên giá TSCĐ là máy ép khuôn, hệ thống sấy, nhà xưởng, kho nguyên liệu → giá vốn; ~10% là văn phòng, xe giao hàng, thiết bị quản lý → CPBH &amp; QLDN. Nguồn: giả định phân bổ của nhóm theo cơ cấu tài sản (Mục 2: TS dài hạn là nhà máy, dây chuyền ép, xe, kho).</t>
  </si>
  <si>
    <t xml:space="preserve">Báo cáo kết quả hoạt động kinh doanh (dự kiến) 5 năm</t>
  </si>
  <si>
    <t xml:space="preserve">Doanh thu</t>
  </si>
  <si>
    <t xml:space="preserve">Giá vốn hàng bán (gồm 70% tiền lương, 90% khấu hao)</t>
  </si>
  <si>
    <t xml:space="preserve">Chi phí bán hàng &amp; QLDN (gồm 30% tiền lương, 10% khấu hao)</t>
  </si>
  <si>
    <t xml:space="preserve">Chi phí thuê cửa hàng</t>
  </si>
  <si>
    <t xml:space="preserve">Khấu hao (đã phân bổ vào GVHB và CPBH &amp; QLDN)</t>
  </si>
  <si>
    <t xml:space="preserve">Lợi nhuận trước thuế và lãi vay (EBIT)</t>
  </si>
  <si>
    <t xml:space="preserve">Tính toán chi tiết:</t>
  </si>
  <si>
    <t xml:space="preserve">Chi phí đầu tư tài sản cố định (CAPEX)</t>
  </si>
  <si>
    <t xml:space="preserve">Tổng tài sản dài hạn (ròng)</t>
  </si>
  <si>
    <t xml:space="preserve">Điều chỉnh Vốn lưu động ròng</t>
  </si>
  <si>
    <t xml:space="preserve">Tài sản ngắn hạn (ngoài tiền)</t>
  </si>
  <si>
    <t xml:space="preserve">       Hàng tồn kho</t>
  </si>
  <si>
    <t xml:space="preserve">       Khoản phải thu ngắn hạn</t>
  </si>
  <si>
    <t xml:space="preserve">Nợ ngắn hạn (ngoài vay)</t>
  </si>
  <si>
    <t xml:space="preserve">      Khoản phải trả ngắn hạn</t>
  </si>
  <si>
    <t xml:space="preserve">Vốn lưu động hoạt động ròng (TSNH ngoài tiền − Nợ NH ngoài vay)</t>
  </si>
  <si>
    <t xml:space="preserve">Biến động VLĐ ròng</t>
  </si>
  <si>
    <t xml:space="preserve">Xác định nhu cầu vốn</t>
  </si>
  <si>
    <t xml:space="preserve">Cash Flow Statment Pro-forma</t>
  </si>
  <si>
    <t xml:space="preserve">Biến động TSNH</t>
  </si>
  <si>
    <t xml:space="preserve">Biến động Nợ NH</t>
  </si>
  <si>
    <t xml:space="preserve">Lưu chuyển tiền thuần từ HĐKD</t>
  </si>
  <si>
    <t xml:space="preserve">Hoạt động đầu tư</t>
  </si>
  <si>
    <t xml:space="preserve">Lưu chuyển tiền thuần từ HĐ đầu tư</t>
  </si>
  <si>
    <t xml:space="preserve">Hoạt động tài chính</t>
  </si>
  <si>
    <t xml:space="preserve">Lưu chuyển tiền thuần từ HĐ tài chính (vay/trả nợ theo kế hoạch, chưa gồm vốn cổ phần)</t>
  </si>
  <si>
    <t xml:space="preserve">Thiếu hụt so với tiền mặt tối thiểu (trước khi gọi vốn cổ phần)</t>
  </si>
  <si>
    <t xml:space="preserve">Nhu cầu vốn</t>
  </si>
  <si>
    <t xml:space="preserve">(+) Dự phòng</t>
  </si>
  <si>
    <t xml:space="preserve">Tổng vốn cần huy động</t>
  </si>
  <si>
    <t xml:space="preserve">Dòng tiền tự do (FCFF) của doanh nghiệp</t>
  </si>
  <si>
    <t xml:space="preserve">Số năm chiết khấu từ t0 = 01/10/2026 (B3 = phần năm 2026 còn lại)</t>
  </si>
  <si>
    <t xml:space="preserve">Lợi nhuận sau thuế trước lãi vay EBIT*(1-t)</t>
  </si>
  <si>
    <t xml:space="preserve">+ Khấu hao</t>
  </si>
  <si>
    <t xml:space="preserve">- Điều chỉnh VLĐ</t>
  </si>
  <si>
    <t xml:space="preserve">- CAPEX</t>
  </si>
  <si>
    <t xml:space="preserve">FCFF 2031 chuẩn hóa</t>
  </si>
  <si>
    <t xml:space="preserve">Dòng tiền tự do (FCFF)</t>
  </si>
  <si>
    <t xml:space="preserve">FCFF 2031 = NOPAT 2031 × (1 − g/RONIC): phần tái đầu tư chỉ vừa đủ cho tăng trưởng g</t>
  </si>
  <si>
    <t xml:space="preserve">Tỷ lệ dòng tiền năm được tính (2026: chỉ quý IV)</t>
  </si>
  <si>
    <t xml:space="preserve">Giá trị cuối kỳ tại t=5 = FCFF 2031 / (WACC − g)</t>
  </si>
  <si>
    <t xml:space="preserve">Giá trị hiện tại của các dòng tiền </t>
  </si>
  <si>
    <t xml:space="preserve">Giá trị doanh nghiệp</t>
  </si>
  <si>
    <t xml:space="preserve">Tỷ lệ nắm giữ</t>
  </si>
  <si>
    <t xml:space="preserve">Post-money value</t>
  </si>
  <si>
    <t xml:space="preserve">Pre-money value</t>
  </si>
  <si>
    <t xml:space="preserve">Pitch: Kêu gọi</t>
  </si>
  <si>
    <t xml:space="preserve">nghìn đồng tương ứng </t>
  </si>
  <si>
    <t xml:space="preserve">cổ phần.</t>
  </si>
  <si>
    <t xml:space="preserve">CẦU NỐI EV → VỐN CSH &amp; KIỂM TRA </t>
  </si>
  <si>
    <t xml:space="preserve">PV dòng tiền tự do Q4/2026–2030</t>
  </si>
  <si>
    <t xml:space="preserve">PV giá trị cuối kỳ</t>
  </si>
  <si>
    <t xml:space="preserve">Giá trị doanh nghiệp (EV)</t>
  </si>
  <si>
    <t xml:space="preserve">Tỷ trọng giá trị cuối kỳ / EV</t>
  </si>
  <si>
    <t xml:space="preserve">(+) Tiền mặt ước tính 30/09/2026 = tiền 31/12/2025 + 75% FCFF 2026 (≥ 0)</t>
  </si>
  <si>
    <t xml:space="preserve">(−) Nợ vay 30/09/2026 (= 31/12/2025; không vay mới trong 2026)</t>
  </si>
  <si>
    <t xml:space="preserve">Giá trị vốn CSH trước gọi vốn (pre-money)</t>
  </si>
  <si>
    <t xml:space="preserve">EV/EBITDA 2025A ngầm định</t>
  </si>
  <si>
    <t xml:space="preserve">EV/EBITDA 2026E ngầm định</t>
  </si>
  <si>
    <t xml:space="preserve">P/E 2026E ngầm định (pre-money)</t>
  </si>
  <si>
    <t xml:space="preserve">P/B 2025A ngầm định</t>
  </si>
  <si>
    <t xml:space="preserve">Giá trị cuối kỳ nếu không chuẩn hóa = FCFF 2030 × (1 + g)/(WACC − g)</t>
  </si>
  <si>
    <t xml:space="preserve">ROIC 2030E = NOPAT / (TSCĐ ròng + VLĐ)</t>
  </si>
  <si>
    <t xml:space="preserve">Tỷ lệ tái đầu tư trong giá trị cuối kỳ = g / RONIC</t>
  </si>
  <si>
    <t xml:space="preserve">The VC Method</t>
  </si>
  <si>
    <t xml:space="preserve">Tỷ lệ chiết khấu có điều chỉnh</t>
  </si>
  <si>
    <t xml:space="preserve">Số kỳ</t>
  </si>
  <si>
    <t xml:space="preserve">Tỷ lệ thất bại của VC</t>
  </si>
  <si>
    <t xml:space="preserve">Giả định:  z = 35–45%; lấy 40% (trung điểm).</t>
  </si>
  <si>
    <t xml:space="preserve">Giá trị thoái vốn kỳ vọng</t>
  </si>
  <si>
    <t xml:space="preserve">Tỷ lệ chiết khấu (WACC)</t>
  </si>
  <si>
    <t xml:space="preserve">Post-money value </t>
  </si>
  <si>
    <t xml:space="preserve">Tỷ lệ sở hữu của NĐT mới</t>
  </si>
  <si>
    <t xml:space="preserve">Tỷ lệ chiết khấu có điều chỉnh p = (1 + r)/(1 − z)^(1/n) − 1</t>
  </si>
  <si>
    <t xml:space="preserve">Tỷ lệ sở hữu của Founder và NĐT cũ</t>
  </si>
  <si>
    <t xml:space="preserve">Tỷ lệ thất bại theo giai đoạn đầu tư VC (đề bài)</t>
  </si>
  <si>
    <t xml:space="preserve">Thấp</t>
  </si>
  <si>
    <t xml:space="preserve">Cao</t>
  </si>
  <si>
    <t xml:space="preserve">Trung điểm</t>
  </si>
  <si>
    <t xml:space="preserve">Ươm mầm</t>
  </si>
  <si>
    <t xml:space="preserve">Thử nghiệm</t>
  </si>
  <si>
    <t xml:space="preserve">Đầu tăng trưởng</t>
  </si>
  <si>
    <t xml:space="preserve">Cuối tăng trưởng</t>
  </si>
  <si>
    <t xml:space="preserve">Giai đoạn của AgriPack </t>
  </si>
  <si>
    <t xml:space="preserve">Lý do: doanh thu 47,5 tỷ, tăng 54–59%/năm, LNST và FCF vừa dương năm 2025, D/E 6,5%. Nguồn: kết luận Mục 2.</t>
  </si>
  <si>
    <t xml:space="preserve">GIÁ TRỊ THOÁI VỐN CUỐI 2030 </t>
  </si>
  <si>
    <t xml:space="preserve">LNST 2030E</t>
  </si>
  <si>
    <t xml:space="preserve">P/E thoát vốn</t>
  </si>
  <si>
    <t xml:space="preserve">Lý do: P/E ngành Containers &amp; Packaging (ICB cấp 4) năm 2026: 9,43x; trung vị mẫu 14 DN: xem Multiples!G22. Nguồn: FiinX (giá đóng cửa 28/9/2026).</t>
  </si>
  <si>
    <t xml:space="preserve">Giá trị vốn CSH theo P/E</t>
  </si>
  <si>
    <t xml:space="preserve">EBITDA 2030E</t>
  </si>
  <si>
    <t xml:space="preserve">EV/EBITDA thoát vốn</t>
  </si>
  <si>
    <t xml:space="preserve">EV/EBITDA ngành Containers &amp; Packaging 2026: 7,99x (2025: 7,5x). Nguồn: FiinX (giá đóng cửa 28/9/2026).</t>
  </si>
  <si>
    <t xml:space="preserve">EV theo EV/EBITDA</t>
  </si>
  <si>
    <t xml:space="preserve">(+) Tiền mặt 2030E</t>
  </si>
  <si>
    <t xml:space="preserve">(−) Nợ vay 2030E</t>
  </si>
  <si>
    <t xml:space="preserve">Giá trị vốn CSH theo EV/EBITDA</t>
  </si>
  <si>
    <t xml:space="preserve">Đối chiếu: giá trị vốn CSH theo DCF tại 2030 (TV + tiền − nợ)</t>
  </si>
  <si>
    <t xml:space="preserve">EV/EBITDA ngầm định của P/E thoát vốn</t>
  </si>
  <si>
    <t xml:space="preserve">Giá trị thoái vốn sử dụng (bình quân P/E và EV/EBITDA)</t>
  </si>
  <si>
    <t xml:space="preserve">IRR kỳ vọng của NĐT nếu thành công</t>
  </si>
  <si>
    <t xml:space="preserve">IRR kỳ vọng có tính xác suất thất bại (= WACC)</t>
  </si>
  <si>
    <t xml:space="preserve">ĐỊNH GIÁ BẰNG BỘI SỐ SO SÁNH (MULTIPLES / COMPARABLES) – AgriPack</t>
  </si>
  <si>
    <t xml:space="preserve">Đơn vị: tỷ đồng; bội số: lần. Mẫu so sánh: 16 DN bao bì niêm yết (FiinX, giá đóng cửa 28/9/2026; BCTC quý đến Q2/2026, TTM). </t>
  </si>
  <si>
    <t xml:space="preserve">Mã</t>
  </si>
  <si>
    <t xml:space="preserve">Sàn</t>
  </si>
  <si>
    <t xml:space="preserve">Phân khúc</t>
  </si>
  <si>
    <t xml:space="preserve">DT TTM (tỷ)</t>
  </si>
  <si>
    <t xml:space="preserve">Biên EBITDA (%)</t>
  </si>
  <si>
    <t xml:space="preserve">EV/EBITDA (x)</t>
  </si>
  <si>
    <t xml:space="preserve">P/E (x)</t>
  </si>
  <si>
    <t xml:space="preserve">Đưa vào mẫu</t>
  </si>
  <si>
    <t xml:space="preserve">EV/EBITDA (mẫu)</t>
  </si>
  <si>
    <t xml:space="preserve">P/E (mẫu)</t>
  </si>
  <si>
    <t xml:space="preserve">Nguồn</t>
  </si>
  <si>
    <t xml:space="preserve">DHC</t>
  </si>
  <si>
    <t xml:space="preserve">HOSE</t>
  </si>
  <si>
    <t xml:space="preserve">Giấy, bao bì carton</t>
  </si>
  <si>
    <t xml:space="preserve">FiinX: BCTC 4 quý gần nhất đến Q2/2026; giá đóng cửa 28/9/2026</t>
  </si>
  <si>
    <t xml:space="preserve">TDP</t>
  </si>
  <si>
    <t xml:space="preserve">Bao bì nhựa</t>
  </si>
  <si>
    <t xml:space="preserve">AAA</t>
  </si>
  <si>
    <t xml:space="preserve">Nhựa, nhựa sinh học</t>
  </si>
  <si>
    <t xml:space="preserve">APH</t>
  </si>
  <si>
    <t xml:space="preserve">Bao bì nhựa (holding)</t>
  </si>
  <si>
    <t xml:space="preserve">HHP</t>
  </si>
  <si>
    <t xml:space="preserve">Giấy bao bì</t>
  </si>
  <si>
    <t xml:space="preserve">INN</t>
  </si>
  <si>
    <t xml:space="preserve">HNX</t>
  </si>
  <si>
    <t xml:space="preserve">Bao bì giấy, in</t>
  </si>
  <si>
    <t xml:space="preserve">ILS</t>
  </si>
  <si>
    <t xml:space="preserve">UPCoM</t>
  </si>
  <si>
    <t xml:space="preserve">Bao bì khác</t>
  </si>
  <si>
    <t xml:space="preserve">TPP</t>
  </si>
  <si>
    <t xml:space="preserve">MCP</t>
  </si>
  <si>
    <t xml:space="preserve">Bao bì kim loại, in</t>
  </si>
  <si>
    <t xml:space="preserve">FiinX (28/9/2026); loại khỏi mẫu – xem ghi chú dòng 2</t>
  </si>
  <si>
    <t xml:space="preserve">PBT</t>
  </si>
  <si>
    <t xml:space="preserve">Thương mại vật tư bao bì</t>
  </si>
  <si>
    <t xml:space="preserve">TPC</t>
  </si>
  <si>
    <t xml:space="preserve">Màng, túi nhựa</t>
  </si>
  <si>
    <t xml:space="preserve">VBC</t>
  </si>
  <si>
    <t xml:space="preserve">BBS</t>
  </si>
  <si>
    <t xml:space="preserve">Bao bì giấy, bao xi măng</t>
  </si>
  <si>
    <t xml:space="preserve">STP</t>
  </si>
  <si>
    <t xml:space="preserve">Bao bì giấy</t>
  </si>
  <si>
    <t xml:space="preserve">PBP</t>
  </si>
  <si>
    <t xml:space="preserve">Bao bì PP</t>
  </si>
  <si>
    <t xml:space="preserve">PMP</t>
  </si>
  <si>
    <t xml:space="preserve">Trung vị các DN trong mẫu</t>
  </si>
  <si>
    <t xml:space="preserve">Bình quân ngành Containers &amp; Packaging 2026 (FiinX, ICB cấp 4)</t>
  </si>
  <si>
    <t xml:space="preserve">Nguồn: FiinX – bình quân ngành Containers &amp; Packaging (ICB cấp 4), cột 2026.</t>
  </si>
  <si>
    <t xml:space="preserve">Bội số dùng: trung vị (cận dưới, ít bị kéo bởi DN lỗ/lãi thấp) và bình quân ngành (cận trên)</t>
  </si>
  <si>
    <t xml:space="preserve">CHỈ TIÊU CỦA AGRIPACK (2025A – bộ máy hiện tại, trước khi gọi vốn)</t>
  </si>
  <si>
    <t xml:space="preserve">EBITDA 2025A</t>
  </si>
  <si>
    <t xml:space="preserve">Lợi nhuận trước thuế 2025A</t>
  </si>
  <si>
    <t xml:space="preserve">Thuế suất chuẩn hóa</t>
  </si>
  <si>
    <t xml:space="preserve">LNST chuẩn hóa 2025A</t>
  </si>
  <si>
    <t xml:space="preserve">Tiền mặt 31/12/2025</t>
  </si>
  <si>
    <t xml:space="preserve">Nợ vay 31/12/2025</t>
  </si>
  <si>
    <t xml:space="preserve">Chiết khấu thiếu thanh khoản &amp; quy mô (DLOM)</t>
  </si>
  <si>
    <t xml:space="preserve">Lý do: DN tư nhân, cổ phần không giao dịch, doanh thu 47,5 tỷ (trung vị mẫu ~1.400 tỷ), phụ thuộc đội ngũ sáng lập → 30% (khoảng 20–35% theo nghiên cứu chiết khấu DN tư nhân). Nguồn: Damodaran (2026); Koeplin, Sarin &amp; Shapiro (2000).</t>
  </si>
  <si>
    <t xml:space="preserve">ĐỊNH GIÁ VỐN CHỦ SỞ HỮU (PRE-MONEY)</t>
  </si>
  <si>
    <t xml:space="preserve">Cách tính</t>
  </si>
  <si>
    <t xml:space="preserve">Bội số (x)</t>
  </si>
  <si>
    <t xml:space="preserve">Chỉ tiêu áp dụng (tỷ)</t>
  </si>
  <si>
    <t xml:space="preserve">Giá trị vốn CSH trước chiết khấu</t>
  </si>
  <si>
    <t xml:space="preserve">Sau chiết khấu DLOM</t>
  </si>
  <si>
    <t xml:space="preserve">EV/EBITDA 2025A × trung vị mẫu</t>
  </si>
  <si>
    <t xml:space="preserve">EV/EBITDA 2025A × bình quân ngành</t>
  </si>
  <si>
    <t xml:space="preserve">P/E 2025A (LNST chuẩn hóa) × trung vị mẫu</t>
  </si>
  <si>
    <t xml:space="preserve">P/E 2025A (LNST chuẩn hóa) × bình quân ngành</t>
  </si>
  <si>
    <t xml:space="preserve">Pre-money theo Multiples (bình quân 4 cách)</t>
  </si>
  <si>
    <t xml:space="preserve">Cận dưới / cận trên</t>
  </si>
  <si>
    <t xml:space="preserve">KẾT QUẢ: GIÁ TRỊ DOANH NGHIỆP, PRE-MONEY, POST-MONEY VÀ TỶ LỆ CỔ PHẦN</t>
  </si>
  <si>
    <t xml:space="preserve">EV = pre-money − tiền mặt (B31) + nợ vay (B32) tại 31/12/2025, cùng cầu nối giữa EV và vốn CSH như DCF!B22.</t>
  </si>
  <si>
    <t xml:space="preserve">Vốn cổ phần cần huy động năm 2026 (Pro Forma!B63), dùng chung cho DCF và VC Method.</t>
  </si>
  <si>
    <t xml:space="preserve">Lấy từ E41: bình quân 4 cách tính, sau chiết khấu thiếu thanh khoản 30%.</t>
  </si>
  <si>
    <t xml:space="preserve">tỷ đồng tương ứng</t>
  </si>
  <si>
    <t xml:space="preserve">TỔNG HỢP ĐỊNH GIÁ &amp; ĐỀ XUẤT GỌI VỐN – AgriPack</t>
  </si>
  <si>
    <t xml:space="preserve">Đơn vị: tỷ đồng (trừ tỷ lệ). Thời điểm định giá t0 = 01/10/2026 (theo khung mô hình: BCTC đến 31/12/2025, năm hiện tại 2026).</t>
  </si>
  <si>
    <t xml:space="preserve">Phương pháp</t>
  </si>
  <si>
    <t xml:space="preserve">Pre-money</t>
  </si>
  <si>
    <t xml:space="preserve">Vốn CP cần huy động</t>
  </si>
  <si>
    <t xml:space="preserve">Post-money</t>
  </si>
  <si>
    <t xml:space="preserve">Tỷ lệ NĐT mới</t>
  </si>
  <si>
    <t xml:space="preserve">Trọng số</t>
  </si>
  <si>
    <t xml:space="preserve">Lý do trọng số / nguồn</t>
  </si>
  <si>
    <t xml:space="preserve">DCF (FCFF, WACC, giá trị cuối kỳ chuẩn hóa)</t>
  </si>
  <si>
    <t xml:space="preserve">Lý do: DCF 40% – phản ánh dự phóng dòng tiền và công suất; chưa trừ rủi ro thất bại. Nguồn: lựa chọn của nhóm.</t>
  </si>
  <si>
    <t xml:space="preserve">VC Method (thoái vốn 2030, tỷ lệ thất bại 40%)</t>
  </si>
  <si>
    <t xml:space="preserve">Lý do: VCM 40% – góc nhìn NĐT, có tỷ lệ thất bại 40% của giai đoạn đầu tăng trưởng (đề bài). Nguồn: lựa chọn của nhóm.</t>
  </si>
  <si>
    <t xml:space="preserve">Multiples/Comparables (EV/EBITDA, P/E 2025A; chiết khấu thanh khoản 30%)</t>
  </si>
  <si>
    <t xml:space="preserve">Lý do: Multiples 20% – mẫu so sánh là DN niêm yết lớn, trưởng thành; chỉ phản ánh bộ máy 2025A nên chỉ dùng làm neo thị trường. Nguồn: lựa chọn của nhóm.</t>
  </si>
  <si>
    <t xml:space="preserve">Pre-money khuyến nghị (bình quân gia quyền DCF, VCM, Multiples)</t>
  </si>
  <si>
    <t xml:space="preserve">ĐỐI CHIẾU (không tham gia trọng số)</t>
  </si>
  <si>
    <t xml:space="preserve">DCF điều chỉnh xác suất sống sót = (1 − z) × DCF + z × giá trị thanh lý</t>
  </si>
  <si>
    <t xml:space="preserve">Giá trị thanh lý = tỷ lệ thu hồi × VCSH sổ sách 31/12/2025</t>
  </si>
  <si>
    <t xml:space="preserve">Lý do: thu hồi 50% giá trị sổ sách khi thanh lý (máy ép chuyên dụng khó bán lại; nhà xưởng thuê). Nguồn: giả định của nhóm.</t>
  </si>
  <si>
    <t xml:space="preserve">KHOẢNG GIÁ TRỊ PRE-MONEY (football field)</t>
  </si>
  <si>
    <t xml:space="preserve">Cơ sở</t>
  </si>
  <si>
    <t xml:space="preserve">Cách xác định khoảng</t>
  </si>
  <si>
    <t xml:space="preserve">WACC ±1 điểm %, g ±1 điểm %</t>
  </si>
  <si>
    <t xml:space="preserve">VC Method</t>
  </si>
  <si>
    <t xml:space="preserve">z 35–45%, giá trị thoái vốn ±15%</t>
  </si>
  <si>
    <t xml:space="preserve">Multiples (EV/EBITDA, P/E 2025A)</t>
  </si>
  <si>
    <t xml:space="preserve">Trung vị mẫu – bình quân ngành, sau chiết khấu 30%</t>
  </si>
  <si>
    <t xml:space="preserve">Khuyến nghị (bình quân gia quyền)</t>
  </si>
  <si>
    <t xml:space="preserve">Bình quân gia quyền cận dưới/cận trên</t>
  </si>
  <si>
    <t xml:space="preserve">NHU CẦU VỐN – ĐẦU VÀO CỦA VC METHOD </t>
  </si>
  <si>
    <t xml:space="preserve">Vốn cổ phần cần huy động (tỷ đồng, Pro Forma!B63)</t>
  </si>
  <si>
    <t xml:space="preserve">Tỷ lệ cổ phần tương ứng (theo pre-money khuyến nghị)</t>
  </si>
  <si>
    <t xml:space="preserve">Vay trung hạn/thuê tài chính cho nhà máy mới (tỷ đồng)</t>
  </si>
  <si>
    <t xml:space="preserve">Tổng vốn huy động bên ngoài 2026–2028 (tỷ đồng)</t>
  </si>
  <si>
    <t xml:space="preserve">TỔNG HỢP KỊCH BẢN</t>
  </si>
  <si>
    <t xml:space="preserve">Cột B tính trực tiếp theo kịch bản đang chọn ở Drivers!C3. Cột C–F là kết quả khi chạy lại toàn bộ mô hình với từng phương án</t>
  </si>
  <si>
    <t xml:space="preserve">Bear (chạy lại mô hình)</t>
  </si>
  <si>
    <t xml:space="preserve">Bull (chạy lại mô hình)</t>
  </si>
  <si>
    <t xml:space="preserve">Chỉ vốn CP, không vay (chạy lại mô hình)</t>
  </si>
  <si>
    <t xml:space="preserve">Vay 75% CAPEX 2028 (chạy lại mô hình)</t>
  </si>
  <si>
    <t xml:space="preserve">Doanh thu thuần 2030E (tỷ)</t>
  </si>
  <si>
    <t xml:space="preserve">CAGR doanh thu 2025–2030</t>
  </si>
  <si>
    <t xml:space="preserve">Biên EBITDA 2030E</t>
  </si>
  <si>
    <t xml:space="preserve">LNST 2030E (tỷ)</t>
  </si>
  <si>
    <t xml:space="preserve">Tổng FCFF 2026–2030 (tỷ)</t>
  </si>
  <si>
    <t xml:space="preserve">Nhu cầu vốn cổ phần (tỷ)</t>
  </si>
  <si>
    <t xml:space="preserve">Vay trung hạn giải ngân (tỷ)</t>
  </si>
  <si>
    <t xml:space="preserve">DCF pre-money (tỷ)</t>
  </si>
  <si>
    <t xml:space="preserve">VCM pre-money (tỷ)</t>
  </si>
  <si>
    <t xml:space="preserve">Pre-money bình quân (tỷ)</t>
  </si>
  <si>
    <t xml:space="preserve">Tỷ lệ NĐT mới (theo pre-money bình quân)</t>
  </si>
  <si>
    <t xml:space="preserve">n.m.</t>
  </si>
  <si>
    <t xml:space="preserve">Tỷ lệ founder &amp; cổ đông hiện hữu sau vòng gọi vốn</t>
  </si>
  <si>
    <t xml:space="preserve">ĐỘ NHẠY THEO NHÂN TỐ VĨ MÔ – NGÀNH (kịch bản Base, đổi từng giả định, chạy lại toàn bộ mô hình)</t>
  </si>
  <si>
    <t xml:space="preserve">Mỗi dòng: một nhân tố ở Mục 3 được đưa về mức bất lợi và thuận lợi, các giả định khác giữ Base, rồi chạy lại toàn bộ mô hình; kết quả lưu dưới dạng số. Δ = chênh lệch pre-money so với Base, tỷ đồng.</t>
  </si>
  <si>
    <t xml:space="preserve">Nhân tố → giả định thay đổi (bất lợi / thuận lợi)</t>
  </si>
  <si>
    <t xml:space="preserve">Pre-money bất lợi</t>
  </si>
  <si>
    <t xml:space="preserve">Pre-money thuận lợi</t>
  </si>
  <si>
    <t xml:space="preserve">Δ bất lợi</t>
  </si>
  <si>
    <t xml:space="preserve">Δ thuận lợi</t>
  </si>
  <si>
    <t xml:space="preserve">DCF bất lợi</t>
  </si>
  <si>
    <t xml:space="preserve">DCF thuận lợi</t>
  </si>
  <si>
    <t xml:space="preserve">VCM bất lợi</t>
  </si>
  <si>
    <t xml:space="preserve">VCM thuận lợi</t>
  </si>
  <si>
    <t xml:space="preserve">DT 2030E bất lợi</t>
  </si>
  <si>
    <t xml:space="preserve">DT 2030E thuận lợi</t>
  </si>
  <si>
    <t xml:space="preserve">LNST 2030E bất lợi</t>
  </si>
  <si>
    <t xml:space="preserve">LNST 2030E thuận lợi</t>
  </si>
  <si>
    <t xml:space="preserve">Lý do biên độ / nguồn (ghi ngay cạnh giả định)</t>
  </si>
  <si>
    <t xml:space="preserve">Kịch bản cơ sở – Base</t>
  </si>
  <si>
    <t xml:space="preserve">Cầu: tăng trưởng sản lượng ×0,8 / ×1,2 (GDP, tiêu dùng, TMĐT – Mục 3.1.1, 3.2.2)</t>
  </si>
  <si>
    <t xml:space="preserve">Lý do biên độ: ±20% tốc độ tăng sản lượng mọi phân khúc – GDP 6T/2026 +8,18%, tiêu dùng +8,15%, TMĐT +18–25%/năm nhưng SAM chỉ +4,73%/năm; tăng trưởng của AgriPack phụ thuộc giành thị phần và tiến độ nhà máy (kịch bản Bear dùng ×0,7).</t>
  </si>
  <si>
    <t xml:space="preserve">Giá bán: +1% / +3% mỗi năm, Base +2% (CPI, sức mạnh khách hàng B2B – Mục 3.1.2, 3.2.3)</t>
  </si>
  <si>
    <t xml:space="preserve">Lý do biên độ: ±1 điểm %/năm giá bán F&amp;B, khuôn và đệm – CPI 8T/2026 +4,45% cho phép tăng giá gần lạm phát, nhưng khách hàng B2B có sức mạnh đàm phán rất cao và bao bì nhựa rẻ hơn nhiều lần (Mục 3.2.3).</t>
  </si>
  <si>
    <t xml:space="preserve">Chi phí biến đổi/DT: +1 / −1 điểm % (lạm phát chi phí thu gom, năng lượng – Mục 3.1.2)</t>
  </si>
  <si>
    <t xml:space="preserve">Lý do biên độ: ±1 điểm % doanh thu – nhóm nhà ở, điện, nước, chất đốt, VLXD +6,71% (8T/2026); bã mía bị cạnh tranh bởi lò hơi nhà máy đường và nhà sản xuất bao bì sợi </t>
  </si>
  <si>
    <t xml:space="preserve">Chi phí nhân sự/DT: +1 / −1 điểm % (lương tối thiểu vùng +7,2% – NĐ 293/2025)</t>
  </si>
  <si>
    <t xml:space="preserve">Lý do biên độ: ±1 điểm % doanh thu – lương tối thiểu vùng tăng 7,2% từ 01/01/2026 (NĐ 293/2025/NĐ-CP); tiền lương là khoản chi phí lớn thứ hai sau chi phí biến đổi.</t>
  </si>
  <si>
    <t xml:space="preserve">Lãi suất: Rf và Kd +1 / −1 điểm % (điều hành lãi suất, tín dụng – Mục 3.1.3)</t>
  </si>
  <si>
    <t xml:space="preserve">Lý do biên độ: ±1 điểm % cho cả lợi suất phi rủi ro (bình quân TPCP 10 năm 3,92%) và lãi vay (10%, khung cho vay 8,1–10,5%/năm); nhỏ hơn độ lệch chuẩn ~1,6 điểm % của lợi suất TPCP 10 năm 2016–2025 (Discount rate A28:C40) vì Rf là bình quân dài hạn.</t>
  </si>
  <si>
    <t xml:space="preserve">Rủi ro quốc gia CRP: +1 / −1 điểm % (xếp hạng Moody's Ba2, triển vọng tích cực – Mục 3.1)</t>
  </si>
  <si>
    <t xml:space="preserve">Lý do biên độ: ±1 điểm % CRP 3,9% – Moody's nâng triển vọng Việt Nam lên tích cực (5/2026): nâng hạng làm CRP giảm; ngược lại nếu cú sốc bên ngoài làm chênh lệch lợi suất nới rộng.</t>
  </si>
  <si>
    <t xml:space="preserve">Ưu đãi thuế NQ 198/2025/QH15 nếu đủ điều kiện (miễn 2026–27, giảm 50% 2028–29 – Mục 3.1.6.2)</t>
  </si>
  <si>
    <t xml:space="preserve">Lý do: chỉ có chiều thuận lợi vì mô hình Base chưa đưa ưu đãi vào (chưa chứng minh đủ điều kiện). Chỉ tính ưu đãi đến 2029 để ưu đãi tạm thời không đi vào giá trị cuối kỳ (LNST 2030 chuẩn hóa ở thuế suất 20%).</t>
  </si>
  <si>
    <t xml:space="preserve">PHÂN TÍCH ĐỘ NHẠY (mỗi ô tính lại toàn bộ DCF/VCM)</t>
  </si>
  <si>
    <t xml:space="preserve">Đơn vị: tỷ đồng</t>
  </si>
  <si>
    <t xml:space="preserve">Bảng 1. DCF – giá trị vốn CSH pre-money: WACC (dòng) × g (cột)</t>
  </si>
  <si>
    <t xml:space="preserve">WACC \ g</t>
  </si>
  <si>
    <t xml:space="preserve">Ô trung tâm = DCF!B22</t>
  </si>
  <si>
    <t xml:space="preserve">Bảng 2. VC method – pre-money: tỷ lệ thất bại z (dòng) × thay đổi giá trị thoái vốn (cột)</t>
  </si>
  <si>
    <t xml:space="preserve">z \ Exit value</t>
  </si>
  <si>
    <t xml:space="preserve">Ô trung tâm = VCM!E11</t>
  </si>
  <si>
    <t xml:space="preserve">Bảng 3. DCF – pre-money: WACC (dòng) × RONIC (cột)</t>
  </si>
  <si>
    <t xml:space="preserve">WACC \ RONIC</t>
  </si>
  <si>
    <t xml:space="preserve">KIỂM TRA TÍNH TOÀN VẸN MÔ HÌNH</t>
  </si>
  <si>
    <t xml:space="preserve">Kiểm tra</t>
  </si>
  <si>
    <t xml:space="preserve">Trạng thái</t>
  </si>
  <si>
    <t xml:space="preserve">BCĐKT cân (Tài sản − Nguồn vốn)</t>
  </si>
  <si>
    <t xml:space="preserve">Tiền cuối kỳ LCTT − Tiền BCĐKT</t>
  </si>
  <si>
    <t xml:space="preserve">LNST BCKQKD − LNST trên LCTT</t>
  </si>
  <si>
    <t xml:space="preserve">Doanh thu Pro Forma − BCKQKD</t>
  </si>
  <si>
    <t xml:space="preserve">LNST Pro Forma − BCKQKD</t>
  </si>
  <si>
    <t xml:space="preserve">VLĐ Pro Forma − Drivers</t>
  </si>
  <si>
    <t xml:space="preserve">Khấu hao Pro Forma − BCKQKD</t>
  </si>
  <si>
    <t xml:space="preserve">CAPEX Drivers + dòng tiền đầu tư</t>
  </si>
  <si>
    <t xml:space="preserve">Tiền mặt sau gọi vốn − tiền tối thiểu (≥ 0)</t>
  </si>
  <si>
    <t xml:space="preserve">CAPEX/DT năm đầu tư lớn = 65%</t>
  </si>
  <si>
    <t xml:space="preserve">Ô trung tâm bảng độ nhạy = kết quả DCF/VCM</t>
  </si>
  <si>
    <t xml:space="preserve">g &lt; WACC</t>
  </si>
  <si>
    <t xml:space="preserve">Vay trung hạn chỉ phát sinh ở năm đầu tư lớn</t>
  </si>
  <si>
    <t xml:space="preserve">TỔNG HỢP</t>
  </si>
</sst>
</file>

<file path=xl/styles.xml><?xml version="1.0" encoding="utf-8"?>
<styleSheet xmlns="http://schemas.openxmlformats.org/spreadsheetml/2006/main">
  <numFmts count="30">
    <numFmt numFmtId="164" formatCode="General"/>
    <numFmt numFmtId="165" formatCode="_(* #,##0.00_);_(* \(#,##0.00\);_(* \-??_);_(@_)"/>
    <numFmt numFmtId="166" formatCode="0%"/>
    <numFmt numFmtId="167" formatCode="m/d/yyyy"/>
    <numFmt numFmtId="168" formatCode="0.00%"/>
    <numFmt numFmtId="169" formatCode="#,##0.0"/>
    <numFmt numFmtId="170" formatCode="_(* #,##0_);_(* \(#,##0\);_(* \-??_);_(@_)"/>
    <numFmt numFmtId="171" formatCode="0"/>
    <numFmt numFmtId="172" formatCode="\$#,##0"/>
    <numFmt numFmtId="173" formatCode="General"/>
    <numFmt numFmtId="174" formatCode="0.0%"/>
    <numFmt numFmtId="175" formatCode="[$-409]mmm\-yy"/>
    <numFmt numFmtId="176" formatCode="0.00"/>
    <numFmt numFmtId="177" formatCode="#,##0"/>
    <numFmt numFmtId="178" formatCode="0.00%;\-0.00%;\-"/>
    <numFmt numFmtId="179" formatCode="0.0%;\-0.0%;\-"/>
    <numFmt numFmtId="180" formatCode="#,##0.00;\(#,##0.00\);\-"/>
    <numFmt numFmtId="181" formatCode="#,##0;\(#,##0\);\-"/>
    <numFmt numFmtId="182" formatCode="0.00\x"/>
    <numFmt numFmtId="183" formatCode="#,##0.0;\(#,##0.0\);\-"/>
    <numFmt numFmtId="184" formatCode="0;\-0;\-"/>
    <numFmt numFmtId="185" formatCode="_(* #,##0_);_(* \(#,##0\);_(* \-_);_(@_)"/>
    <numFmt numFmtId="186" formatCode="#,##0.00"/>
    <numFmt numFmtId="187" formatCode="0.000"/>
    <numFmt numFmtId="188" formatCode="[$-409]0.00"/>
    <numFmt numFmtId="189" formatCode="[$-409]0%"/>
    <numFmt numFmtId="190" formatCode="0.0\x"/>
    <numFmt numFmtId="191" formatCode="0.0"/>
    <numFmt numFmtId="192" formatCode="\+#,##0.0;\-#,##0.0;0.0"/>
    <numFmt numFmtId="193" formatCode="\+0%;\-0%;0%"/>
  </numFmts>
  <fonts count="61">
    <font>
      <sz val="12"/>
      <name val="Calibri"/>
      <family val="0"/>
      <charset val="1"/>
    </font>
    <font>
      <sz val="10"/>
      <name val="Arial"/>
      <family val="0"/>
    </font>
    <font>
      <sz val="10"/>
      <name val="Arial"/>
      <family val="0"/>
    </font>
    <font>
      <sz val="10"/>
      <name val="Arial"/>
      <family val="0"/>
    </font>
    <font>
      <sz val="10"/>
      <name val="Arial"/>
      <family val="0"/>
      <charset val="1"/>
    </font>
    <font>
      <sz val="12"/>
      <color theme="1"/>
      <name val="Calibri"/>
      <family val="0"/>
      <charset val="1"/>
    </font>
    <font>
      <b val="true"/>
      <sz val="20"/>
      <name val="Calibri"/>
      <family val="0"/>
      <charset val="1"/>
    </font>
    <font>
      <b val="true"/>
      <sz val="12"/>
      <color rgb="FFFFFFFF"/>
      <name val="Calibri"/>
      <family val="0"/>
      <charset val="1"/>
    </font>
    <font>
      <b val="true"/>
      <sz val="12"/>
      <name val="Calibri"/>
      <family val="0"/>
      <charset val="1"/>
    </font>
    <font>
      <sz val="12"/>
      <color rgb="FF0000FF"/>
      <name val="Calibri"/>
      <family val="0"/>
      <charset val="1"/>
    </font>
    <font>
      <sz val="12"/>
      <color rgb="FF000000"/>
      <name val="Calibri"/>
      <family val="0"/>
      <charset val="1"/>
    </font>
    <font>
      <sz val="12"/>
      <color rgb="FF008000"/>
      <name val="Calibri"/>
      <family val="0"/>
      <charset val="1"/>
    </font>
    <font>
      <b val="true"/>
      <sz val="12"/>
      <color theme="1"/>
      <name val="Calibri"/>
      <family val="0"/>
      <charset val="1"/>
    </font>
    <font>
      <b val="true"/>
      <sz val="12"/>
      <color rgb="FFC00000"/>
      <name val="Calibri"/>
      <family val="0"/>
      <charset val="1"/>
    </font>
    <font>
      <sz val="12"/>
      <color rgb="FF000000"/>
      <name val="Verdana"/>
      <family val="0"/>
      <charset val="1"/>
    </font>
    <font>
      <sz val="12"/>
      <color rgb="FF00008D"/>
      <name val="Calibri"/>
      <family val="0"/>
      <charset val="1"/>
    </font>
    <font>
      <sz val="12"/>
      <color rgb="FF00008D"/>
      <name val="Verdana"/>
      <family val="0"/>
      <charset val="1"/>
    </font>
    <font>
      <b val="true"/>
      <i val="true"/>
      <sz val="12"/>
      <color rgb="FF000000"/>
      <name val="Calibri"/>
      <family val="0"/>
      <charset val="1"/>
    </font>
    <font>
      <b val="true"/>
      <i val="true"/>
      <sz val="12"/>
      <color rgb="FF000087"/>
      <name val="Calibri"/>
      <family val="0"/>
      <charset val="1"/>
    </font>
    <font>
      <sz val="11"/>
      <color rgb="FF000000"/>
      <name val="Verdana"/>
      <family val="0"/>
      <charset val="1"/>
    </font>
    <font>
      <b val="true"/>
      <sz val="12"/>
      <color theme="0"/>
      <name val="Calibri"/>
      <family val="0"/>
      <charset val="1"/>
    </font>
    <font>
      <sz val="12"/>
      <color theme="0"/>
      <name val="Calibri"/>
      <family val="0"/>
      <charset val="1"/>
    </font>
    <font>
      <b val="true"/>
      <sz val="12"/>
      <color rgb="FF000000"/>
      <name val="Calibri"/>
      <family val="0"/>
      <charset val="1"/>
    </font>
    <font>
      <sz val="12"/>
      <color theme="1"/>
      <name val="Arial"/>
      <family val="0"/>
      <charset val="1"/>
    </font>
    <font>
      <b val="true"/>
      <sz val="12"/>
      <color rgb="FFFF0000"/>
      <name val="Calibri"/>
      <family val="0"/>
      <charset val="1"/>
    </font>
    <font>
      <i val="true"/>
      <sz val="12"/>
      <color rgb="FF000000"/>
      <name val="Calibri"/>
      <family val="0"/>
      <charset val="1"/>
    </font>
    <font>
      <sz val="12"/>
      <color theme="1"/>
      <name val="Verdana"/>
      <family val="0"/>
      <charset val="1"/>
    </font>
    <font>
      <b val="true"/>
      <sz val="12"/>
      <color theme="2"/>
      <name val="Calibri"/>
      <family val="0"/>
      <charset val="1"/>
    </font>
    <font>
      <sz val="12"/>
      <color theme="2"/>
      <name val="Calibri"/>
      <family val="0"/>
      <charset val="1"/>
    </font>
    <font>
      <sz val="12"/>
      <color rgb="FFFF0000"/>
      <name val="Calibri"/>
      <family val="0"/>
      <charset val="1"/>
    </font>
    <font>
      <i val="true"/>
      <sz val="12"/>
      <color theme="1"/>
      <name val="Calibri"/>
      <family val="0"/>
      <charset val="1"/>
    </font>
    <font>
      <b val="true"/>
      <sz val="12"/>
      <color rgb="FFF8F8F8"/>
      <name val="Calibri"/>
      <family val="0"/>
      <charset val="1"/>
    </font>
    <font>
      <i val="true"/>
      <sz val="12"/>
      <color rgb="FF7F7F7F"/>
      <name val="Calibri"/>
      <family val="0"/>
      <charset val="1"/>
    </font>
    <font>
      <sz val="10"/>
      <color theme="1"/>
      <name val="Verdana"/>
      <family val="0"/>
      <charset val="1"/>
    </font>
    <font>
      <sz val="12"/>
      <color rgb="FF000087"/>
      <name val="Calibri"/>
      <family val="0"/>
      <charset val="1"/>
    </font>
    <font>
      <b val="true"/>
      <sz val="12"/>
      <color rgb="FF0000FF"/>
      <name val="Calibri"/>
      <family val="0"/>
      <charset val="1"/>
    </font>
    <font>
      <b val="true"/>
      <sz val="10"/>
      <color theme="1"/>
      <name val="Verdana"/>
      <family val="0"/>
      <charset val="1"/>
    </font>
    <font>
      <i val="true"/>
      <sz val="12"/>
      <name val="Calibri"/>
      <family val="0"/>
      <charset val="1"/>
    </font>
    <font>
      <b val="true"/>
      <i val="true"/>
      <sz val="12"/>
      <name val="Calibri"/>
      <family val="0"/>
      <charset val="1"/>
    </font>
    <font>
      <sz val="12"/>
      <name val="Arial"/>
      <family val="0"/>
      <charset val="1"/>
    </font>
    <font>
      <b val="true"/>
      <i val="true"/>
      <sz val="12"/>
      <color rgb="FF002060"/>
      <name val="Calibri"/>
      <family val="0"/>
      <charset val="1"/>
    </font>
    <font>
      <i val="true"/>
      <sz val="12"/>
      <color rgb="FF0000FF"/>
      <name val="Calibri"/>
      <family val="0"/>
      <charset val="1"/>
    </font>
    <font>
      <b val="true"/>
      <i val="true"/>
      <sz val="12"/>
      <color rgb="FFFF0000"/>
      <name val="Calibri"/>
      <family val="0"/>
      <charset val="1"/>
    </font>
    <font>
      <b val="true"/>
      <sz val="16"/>
      <color theme="2"/>
      <name val="Calibri"/>
      <family val="0"/>
      <charset val="1"/>
    </font>
    <font>
      <sz val="12"/>
      <color rgb="FF002060"/>
      <name val="Calibri"/>
      <family val="0"/>
      <charset val="1"/>
    </font>
    <font>
      <b val="true"/>
      <i val="true"/>
      <sz val="12"/>
      <color theme="1"/>
      <name val="Calibri"/>
      <family val="0"/>
      <charset val="1"/>
    </font>
    <font>
      <b val="true"/>
      <sz val="12"/>
      <color rgb="FF002060"/>
      <name val="Calibri"/>
      <family val="0"/>
      <charset val="1"/>
    </font>
    <font>
      <i val="true"/>
      <sz val="12"/>
      <color rgb="FF002060"/>
      <name val="Calibri"/>
      <family val="0"/>
      <charset val="1"/>
    </font>
    <font>
      <sz val="11"/>
      <color theme="1"/>
      <name val="Verdana"/>
      <family val="0"/>
      <charset val="1"/>
    </font>
    <font>
      <i val="true"/>
      <sz val="12"/>
      <color rgb="FF404040"/>
      <name val="Calibri"/>
      <family val="0"/>
      <charset val="1"/>
    </font>
    <font>
      <i val="true"/>
      <sz val="12"/>
      <color rgb="FF00B050"/>
      <name val="Calibri"/>
      <family val="0"/>
      <charset val="1"/>
    </font>
    <font>
      <b val="true"/>
      <sz val="16"/>
      <color rgb="FF000000"/>
      <name val="Calibri"/>
      <family val="0"/>
      <charset val="1"/>
    </font>
    <font>
      <b val="true"/>
      <sz val="12"/>
      <color rgb="FF008000"/>
      <name val="Calibri"/>
      <family val="0"/>
      <charset val="1"/>
    </font>
    <font>
      <sz val="11"/>
      <name val="Verdana"/>
      <family val="0"/>
      <charset val="1"/>
    </font>
    <font>
      <b val="true"/>
      <sz val="16"/>
      <color theme="0"/>
      <name val="Calibri"/>
      <family val="0"/>
      <charset val="1"/>
    </font>
    <font>
      <sz val="11"/>
      <color theme="0"/>
      <name val="Verdana"/>
      <family val="0"/>
      <charset val="1"/>
    </font>
    <font>
      <b val="true"/>
      <sz val="11"/>
      <name val="Verdana"/>
      <family val="0"/>
      <charset val="1"/>
    </font>
    <font>
      <i val="true"/>
      <sz val="12"/>
      <color rgb="FFFF0000"/>
      <name val="Calibri"/>
      <family val="0"/>
      <charset val="1"/>
    </font>
    <font>
      <sz val="11"/>
      <color theme="3" tint="0.3997"/>
      <name val="Verdana"/>
      <family val="0"/>
      <charset val="1"/>
    </font>
    <font>
      <sz val="12"/>
      <name val="Verdana"/>
      <family val="0"/>
      <charset val="1"/>
    </font>
    <font>
      <i val="true"/>
      <sz val="12"/>
      <color rgb="FF008000"/>
      <name val="Calibri"/>
      <family val="0"/>
      <charset val="1"/>
    </font>
  </fonts>
  <fills count="20">
    <fill>
      <patternFill patternType="none"/>
    </fill>
    <fill>
      <patternFill patternType="gray125"/>
    </fill>
    <fill>
      <patternFill patternType="solid">
        <fgColor rgb="FF1F3864"/>
        <bgColor rgb="FF203864"/>
      </patternFill>
    </fill>
    <fill>
      <patternFill patternType="solid">
        <fgColor rgb="FFFEFBCE"/>
        <bgColor rgb="FFF8F8F8"/>
      </patternFill>
    </fill>
    <fill>
      <patternFill patternType="solid">
        <fgColor rgb="FFDDEBF7"/>
        <bgColor rgb="FFDEEBF7"/>
      </patternFill>
    </fill>
    <fill>
      <patternFill patternType="solid">
        <fgColor theme="0"/>
        <bgColor rgb="FFF8F8F8"/>
      </patternFill>
    </fill>
    <fill>
      <patternFill patternType="solid">
        <fgColor rgb="FFF3F7FD"/>
        <bgColor rgb="FFF8F8F8"/>
      </patternFill>
    </fill>
    <fill>
      <patternFill patternType="solid">
        <fgColor rgb="FF002060"/>
        <bgColor rgb="FF1F3864"/>
      </patternFill>
    </fill>
    <fill>
      <patternFill patternType="solid">
        <fgColor rgb="FFB7E3E4"/>
        <bgColor rgb="FFC5E0B4"/>
      </patternFill>
    </fill>
    <fill>
      <patternFill patternType="solid">
        <fgColor rgb="FFFFFF00"/>
        <bgColor rgb="FFFFCC00"/>
      </patternFill>
    </fill>
    <fill>
      <patternFill patternType="solid">
        <fgColor rgb="FF000087"/>
        <bgColor rgb="FF00008D"/>
      </patternFill>
    </fill>
    <fill>
      <patternFill patternType="solid">
        <fgColor theme="4" tint="-0.5"/>
        <bgColor rgb="FF1F3864"/>
      </patternFill>
    </fill>
    <fill>
      <patternFill patternType="solid">
        <fgColor rgb="FFE7E6E6"/>
        <bgColor rgb="FFEDEDED"/>
      </patternFill>
    </fill>
    <fill>
      <patternFill patternType="solid">
        <fgColor theme="4" tint="0.7999"/>
        <bgColor rgb="FFDDEBF7"/>
      </patternFill>
    </fill>
    <fill>
      <patternFill patternType="solid">
        <fgColor theme="4" tint="0.3999"/>
        <bgColor rgb="FF969696"/>
      </patternFill>
    </fill>
    <fill>
      <patternFill patternType="solid">
        <fgColor theme="4" tint="-0.25"/>
        <bgColor rgb="FF203864"/>
      </patternFill>
    </fill>
    <fill>
      <patternFill patternType="solid">
        <fgColor theme="7" tint="0.5997"/>
        <bgColor rgb="FFFEFBCE"/>
      </patternFill>
    </fill>
    <fill>
      <patternFill patternType="solid">
        <fgColor theme="9" tint="0.5999"/>
        <bgColor rgb="FFB7E3E4"/>
      </patternFill>
    </fill>
    <fill>
      <patternFill patternType="solid">
        <fgColor theme="8" tint="0.7998"/>
        <bgColor rgb="FFDDEBF7"/>
      </patternFill>
    </fill>
    <fill>
      <patternFill patternType="solid">
        <fgColor rgb="FFEDEDED"/>
        <bgColor rgb="FFE7E6E6"/>
      </patternFill>
    </fill>
  </fills>
  <borders count="71">
    <border diagonalUp="false" diagonalDown="false">
      <left/>
      <right/>
      <top/>
      <bottom/>
      <diagonal/>
    </border>
    <border diagonalUp="false" diagonalDown="false">
      <left style="thin"/>
      <right/>
      <top/>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color rgb="FF1F3864"/>
      </left>
      <right/>
      <top style="medium">
        <color rgb="FF1F3864"/>
      </top>
      <bottom/>
      <diagonal/>
    </border>
    <border diagonalUp="false" diagonalDown="false">
      <left/>
      <right style="medium">
        <color rgb="FF1F3864"/>
      </right>
      <top style="medium">
        <color rgb="FF1F3864"/>
      </top>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 diagonalUp="false" diagonalDown="false">
      <left/>
      <right/>
      <top style="medium"/>
      <bottom/>
      <diagonal/>
    </border>
    <border diagonalUp="false" diagonalDown="false">
      <left style="thin">
        <color rgb="FF61BFB9"/>
      </left>
      <right style="thin">
        <color rgb="FF61BFB9"/>
      </right>
      <top style="thin">
        <color rgb="FF61BFB9"/>
      </top>
      <bottom style="thin">
        <color rgb="FF61BFB9"/>
      </bottom>
      <diagonal/>
    </border>
    <border diagonalUp="false" diagonalDown="false">
      <left style="thin">
        <color theme="4" tint="0.7998"/>
      </left>
      <right/>
      <top style="thin">
        <color theme="4" tint="0.7998"/>
      </top>
      <bottom/>
      <diagonal/>
    </border>
    <border diagonalUp="false" diagonalDown="false">
      <left/>
      <right/>
      <top style="thin">
        <color theme="4" tint="0.7998"/>
      </top>
      <bottom/>
      <diagonal/>
    </border>
    <border diagonalUp="false" diagonalDown="false">
      <left/>
      <right style="thin">
        <color theme="4" tint="0.7998"/>
      </right>
      <top style="thin">
        <color theme="4" tint="0.7998"/>
      </top>
      <bottom/>
      <diagonal/>
    </border>
    <border diagonalUp="false" diagonalDown="false">
      <left style="thin">
        <color theme="4" tint="0.7998"/>
      </left>
      <right/>
      <top/>
      <bottom style="thin">
        <color theme="0" tint="-0.25"/>
      </bottom>
      <diagonal/>
    </border>
    <border diagonalUp="false" diagonalDown="false">
      <left/>
      <right style="thin">
        <color theme="4" tint="0.7998"/>
      </right>
      <top/>
      <bottom style="thin">
        <color theme="0" tint="-0.25"/>
      </bottom>
      <diagonal/>
    </border>
    <border diagonalUp="false" diagonalDown="false">
      <left style="thin">
        <color theme="4" tint="0.7998"/>
      </left>
      <right style="thin">
        <color theme="4" tint="0.7998"/>
      </right>
      <top/>
      <bottom/>
      <diagonal/>
    </border>
    <border diagonalUp="false" diagonalDown="false">
      <left style="thin">
        <color theme="4" tint="0.7998"/>
      </left>
      <right/>
      <top/>
      <bottom style="thin">
        <color theme="4" tint="0.7998"/>
      </bottom>
      <diagonal/>
    </border>
    <border diagonalUp="false" diagonalDown="false">
      <left/>
      <right/>
      <top/>
      <bottom style="thin">
        <color theme="4" tint="0.7998"/>
      </bottom>
      <diagonal/>
    </border>
    <border diagonalUp="false" diagonalDown="false">
      <left/>
      <right style="thin">
        <color theme="4" tint="0.7998"/>
      </right>
      <top/>
      <bottom style="thin">
        <color theme="4" tint="0.7998"/>
      </bottom>
      <diagonal/>
    </border>
    <border diagonalUp="false" diagonalDown="false">
      <left/>
      <right/>
      <top style="thin"/>
      <bottom style="double"/>
      <diagonal/>
    </border>
    <border diagonalUp="false" diagonalDown="false">
      <left/>
      <right/>
      <top style="double"/>
      <bottom style="thin"/>
      <diagonal/>
    </border>
    <border diagonalUp="false" diagonalDown="false">
      <left/>
      <right/>
      <top/>
      <bottom style="thin"/>
      <diagonal/>
    </border>
    <border diagonalUp="false" diagonalDown="false">
      <left/>
      <right/>
      <top style="thin"/>
      <bottom style="thin"/>
      <diagonal/>
    </border>
    <border diagonalUp="false" diagonalDown="false">
      <left/>
      <right/>
      <top/>
      <bottom style="double"/>
      <diagonal/>
    </border>
    <border diagonalUp="false" diagonalDown="false">
      <left style="thin">
        <color rgb="FFF3F7FD"/>
      </left>
      <right style="thin">
        <color rgb="FFF3F7FD"/>
      </right>
      <top style="thin">
        <color rgb="FFF3F7FD"/>
      </top>
      <bottom/>
      <diagonal/>
    </border>
    <border diagonalUp="false" diagonalDown="false">
      <left style="thin">
        <color rgb="FFF3F7FD"/>
      </left>
      <right style="medium"/>
      <top style="thin">
        <color rgb="FFF3F7FD"/>
      </top>
      <bottom/>
      <diagonal/>
    </border>
    <border diagonalUp="false" diagonalDown="false">
      <left/>
      <right style="thin">
        <color rgb="FFF3F7FD"/>
      </right>
      <top style="thin">
        <color rgb="FFF3F7FD"/>
      </top>
      <bottom/>
      <diagonal/>
    </border>
    <border diagonalUp="false" diagonalDown="false">
      <left style="medium"/>
      <right/>
      <top/>
      <bottom style="thin"/>
      <diagonal/>
    </border>
    <border diagonalUp="false" diagonalDown="false">
      <left/>
      <right/>
      <top style="thin"/>
      <bottom/>
      <diagonal/>
    </border>
    <border diagonalUp="false" diagonalDown="false">
      <left/>
      <right style="medium"/>
      <top style="thin"/>
      <bottom/>
      <diagonal/>
    </border>
    <border diagonalUp="false" diagonalDown="false">
      <left/>
      <right style="medium"/>
      <top style="thin"/>
      <bottom style="thin"/>
      <diagonal/>
    </border>
    <border diagonalUp="false" diagonalDown="false">
      <left style="medium"/>
      <right/>
      <top/>
      <bottom style="double"/>
      <diagonal/>
    </border>
    <border diagonalUp="false" diagonalDown="false">
      <left/>
      <right/>
      <top style="double"/>
      <bottom/>
      <diagonal/>
    </border>
    <border diagonalUp="false" diagonalDown="false">
      <left/>
      <right style="medium"/>
      <top style="double"/>
      <bottom/>
      <diagonal/>
    </border>
    <border diagonalUp="false" diagonalDown="false">
      <left/>
      <right style="medium"/>
      <top/>
      <bottom style="thin"/>
      <diagonal/>
    </border>
    <border diagonalUp="false" diagonalDown="false">
      <left style="medium"/>
      <right/>
      <top style="thin"/>
      <bottom style="thin"/>
      <diagonal/>
    </border>
    <border diagonalUp="false" diagonalDown="false">
      <left style="medium"/>
      <right/>
      <top style="thin"/>
      <bottom/>
      <diagonal/>
    </border>
    <border diagonalUp="false" diagonalDown="false">
      <left/>
      <right/>
      <top/>
      <bottom style="mediu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medium"/>
      <right/>
      <top style="thin"/>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thin">
        <color rgb="FFF3F7FD"/>
      </left>
      <right style="thin">
        <color rgb="FFF3F7FD"/>
      </right>
      <top style="thin">
        <color rgb="FFF3F7FD"/>
      </top>
      <bottom style="thin"/>
      <diagonal/>
    </border>
    <border diagonalUp="false" diagonalDown="false">
      <left style="thin">
        <color rgb="FFF3F7FD"/>
      </left>
      <right style="medium"/>
      <top style="thin">
        <color rgb="FFF3F7FD"/>
      </top>
      <bottom style="thin"/>
      <diagonal/>
    </border>
    <border diagonalUp="false" diagonalDown="false">
      <left/>
      <right style="thin">
        <color rgb="FFF3F7FD"/>
      </right>
      <top style="thin">
        <color rgb="FFF3F7FD"/>
      </top>
      <bottom style="thin"/>
      <diagonal/>
    </border>
    <border diagonalUp="false" diagonalDown="false">
      <left style="medium"/>
      <right style="medium"/>
      <top style="medium"/>
      <bottom style="medium"/>
      <diagonal/>
    </border>
    <border diagonalUp="false" diagonalDown="false">
      <left/>
      <right style="thin"/>
      <top/>
      <bottom/>
      <diagonal/>
    </border>
    <border diagonalUp="false" diagonalDown="false">
      <left/>
      <right style="thin"/>
      <top style="medium"/>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style="medium"/>
      <bottom style="thin"/>
      <diagonal/>
    </border>
    <border diagonalUp="false" diagonalDown="false">
      <left style="medium"/>
      <right style="medium"/>
      <top style="thin"/>
      <bottom style="thin"/>
      <diagonal/>
    </border>
    <border diagonalUp="false" diagonalDown="false">
      <left/>
      <right style="thin"/>
      <top/>
      <bottom style="medium"/>
      <diagonal/>
    </border>
    <border diagonalUp="false" diagonalDown="false">
      <left/>
      <right style="thin"/>
      <top style="medium"/>
      <bottom/>
      <diagonal/>
    </border>
    <border diagonalUp="false" diagonalDown="false">
      <left style="medium"/>
      <right style="medium"/>
      <top style="thin"/>
      <bottom style="medium"/>
      <diagonal/>
    </border>
    <border diagonalUp="false" diagonalDown="false">
      <left style="medium"/>
      <right/>
      <top style="thin"/>
      <bottom style="double"/>
      <diagonal/>
    </border>
    <border diagonalUp="false" diagonalDown="false">
      <left/>
      <right style="medium"/>
      <top style="thin"/>
      <bottom style="double"/>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thin"/>
      <right style="thin"/>
      <top style="thin"/>
      <bottom style="medium"/>
      <diagonal/>
    </border>
    <border diagonalUp="false" diagonalDown="false">
      <left style="thin"/>
      <right style="thin"/>
      <top style="thin"/>
      <bottom/>
      <diagonal/>
    </border>
    <border diagonalUp="false" diagonalDown="false">
      <left style="thin"/>
      <right style="medium"/>
      <top style="thin"/>
      <bottom style="medium"/>
      <diagonal/>
    </border>
    <border diagonalUp="false" diagonalDown="false">
      <left style="thin"/>
      <right/>
      <top/>
      <bottom style="thin"/>
      <diagonal/>
    </border>
    <border diagonalUp="false" diagonalDown="false">
      <left style="thin"/>
      <right style="medium"/>
      <top/>
      <bottom style="thin"/>
      <diagonal/>
    </border>
    <border diagonalUp="false" diagonalDown="false">
      <left style="medium"/>
      <right style="thin"/>
      <top/>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23"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23"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cellStyleXfs>
  <cellXfs count="8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7" fillId="2" borderId="2" xfId="0" applyFont="true" applyBorder="true" applyAlignment="true" applyProtection="true">
      <alignment horizontal="general" vertical="bottom" textRotation="0" wrapText="false" indent="0" shrinkToFit="false"/>
      <protection locked="true" hidden="false"/>
    </xf>
    <xf numFmtId="164" fontId="7" fillId="2" borderId="3" xfId="0" applyFont="true" applyBorder="true" applyAlignment="true" applyProtection="true">
      <alignment horizontal="general" vertical="bottom" textRotation="0" wrapText="false" indent="0" shrinkToFit="false"/>
      <protection locked="true" hidden="false"/>
    </xf>
    <xf numFmtId="164" fontId="7" fillId="2" borderId="4" xfId="0" applyFont="true" applyBorder="true" applyAlignment="true" applyProtection="true">
      <alignment horizontal="general" vertical="bottom" textRotation="0" wrapText="false" indent="0" shrinkToFit="false"/>
      <protection locked="true" hidden="false"/>
    </xf>
    <xf numFmtId="164" fontId="7" fillId="2" borderId="5" xfId="0" applyFont="true" applyBorder="tru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top" textRotation="0" wrapText="false" indent="0" shrinkToFit="false"/>
      <protection locked="true" hidden="false"/>
    </xf>
    <xf numFmtId="164" fontId="0" fillId="0" borderId="3" xfId="0" applyFont="true" applyBorder="true" applyAlignment="true" applyProtection="true">
      <alignment horizontal="left" vertical="top" textRotation="0" wrapText="true" indent="0" shrinkToFit="false"/>
      <protection locked="true" hidden="false"/>
    </xf>
    <xf numFmtId="164" fontId="9" fillId="3" borderId="2"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8" fillId="0" borderId="6" xfId="0" applyFont="true" applyBorder="true" applyAlignment="true" applyProtection="true">
      <alignment horizontal="general" vertical="top" textRotation="0" wrapText="false" indent="0" shrinkToFit="false"/>
      <protection locked="true" hidden="false"/>
    </xf>
    <xf numFmtId="164" fontId="0" fillId="0" borderId="7" xfId="0" applyFont="true" applyBorder="true" applyAlignment="true" applyProtection="true">
      <alignment horizontal="left" vertical="top" textRotation="0" wrapText="tru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true" applyProtection="true">
      <alignment horizontal="general" vertical="bottom" textRotation="0" wrapText="false" indent="0" shrinkToFit="false"/>
      <protection locked="true" hidden="false"/>
    </xf>
    <xf numFmtId="167" fontId="0" fillId="0" borderId="7" xfId="0" applyFont="false" applyBorder="true" applyAlignment="true" applyProtection="true">
      <alignment horizontal="left" vertical="top" textRotation="0" wrapText="true" indent="0" shrinkToFit="false"/>
      <protection locked="true" hidden="false"/>
    </xf>
    <xf numFmtId="164" fontId="10" fillId="0" borderId="6" xfId="0"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true" applyProtection="true">
      <alignment horizontal="general" vertical="top" textRotation="0" wrapText="true" indent="0" shrinkToFit="false"/>
      <protection locked="true" hidden="false"/>
    </xf>
    <xf numFmtId="164" fontId="11" fillId="0" borderId="6" xfId="0" applyFont="true" applyBorder="true" applyAlignment="true" applyProtection="true">
      <alignment horizontal="general" vertical="bottom" textRotation="0" wrapText="false" indent="0" shrinkToFit="false"/>
      <protection locked="true" hidden="false"/>
    </xf>
    <xf numFmtId="164" fontId="12" fillId="0" borderId="6"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top" textRotation="0" wrapText="true" indent="0" shrinkToFit="false"/>
      <protection locked="true" hidden="false"/>
    </xf>
    <xf numFmtId="164" fontId="0" fillId="4" borderId="8" xfId="0" applyFont="false" applyBorder="true" applyAlignment="true" applyProtection="true">
      <alignment horizontal="general" vertical="bottom" textRotation="0" wrapText="false" indent="0" shrinkToFit="false"/>
      <protection locked="true" hidden="false"/>
    </xf>
    <xf numFmtId="164" fontId="0" fillId="0" borderId="9" xfId="0" applyFont="true" applyBorder="true" applyAlignment="true" applyProtection="true">
      <alignment horizontal="general" vertical="bottom" textRotation="0" wrapText="false" indent="0" shrinkToFit="false"/>
      <protection locked="true" hidden="false"/>
    </xf>
    <xf numFmtId="164" fontId="5" fillId="0" borderId="8" xfId="0" applyFont="tru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top" textRotation="0" wrapText="true" indent="0" shrinkToFit="false"/>
      <protection locked="true" hidden="false"/>
    </xf>
    <xf numFmtId="164" fontId="8" fillId="0" borderId="2" xfId="0" applyFont="true" applyBorder="true" applyAlignment="true" applyProtection="true">
      <alignment horizontal="general" vertical="top" textRotation="0" wrapText="true" indent="0" shrinkToFit="false"/>
      <protection locked="true" hidden="false"/>
    </xf>
    <xf numFmtId="164" fontId="10" fillId="0" borderId="3" xfId="0" applyFont="true" applyBorder="true" applyAlignment="true" applyProtection="true">
      <alignment horizontal="left" vertical="top" textRotation="0" wrapText="true" indent="0" shrinkToFit="false"/>
      <protection locked="true" hidden="false"/>
    </xf>
    <xf numFmtId="164" fontId="8" fillId="4" borderId="2" xfId="0" applyFont="true" applyBorder="true" applyAlignment="true" applyProtection="true">
      <alignment horizontal="general" vertical="bottom" textRotation="0" wrapText="false" indent="0" shrinkToFit="false"/>
      <protection locked="true" hidden="false"/>
    </xf>
    <xf numFmtId="164" fontId="8" fillId="0" borderId="6" xfId="0" applyFont="true" applyBorder="true" applyAlignment="true" applyProtection="true">
      <alignment horizontal="general" vertical="top" textRotation="0" wrapText="true" indent="0" shrinkToFit="false"/>
      <protection locked="true" hidden="false"/>
    </xf>
    <xf numFmtId="164" fontId="10" fillId="0" borderId="7" xfId="0" applyFont="true" applyBorder="true" applyAlignment="true" applyProtection="true">
      <alignment horizontal="left" vertical="top" textRotation="0" wrapText="true" indent="0" shrinkToFit="false"/>
      <protection locked="true" hidden="false"/>
    </xf>
    <xf numFmtId="164" fontId="8" fillId="4" borderId="6" xfId="0" applyFont="true" applyBorder="true" applyAlignment="true" applyProtection="true">
      <alignment horizontal="general" vertical="bottom" textRotation="0" wrapText="false" indent="0" shrinkToFit="false"/>
      <protection locked="true" hidden="false"/>
    </xf>
    <xf numFmtId="168" fontId="11" fillId="0" borderId="7" xfId="0" applyFont="true" applyBorder="true" applyAlignment="true" applyProtection="true">
      <alignment horizontal="left" vertical="top" textRotation="0" wrapText="true" indent="0" shrinkToFit="false"/>
      <protection locked="true" hidden="false"/>
    </xf>
    <xf numFmtId="169" fontId="11" fillId="0" borderId="7" xfId="0" applyFont="true" applyBorder="true" applyAlignment="true" applyProtection="true">
      <alignment horizontal="left" vertical="top" textRotation="0" wrapText="true" indent="0" shrinkToFit="false"/>
      <protection locked="true" hidden="false"/>
    </xf>
    <xf numFmtId="164" fontId="13" fillId="0" borderId="7" xfId="0" applyFont="true" applyBorder="true" applyAlignment="true" applyProtection="true">
      <alignment horizontal="left" vertical="top" textRotation="0" wrapText="tru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4" fontId="5" fillId="0" borderId="7" xfId="0" applyFont="true" applyBorder="true" applyAlignment="true" applyProtection="true">
      <alignment horizontal="general" vertical="bottom" textRotation="0" wrapText="false" indent="0" shrinkToFit="false"/>
      <protection locked="true" hidden="false"/>
    </xf>
    <xf numFmtId="164" fontId="5" fillId="0" borderId="9" xfId="0" applyFont="true" applyBorder="true" applyAlignment="true" applyProtection="true">
      <alignment horizontal="general" vertical="bottom" textRotation="0" wrapText="false" indent="0" shrinkToFit="false"/>
      <protection locked="true" hidden="false"/>
    </xf>
    <xf numFmtId="164" fontId="8" fillId="4" borderId="8" xfId="0" applyFont="true" applyBorder="true" applyAlignment="true" applyProtection="true">
      <alignment horizontal="general" vertical="bottom" textRotation="0" wrapText="false" indent="0" shrinkToFit="false"/>
      <protection locked="true" hidden="false"/>
    </xf>
    <xf numFmtId="164" fontId="0" fillId="0" borderId="10" xfId="0" applyFont="true" applyBorder="true" applyAlignment="true" applyProtection="true">
      <alignment horizontal="general" vertical="bottom" textRotation="0" wrapText="false" indent="0" shrinkToFit="false"/>
      <protection locked="true" hidden="false"/>
    </xf>
    <xf numFmtId="164" fontId="14" fillId="5" borderId="0" xfId="0" applyFont="true" applyBorder="false" applyAlignment="true" applyProtection="true">
      <alignment horizontal="general" vertical="bottom" textRotation="0" wrapText="false" indent="0" shrinkToFit="false"/>
      <protection locked="true" hidden="false"/>
    </xf>
    <xf numFmtId="164" fontId="10" fillId="5" borderId="0" xfId="0" applyFont="true" applyBorder="false" applyAlignment="true" applyProtection="true">
      <alignment horizontal="general" vertical="bottom" textRotation="0" wrapText="false" indent="0" shrinkToFit="false"/>
      <protection locked="true" hidden="false"/>
    </xf>
    <xf numFmtId="164" fontId="15" fillId="5" borderId="0" xfId="0" applyFont="true" applyBorder="false" applyAlignment="true" applyProtection="true">
      <alignment horizontal="general" vertical="bottom" textRotation="0" wrapText="false" indent="0" shrinkToFit="false"/>
      <protection locked="true" hidden="false"/>
    </xf>
    <xf numFmtId="164" fontId="16" fillId="5" borderId="0" xfId="0" applyFont="true" applyBorder="false" applyAlignment="true" applyProtection="true">
      <alignment horizontal="general" vertical="bottom" textRotation="0" wrapText="false" indent="0" shrinkToFit="false"/>
      <protection locked="true" hidden="false"/>
    </xf>
    <xf numFmtId="164" fontId="17" fillId="5" borderId="0" xfId="0" applyFont="true" applyBorder="false" applyAlignment="true" applyProtection="true">
      <alignment horizontal="right" vertical="bottom" textRotation="0" wrapText="false" indent="0" shrinkToFit="false"/>
      <protection locked="true" hidden="false"/>
    </xf>
    <xf numFmtId="164" fontId="18" fillId="6" borderId="11" xfId="0" applyFont="true" applyBorder="true" applyAlignment="true" applyProtection="true">
      <alignment horizontal="center" vertical="bottom" textRotation="0" wrapText="false" indent="0" shrinkToFit="false"/>
      <protection locked="true" hidden="false"/>
    </xf>
    <xf numFmtId="164" fontId="19" fillId="5" borderId="0" xfId="0" applyFont="true" applyBorder="false" applyAlignment="true" applyProtection="true">
      <alignment horizontal="general" vertical="bottom" textRotation="0" wrapText="false" indent="0" shrinkToFit="false"/>
      <protection locked="true" hidden="false"/>
    </xf>
    <xf numFmtId="164" fontId="8" fillId="5" borderId="0" xfId="0" applyFont="true" applyBorder="false" applyAlignment="true" applyProtection="true">
      <alignment horizontal="general" vertical="bottom" textRotation="0" wrapText="false" indent="0" shrinkToFit="false"/>
      <protection locked="true" hidden="false"/>
    </xf>
    <xf numFmtId="164" fontId="20" fillId="5" borderId="0" xfId="0" applyFont="true" applyBorder="false" applyAlignment="true" applyProtection="true">
      <alignment horizontal="general" vertical="bottom" textRotation="0" wrapText="false" indent="0" shrinkToFit="false"/>
      <protection locked="true" hidden="false"/>
    </xf>
    <xf numFmtId="164" fontId="21" fillId="5" borderId="0" xfId="0" applyFont="true" applyBorder="false" applyAlignment="true" applyProtection="true">
      <alignment horizontal="general" vertical="bottom" textRotation="0" wrapText="false" indent="0" shrinkToFit="false"/>
      <protection locked="true" hidden="false"/>
    </xf>
    <xf numFmtId="164" fontId="10" fillId="5" borderId="12" xfId="0" applyFont="true" applyBorder="true" applyAlignment="true" applyProtection="true">
      <alignment horizontal="left" vertical="top" textRotation="0" wrapText="true" indent="0" shrinkToFit="false"/>
      <protection locked="true" hidden="false"/>
    </xf>
    <xf numFmtId="164" fontId="10" fillId="5" borderId="13" xfId="0" applyFont="true" applyBorder="true" applyAlignment="true" applyProtection="true">
      <alignment horizontal="left" vertical="top" textRotation="0" wrapText="true" indent="0" shrinkToFit="false"/>
      <protection locked="true" hidden="false"/>
    </xf>
    <xf numFmtId="164" fontId="10" fillId="5" borderId="14" xfId="0" applyFont="true" applyBorder="true" applyAlignment="true" applyProtection="true">
      <alignment horizontal="left" vertical="top" textRotation="0" wrapText="true" indent="0" shrinkToFit="false"/>
      <protection locked="true" hidden="false"/>
    </xf>
    <xf numFmtId="164" fontId="22" fillId="5" borderId="15" xfId="0" applyFont="true" applyBorder="true" applyAlignment="true" applyProtection="true">
      <alignment horizontal="left" vertical="center" textRotation="0" wrapText="false" indent="1" shrinkToFit="false"/>
      <protection locked="true" hidden="false"/>
    </xf>
    <xf numFmtId="170" fontId="0" fillId="3" borderId="11" xfId="15" applyFont="true" applyBorder="true" applyAlignment="true" applyProtection="true">
      <alignment horizontal="center" vertical="center" textRotation="0" wrapText="false" indent="0" shrinkToFit="false"/>
      <protection locked="true" hidden="false"/>
    </xf>
    <xf numFmtId="164" fontId="24" fillId="5" borderId="16" xfId="0" applyFont="true" applyBorder="true" applyAlignment="true" applyProtection="true">
      <alignment horizontal="left" vertical="center" textRotation="0" wrapText="true" indent="0" shrinkToFit="false"/>
      <protection locked="true" hidden="false"/>
    </xf>
    <xf numFmtId="164" fontId="19" fillId="5" borderId="0" xfId="0" applyFont="true" applyBorder="false" applyAlignment="true" applyProtection="true">
      <alignment horizontal="general" vertical="center" textRotation="0" wrapText="false" indent="0" shrinkToFit="false"/>
      <protection locked="true" hidden="false"/>
    </xf>
    <xf numFmtId="164" fontId="25" fillId="5" borderId="17" xfId="0" applyFont="true" applyBorder="true" applyAlignment="true" applyProtection="true">
      <alignment horizontal="left" vertical="center" textRotation="0" wrapText="true" indent="0" shrinkToFit="false"/>
      <protection locked="true" hidden="false"/>
    </xf>
    <xf numFmtId="164" fontId="10" fillId="5" borderId="18" xfId="0" applyFont="true" applyBorder="true" applyAlignment="true" applyProtection="true">
      <alignment horizontal="left" vertical="top" textRotation="0" wrapText="true" indent="0" shrinkToFit="false"/>
      <protection locked="true" hidden="false"/>
    </xf>
    <xf numFmtId="164" fontId="10" fillId="5" borderId="19" xfId="0" applyFont="true" applyBorder="true" applyAlignment="true" applyProtection="true">
      <alignment horizontal="left" vertical="top" textRotation="0" wrapText="true" indent="0" shrinkToFit="false"/>
      <protection locked="true" hidden="false"/>
    </xf>
    <xf numFmtId="164" fontId="10" fillId="5" borderId="20" xfId="0" applyFont="true" applyBorder="true" applyAlignment="true" applyProtection="true">
      <alignment horizontal="left" vertical="top" textRotation="0" wrapText="true" indent="0" shrinkToFit="false"/>
      <protection locked="true" hidden="false"/>
    </xf>
    <xf numFmtId="164" fontId="26" fillId="5" borderId="0" xfId="0" applyFont="true" applyBorder="false" applyAlignment="true" applyProtection="true">
      <alignment horizontal="general" vertical="bottom" textRotation="0" wrapText="false" indent="0" shrinkToFit="false"/>
      <protection locked="true" hidden="false"/>
    </xf>
    <xf numFmtId="164" fontId="27" fillId="7" borderId="0" xfId="0" applyFont="true" applyBorder="false" applyAlignment="true" applyProtection="true">
      <alignment horizontal="general" vertical="center" textRotation="0" wrapText="false" indent="0" shrinkToFit="false"/>
      <protection locked="true" hidden="false"/>
    </xf>
    <xf numFmtId="164" fontId="28" fillId="7" borderId="0" xfId="0" applyFont="true" applyBorder="false" applyAlignment="true" applyProtection="true">
      <alignment horizontal="general" vertical="bottom" textRotation="0" wrapText="false" indent="0" shrinkToFit="false"/>
      <protection locked="true" hidden="false"/>
    </xf>
    <xf numFmtId="164" fontId="5" fillId="7" borderId="0" xfId="0" applyFont="true" applyBorder="false" applyAlignment="true" applyProtection="true">
      <alignment horizontal="general" vertical="bottom" textRotation="0" wrapText="false" indent="0" shrinkToFit="false"/>
      <protection locked="true" hidden="false"/>
    </xf>
    <xf numFmtId="164" fontId="8" fillId="5" borderId="21" xfId="0" applyFont="true" applyBorder="true" applyAlignment="true" applyProtection="true">
      <alignment horizontal="center" vertical="center" textRotation="0" wrapText="true" indent="0" shrinkToFit="false"/>
      <protection locked="true" hidden="false"/>
    </xf>
    <xf numFmtId="164" fontId="8" fillId="8" borderId="21" xfId="0" applyFont="true" applyBorder="true" applyAlignment="true" applyProtection="true">
      <alignment horizontal="center" vertical="center" textRotation="0" wrapText="true" indent="0" shrinkToFit="false"/>
      <protection locked="true" hidden="false"/>
    </xf>
    <xf numFmtId="164" fontId="12" fillId="5" borderId="0" xfId="0" applyFont="true" applyBorder="false" applyAlignment="true" applyProtection="true">
      <alignment horizontal="center" vertical="center" textRotation="0" wrapText="true" indent="0" shrinkToFit="false"/>
      <protection locked="true" hidden="false"/>
    </xf>
    <xf numFmtId="164" fontId="29" fillId="5" borderId="0" xfId="0" applyFont="true" applyBorder="false" applyAlignment="true" applyProtection="true">
      <alignment horizontal="general" vertical="bottom" textRotation="0" wrapText="false" indent="0" shrinkToFit="false"/>
      <protection locked="true" hidden="false"/>
    </xf>
    <xf numFmtId="170" fontId="29" fillId="5" borderId="0" xfId="0" applyFont="true" applyBorder="false" applyAlignment="true" applyProtection="true">
      <alignment horizontal="general" vertical="bottom" textRotation="0" wrapText="false" indent="0" shrinkToFit="false"/>
      <protection locked="true" hidden="false"/>
    </xf>
    <xf numFmtId="170" fontId="8" fillId="5" borderId="0" xfId="0" applyFont="true" applyBorder="false" applyAlignment="true" applyProtection="true">
      <alignment horizontal="general" vertical="bottom" textRotation="0" wrapText="false" indent="0" shrinkToFit="false"/>
      <protection locked="true" hidden="false"/>
    </xf>
    <xf numFmtId="171" fontId="5" fillId="8" borderId="22" xfId="0" applyFont="true" applyBorder="true" applyAlignment="true" applyProtection="true">
      <alignment horizontal="center" vertical="center"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70" fontId="9" fillId="5" borderId="0" xfId="15" applyFont="true" applyBorder="false" applyAlignment="true" applyProtection="true">
      <alignment horizontal="general" vertical="bottom" textRotation="0" wrapText="false" indent="0" shrinkToFit="false"/>
      <protection locked="true" hidden="false"/>
    </xf>
    <xf numFmtId="170" fontId="30" fillId="5" borderId="0" xfId="15" applyFont="true" applyBorder="false" applyAlignment="true" applyProtection="true">
      <alignment horizontal="general" vertical="bottom" textRotation="0" wrapText="false" indent="0" shrinkToFit="false"/>
      <protection locked="true" hidden="false"/>
    </xf>
    <xf numFmtId="171" fontId="9" fillId="5" borderId="0" xfId="0" applyFont="true" applyBorder="false" applyAlignment="true" applyProtection="true">
      <alignment horizontal="general" vertical="bottom" textRotation="0" wrapText="false" indent="0" shrinkToFit="false"/>
      <protection locked="true" hidden="false"/>
    </xf>
    <xf numFmtId="164" fontId="9" fillId="5" borderId="0" xfId="0" applyFont="true" applyBorder="false" applyAlignment="true" applyProtection="true">
      <alignment horizontal="general" vertical="bottom" textRotation="0" wrapText="false" indent="0" shrinkToFit="false"/>
      <protection locked="true" hidden="false"/>
    </xf>
    <xf numFmtId="164" fontId="5" fillId="5" borderId="23" xfId="0" applyFont="true" applyBorder="true" applyAlignment="true" applyProtection="true">
      <alignment horizontal="general" vertical="bottom" textRotation="0" wrapText="false" indent="0" shrinkToFit="false"/>
      <protection locked="true" hidden="false"/>
    </xf>
    <xf numFmtId="170" fontId="9" fillId="5" borderId="23" xfId="15" applyFont="true" applyBorder="true" applyAlignment="true" applyProtection="true">
      <alignment horizontal="general" vertical="bottom" textRotation="0" wrapText="false" indent="0" shrinkToFit="false"/>
      <protection locked="true" hidden="false"/>
    </xf>
    <xf numFmtId="170" fontId="30" fillId="5" borderId="23" xfId="15" applyFont="true" applyBorder="true" applyAlignment="true" applyProtection="true">
      <alignment horizontal="general" vertical="bottom" textRotation="0" wrapText="false" indent="0" shrinkToFit="false"/>
      <protection locked="true" hidden="false"/>
    </xf>
    <xf numFmtId="171" fontId="9" fillId="5" borderId="23" xfId="0" applyFont="true" applyBorder="true" applyAlignment="true" applyProtection="true">
      <alignment horizontal="general" vertical="bottom" textRotation="0" wrapText="false" indent="0" shrinkToFit="false"/>
      <protection locked="true" hidden="false"/>
    </xf>
    <xf numFmtId="164" fontId="9" fillId="5" borderId="23" xfId="0" applyFont="true" applyBorder="true" applyAlignment="true" applyProtection="true">
      <alignment horizontal="general" vertical="bottom" textRotation="0" wrapText="false" indent="0" shrinkToFit="false"/>
      <protection locked="true" hidden="false"/>
    </xf>
    <xf numFmtId="164" fontId="5" fillId="6" borderId="0" xfId="0" applyFont="true" applyBorder="false" applyAlignment="true" applyProtection="true">
      <alignment horizontal="general" vertical="bottom" textRotation="0" wrapText="false" indent="0" shrinkToFit="false"/>
      <protection locked="true" hidden="false"/>
    </xf>
    <xf numFmtId="170" fontId="5" fillId="6" borderId="0" xfId="0" applyFont="true" applyBorder="false" applyAlignment="true" applyProtection="true">
      <alignment horizontal="general" vertical="bottom" textRotation="0" wrapText="false" indent="0" shrinkToFit="false"/>
      <protection locked="true" hidden="false"/>
    </xf>
    <xf numFmtId="170" fontId="8" fillId="6" borderId="0" xfId="0" applyFont="true" applyBorder="false" applyAlignment="true" applyProtection="true">
      <alignment horizontal="general" vertical="bottom" textRotation="0" wrapText="false" indent="0" shrinkToFit="false"/>
      <protection locked="true" hidden="false"/>
    </xf>
    <xf numFmtId="171" fontId="5" fillId="8" borderId="24" xfId="0" applyFont="true" applyBorder="true" applyAlignment="true" applyProtection="true">
      <alignment horizontal="center" vertical="center" textRotation="0" wrapText="false" indent="0" shrinkToFit="false"/>
      <protection locked="true" hidden="false"/>
    </xf>
    <xf numFmtId="170" fontId="9" fillId="6" borderId="0" xfId="15" applyFont="true" applyBorder="false" applyAlignment="true" applyProtection="true">
      <alignment horizontal="general" vertical="bottom" textRotation="0" wrapText="false" indent="0" shrinkToFit="false"/>
      <protection locked="true" hidden="false"/>
    </xf>
    <xf numFmtId="170" fontId="30" fillId="6" borderId="0" xfId="15" applyFont="true" applyBorder="false" applyAlignment="true" applyProtection="true">
      <alignment horizontal="general" vertical="bottom" textRotation="0" wrapText="false" indent="0" shrinkToFit="false"/>
      <protection locked="true" hidden="false"/>
    </xf>
    <xf numFmtId="171" fontId="9" fillId="6" borderId="0" xfId="0" applyFont="true" applyBorder="false" applyAlignment="true" applyProtection="true">
      <alignment horizontal="general" vertical="bottom" textRotation="0" wrapText="false" indent="0" shrinkToFit="false"/>
      <protection locked="true" hidden="false"/>
    </xf>
    <xf numFmtId="164" fontId="9" fillId="6" borderId="0" xfId="0" applyFont="true" applyBorder="false" applyAlignment="true" applyProtection="true">
      <alignment horizontal="general" vertical="bottom" textRotation="0" wrapText="false" indent="0" shrinkToFit="false"/>
      <protection locked="true" hidden="false"/>
    </xf>
    <xf numFmtId="164" fontId="5" fillId="6" borderId="23" xfId="0" applyFont="true" applyBorder="true" applyAlignment="true" applyProtection="true">
      <alignment horizontal="general" vertical="bottom" textRotation="0" wrapText="false" indent="0" shrinkToFit="false"/>
      <protection locked="true" hidden="false"/>
    </xf>
    <xf numFmtId="170" fontId="9" fillId="6" borderId="23" xfId="15" applyFont="true" applyBorder="true" applyAlignment="true" applyProtection="true">
      <alignment horizontal="general" vertical="bottom" textRotation="0" wrapText="false" indent="0" shrinkToFit="false"/>
      <protection locked="true" hidden="false"/>
    </xf>
    <xf numFmtId="170" fontId="30" fillId="6" borderId="23" xfId="15" applyFont="true" applyBorder="true" applyAlignment="true" applyProtection="true">
      <alignment horizontal="general" vertical="bottom" textRotation="0" wrapText="false" indent="0" shrinkToFit="false"/>
      <protection locked="true" hidden="false"/>
    </xf>
    <xf numFmtId="171" fontId="9" fillId="6" borderId="23" xfId="0" applyFont="true" applyBorder="true" applyAlignment="true" applyProtection="true">
      <alignment horizontal="general" vertical="bottom" textRotation="0" wrapText="false" indent="0" shrinkToFit="false"/>
      <protection locked="true" hidden="false"/>
    </xf>
    <xf numFmtId="164" fontId="9" fillId="6" borderId="23" xfId="0" applyFont="true" applyBorder="true" applyAlignment="true" applyProtection="true">
      <alignment horizontal="general" vertical="bottom" textRotation="0" wrapText="false" indent="0" shrinkToFit="false"/>
      <protection locked="true" hidden="false"/>
    </xf>
    <xf numFmtId="170" fontId="5" fillId="5" borderId="0" xfId="15" applyFont="true" applyBorder="false" applyAlignment="true" applyProtection="true">
      <alignment horizontal="general" vertical="bottom" textRotation="0" wrapText="false" indent="0" shrinkToFit="false"/>
      <protection locked="true" hidden="false"/>
    </xf>
    <xf numFmtId="170" fontId="8" fillId="5" borderId="0" xfId="15" applyFont="true" applyBorder="false" applyAlignment="true" applyProtection="true">
      <alignment horizontal="general" vertical="bottom" textRotation="0" wrapText="false" indent="0" shrinkToFit="false"/>
      <protection locked="true" hidden="false"/>
    </xf>
    <xf numFmtId="171" fontId="5" fillId="5" borderId="0" xfId="0" applyFont="true" applyBorder="false" applyAlignment="true" applyProtection="true">
      <alignment horizontal="general" vertical="bottom" textRotation="0" wrapText="false" indent="0" shrinkToFit="false"/>
      <protection locked="true" hidden="false"/>
    </xf>
    <xf numFmtId="171" fontId="5" fillId="9" borderId="24" xfId="0" applyFont="true" applyBorder="true" applyAlignment="true" applyProtection="true">
      <alignment horizontal="center" vertical="center" textRotation="0" wrapText="false" indent="0" shrinkToFit="false"/>
      <protection locked="true" hidden="false"/>
    </xf>
    <xf numFmtId="170" fontId="5" fillId="6" borderId="0" xfId="15" applyFont="true" applyBorder="false" applyAlignment="true" applyProtection="true">
      <alignment horizontal="general" vertical="bottom" textRotation="0" wrapText="false" indent="0" shrinkToFit="false"/>
      <protection locked="true" hidden="false"/>
    </xf>
    <xf numFmtId="170" fontId="8" fillId="6" borderId="0" xfId="15" applyFont="true" applyBorder="false" applyAlignment="true" applyProtection="true">
      <alignment horizontal="general" vertical="bottom" textRotation="0" wrapText="false" indent="0" shrinkToFit="false"/>
      <protection locked="true" hidden="false"/>
    </xf>
    <xf numFmtId="171" fontId="5" fillId="6" borderId="0" xfId="0" applyFont="true" applyBorder="false" applyAlignment="true" applyProtection="true">
      <alignment horizontal="general" vertical="bottom" textRotation="0" wrapText="false" indent="0" shrinkToFit="false"/>
      <protection locked="true" hidden="false"/>
    </xf>
    <xf numFmtId="171" fontId="5" fillId="8" borderId="21" xfId="0" applyFont="true" applyBorder="true" applyAlignment="true" applyProtection="true">
      <alignment horizontal="center" vertical="center" textRotation="0" wrapText="false" indent="0" shrinkToFit="false"/>
      <protection locked="true" hidden="false"/>
    </xf>
    <xf numFmtId="164" fontId="5" fillId="5" borderId="25" xfId="0" applyFont="true" applyBorder="true" applyAlignment="true" applyProtection="true">
      <alignment horizontal="general" vertical="bottom" textRotation="0" wrapText="false" indent="0" shrinkToFit="false"/>
      <protection locked="true" hidden="false"/>
    </xf>
    <xf numFmtId="170" fontId="9" fillId="5" borderId="25" xfId="15" applyFont="true" applyBorder="true" applyAlignment="true" applyProtection="true">
      <alignment horizontal="general" vertical="bottom" textRotation="0" wrapText="false" indent="0" shrinkToFit="false"/>
      <protection locked="true" hidden="false"/>
    </xf>
    <xf numFmtId="170" fontId="30" fillId="5" borderId="25" xfId="15" applyFont="true" applyBorder="true" applyAlignment="true" applyProtection="true">
      <alignment horizontal="general" vertical="bottom" textRotation="0" wrapText="false" indent="0" shrinkToFit="false"/>
      <protection locked="true" hidden="false"/>
    </xf>
    <xf numFmtId="171" fontId="9" fillId="5" borderId="25" xfId="0" applyFont="true" applyBorder="true" applyAlignment="true" applyProtection="true">
      <alignment horizontal="general" vertical="bottom" textRotation="0" wrapText="false" indent="0" shrinkToFit="false"/>
      <protection locked="true" hidden="false"/>
    </xf>
    <xf numFmtId="164" fontId="9" fillId="5" borderId="25" xfId="0" applyFont="true" applyBorder="true" applyAlignment="true" applyProtection="true">
      <alignment horizontal="general" vertical="bottom" textRotation="0" wrapText="false" indent="0" shrinkToFit="false"/>
      <protection locked="true" hidden="false"/>
    </xf>
    <xf numFmtId="165" fontId="5" fillId="5" borderId="0" xfId="15" applyFont="true" applyBorder="false" applyAlignment="true" applyProtection="true">
      <alignment horizontal="general" vertical="bottom" textRotation="0" wrapText="false" indent="0" shrinkToFit="false"/>
      <protection locked="true" hidden="false"/>
    </xf>
    <xf numFmtId="164" fontId="29" fillId="5" borderId="0" xfId="0" applyFont="true" applyBorder="true" applyAlignment="true" applyProtection="true">
      <alignment horizontal="center" vertical="bottom" textRotation="0" wrapText="false" indent="0" shrinkToFit="false"/>
      <protection locked="true" hidden="false"/>
    </xf>
    <xf numFmtId="170" fontId="29" fillId="5" borderId="0" xfId="15" applyFont="true" applyBorder="false" applyAlignment="true" applyProtection="true">
      <alignment horizontal="general" vertical="bottom" textRotation="0" wrapText="false" indent="0" shrinkToFit="false"/>
      <protection locked="true" hidden="false"/>
    </xf>
    <xf numFmtId="166" fontId="5" fillId="5" borderId="0" xfId="15" applyFont="true" applyBorder="false" applyAlignment="true" applyProtection="true">
      <alignment horizontal="general" vertical="bottom" textRotation="0" wrapText="false" indent="0" shrinkToFit="false"/>
      <protection locked="true" hidden="false"/>
    </xf>
    <xf numFmtId="165" fontId="5" fillId="0" borderId="0" xfId="15" applyFont="true" applyBorder="false" applyAlignment="true" applyProtection="true">
      <alignment horizontal="general" vertical="bottom" textRotation="0" wrapText="false" indent="0" shrinkToFit="false"/>
      <protection locked="true" hidden="false"/>
    </xf>
    <xf numFmtId="164" fontId="20" fillId="7" borderId="2" xfId="0" applyFont="true" applyBorder="true" applyAlignment="true" applyProtection="true">
      <alignment horizontal="center" vertical="center" textRotation="0" wrapText="false" indent="0" shrinkToFit="false"/>
      <protection locked="true" hidden="false"/>
    </xf>
    <xf numFmtId="164" fontId="31" fillId="7" borderId="10" xfId="0" applyFont="true" applyBorder="true" applyAlignment="true" applyProtection="true">
      <alignment horizontal="general" vertical="center" textRotation="0" wrapText="false" indent="0" shrinkToFit="false"/>
      <protection locked="true" hidden="false"/>
    </xf>
    <xf numFmtId="164" fontId="5" fillId="7" borderId="10" xfId="0" applyFont="true" applyBorder="true" applyAlignment="true" applyProtection="true">
      <alignment horizontal="general" vertical="bottom" textRotation="0" wrapText="false" indent="0" shrinkToFit="false"/>
      <protection locked="true" hidden="false"/>
    </xf>
    <xf numFmtId="164" fontId="21" fillId="7" borderId="3" xfId="0" applyFont="true" applyBorder="true" applyAlignment="true" applyProtection="true">
      <alignment horizontal="general" vertical="bottom" textRotation="0" wrapText="false" indent="0" shrinkToFit="false"/>
      <protection locked="true" hidden="false"/>
    </xf>
    <xf numFmtId="165" fontId="5" fillId="10" borderId="0" xfId="15" applyFont="true" applyBorder="false" applyAlignment="true" applyProtection="true">
      <alignment horizontal="general" vertical="bottom" textRotation="0" wrapText="false" indent="0" shrinkToFit="false"/>
      <protection locked="true" hidden="false"/>
    </xf>
    <xf numFmtId="164" fontId="5" fillId="10" borderId="0" xfId="0" applyFont="true" applyBorder="false" applyAlignment="true" applyProtection="true">
      <alignment horizontal="general" vertical="bottom" textRotation="0" wrapText="false" indent="0" shrinkToFit="false"/>
      <protection locked="true" hidden="false"/>
    </xf>
    <xf numFmtId="172" fontId="5" fillId="11" borderId="6" xfId="0" applyFont="true" applyBorder="true" applyAlignment="true" applyProtection="true">
      <alignment horizontal="center" vertical="center" textRotation="0" wrapText="false" indent="0" shrinkToFit="false"/>
      <protection locked="true" hidden="false"/>
    </xf>
    <xf numFmtId="173" fontId="20" fillId="11" borderId="26" xfId="0" applyFont="true" applyBorder="true" applyAlignment="true" applyProtection="true">
      <alignment horizontal="center" vertical="bottom" textRotation="0" wrapText="false" indent="0" shrinkToFit="false"/>
      <protection locked="true" hidden="false"/>
    </xf>
    <xf numFmtId="173" fontId="20" fillId="11" borderId="27" xfId="0" applyFont="true" applyBorder="true" applyAlignment="true" applyProtection="true">
      <alignment horizontal="center" vertical="bottom" textRotation="0" wrapText="false" indent="0" shrinkToFit="false"/>
      <protection locked="true" hidden="false"/>
    </xf>
    <xf numFmtId="173" fontId="31" fillId="10" borderId="28" xfId="15" applyFont="true" applyBorder="true" applyAlignment="true" applyProtection="true">
      <alignment horizontal="center" vertical="bottom" textRotation="0" wrapText="false" indent="0" shrinkToFit="false"/>
      <protection locked="true" hidden="false"/>
    </xf>
    <xf numFmtId="173" fontId="31" fillId="10" borderId="26" xfId="0" applyFont="true" applyBorder="true" applyAlignment="true" applyProtection="true">
      <alignment horizontal="center" vertical="bottom" textRotation="0" wrapText="false" indent="0" shrinkToFit="false"/>
      <protection locked="true" hidden="false"/>
    </xf>
    <xf numFmtId="164" fontId="32" fillId="12" borderId="26" xfId="0" applyFont="true" applyBorder="true" applyAlignment="true" applyProtection="true">
      <alignment horizontal="center" vertical="bottom" textRotation="0" wrapText="false" indent="0" shrinkToFit="false"/>
      <protection locked="true" hidden="false"/>
    </xf>
    <xf numFmtId="164" fontId="31" fillId="12" borderId="26" xfId="0" applyFont="true" applyBorder="true" applyAlignment="true" applyProtection="true">
      <alignment horizontal="center" vertical="bottom" textRotation="0" wrapText="false" indent="0" shrinkToFit="false"/>
      <protection locked="true" hidden="false"/>
    </xf>
    <xf numFmtId="172" fontId="22" fillId="12" borderId="0" xfId="0" applyFont="true" applyBorder="false" applyAlignment="true" applyProtection="true">
      <alignment horizontal="center" vertical="center"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72" fontId="12" fillId="0" borderId="6" xfId="21" applyFont="true" applyBorder="true" applyAlignment="true" applyProtection="true">
      <alignment horizontal="general" vertical="bottom" textRotation="0" wrapText="false" indent="0" shrinkToFit="false"/>
      <protection locked="true" hidden="false"/>
    </xf>
    <xf numFmtId="165" fontId="5" fillId="0" borderId="7" xfId="15" applyFont="true" applyBorder="true" applyAlignment="true" applyProtection="true">
      <alignment horizontal="general" vertical="bottom" textRotation="0" wrapText="false" indent="0" shrinkToFit="false"/>
      <protection locked="true" hidden="false"/>
    </xf>
    <xf numFmtId="172" fontId="5" fillId="0" borderId="0" xfId="0" applyFont="true" applyBorder="false" applyAlignment="true" applyProtection="true">
      <alignment horizontal="general" vertical="bottom" textRotation="0" wrapText="false" indent="0" shrinkToFit="false"/>
      <protection locked="true" hidden="false"/>
    </xf>
    <xf numFmtId="172" fontId="30" fillId="0" borderId="6" xfId="21" applyFont="true" applyBorder="true" applyAlignment="true" applyProtection="true">
      <alignment horizontal="general" vertical="bottom" textRotation="0" wrapText="false" indent="0" shrinkToFit="false"/>
      <protection locked="true" hidden="false"/>
    </xf>
    <xf numFmtId="165" fontId="9" fillId="6" borderId="0" xfId="15" applyFont="true" applyBorder="false" applyAlignment="true" applyProtection="true">
      <alignment horizontal="general" vertical="bottom" textRotation="0" wrapText="false" indent="0" shrinkToFit="false"/>
      <protection locked="true" hidden="false"/>
    </xf>
    <xf numFmtId="165" fontId="9" fillId="6" borderId="7" xfId="15" applyFont="true" applyBorder="true" applyAlignment="true" applyProtection="true">
      <alignment horizontal="general" vertical="bottom" textRotation="0" wrapText="false" indent="0" shrinkToFit="false"/>
      <protection locked="true" hidden="false"/>
    </xf>
    <xf numFmtId="170" fontId="34" fillId="6" borderId="0" xfId="15" applyFont="true" applyBorder="false" applyAlignment="true" applyProtection="true">
      <alignment horizontal="general" vertical="bottom" textRotation="0" wrapText="false" indent="0" shrinkToFit="false"/>
      <protection locked="true" hidden="false"/>
    </xf>
    <xf numFmtId="170" fontId="34" fillId="6" borderId="0" xfId="0" applyFont="true" applyBorder="false" applyAlignment="true" applyProtection="true">
      <alignment horizontal="general" vertical="bottom" textRotation="0" wrapText="false" indent="0" shrinkToFit="false"/>
      <protection locked="true" hidden="false"/>
    </xf>
    <xf numFmtId="172" fontId="34" fillId="0" borderId="0" xfId="0" applyFont="true" applyBorder="false" applyAlignment="true" applyProtection="true">
      <alignment horizontal="general" vertical="bottom" textRotation="0" wrapText="false" indent="0" shrinkToFit="false"/>
      <protection locked="true" hidden="false"/>
    </xf>
    <xf numFmtId="172" fontId="9" fillId="0" borderId="0" xfId="0" applyFont="true" applyBorder="false" applyAlignment="true" applyProtection="true">
      <alignment horizontal="general" vertical="bottom" textRotation="0" wrapText="false" indent="0" shrinkToFit="false"/>
      <protection locked="true" hidden="false"/>
    </xf>
    <xf numFmtId="172" fontId="5" fillId="0" borderId="6" xfId="21" applyFont="true" applyBorder="true" applyAlignment="true" applyProtection="true">
      <alignment horizontal="general" vertical="bottom" textRotation="0" wrapText="false" indent="0" shrinkToFit="false"/>
      <protection locked="true" hidden="false"/>
    </xf>
    <xf numFmtId="165" fontId="34" fillId="0" borderId="0" xfId="15" applyFont="true" applyBorder="false" applyAlignment="true" applyProtection="true">
      <alignment horizontal="general" vertical="bottom" textRotation="0" wrapText="false" indent="0" shrinkToFit="false"/>
      <protection locked="true" hidden="false"/>
    </xf>
    <xf numFmtId="165" fontId="34" fillId="0" borderId="7" xfId="15" applyFont="true" applyBorder="true" applyAlignment="true" applyProtection="true">
      <alignment horizontal="general" vertical="bottom" textRotation="0" wrapText="false" indent="0" shrinkToFit="false"/>
      <protection locked="true" hidden="false"/>
    </xf>
    <xf numFmtId="172" fontId="5" fillId="0" borderId="29" xfId="21" applyFont="true" applyBorder="true" applyAlignment="true" applyProtection="true">
      <alignment horizontal="general" vertical="bottom" textRotation="0" wrapText="false" indent="0" shrinkToFit="false"/>
      <protection locked="true" hidden="false"/>
    </xf>
    <xf numFmtId="165" fontId="0" fillId="0" borderId="0" xfId="15" applyFont="true" applyBorder="false" applyAlignment="true" applyProtection="tru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72" fontId="12" fillId="8" borderId="6" xfId="21" applyFont="true" applyBorder="true" applyAlignment="true" applyProtection="true">
      <alignment horizontal="general" vertical="bottom" textRotation="0" wrapText="false" indent="0" shrinkToFit="false"/>
      <protection locked="true" hidden="false"/>
    </xf>
    <xf numFmtId="165" fontId="35" fillId="8" borderId="30" xfId="15" applyFont="true" applyBorder="true" applyAlignment="true" applyProtection="true">
      <alignment horizontal="general" vertical="bottom" textRotation="0" wrapText="false" indent="0" shrinkToFit="false"/>
      <protection locked="true" hidden="false"/>
    </xf>
    <xf numFmtId="165" fontId="35" fillId="8" borderId="31" xfId="15" applyFont="true" applyBorder="true" applyAlignment="true" applyProtection="true">
      <alignment horizontal="general" vertical="bottom" textRotation="0" wrapText="false" indent="0" shrinkToFit="false"/>
      <protection locked="true" hidden="false"/>
    </xf>
    <xf numFmtId="170" fontId="8" fillId="0" borderId="30" xfId="15" applyFont="true" applyBorder="true" applyAlignment="true" applyProtection="true">
      <alignment horizontal="general" vertical="bottom" textRotation="0" wrapText="false" indent="0" shrinkToFit="false"/>
      <protection locked="true" hidden="false"/>
    </xf>
    <xf numFmtId="170" fontId="8" fillId="0" borderId="30" xfId="0" applyFont="true" applyBorder="true" applyAlignment="true" applyProtection="true">
      <alignment horizontal="general" vertical="bottom" textRotation="0" wrapText="false" indent="0" shrinkToFit="false"/>
      <protection locked="true" hidden="false"/>
    </xf>
    <xf numFmtId="172" fontId="8" fillId="0" borderId="30" xfId="0" applyFont="true" applyBorder="tru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72" fontId="0" fillId="0" borderId="29" xfId="21" applyFont="true" applyBorder="true" applyAlignment="true" applyProtection="true">
      <alignment horizontal="general" vertical="bottom" textRotation="0" wrapText="false" indent="0" shrinkToFit="false"/>
      <protection locked="true" hidden="false"/>
    </xf>
    <xf numFmtId="170" fontId="8" fillId="0" borderId="24" xfId="15" applyFont="true" applyBorder="true" applyAlignment="true" applyProtection="true">
      <alignment horizontal="general" vertical="bottom" textRotation="0" wrapText="false" indent="0" shrinkToFit="false"/>
      <protection locked="true" hidden="false"/>
    </xf>
    <xf numFmtId="170" fontId="8" fillId="0" borderId="32" xfId="15" applyFont="true" applyBorder="true" applyAlignment="true" applyProtection="true">
      <alignment horizontal="general" vertical="bottom" textRotation="0" wrapText="false" indent="0" shrinkToFit="false"/>
      <protection locked="true" hidden="false"/>
    </xf>
    <xf numFmtId="172"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72" fontId="0" fillId="0" borderId="33" xfId="21" applyFont="true" applyBorder="true" applyAlignment="true" applyProtection="true">
      <alignment horizontal="general" vertical="bottom" textRotation="0" wrapText="false" indent="0" shrinkToFit="false"/>
      <protection locked="true" hidden="false"/>
    </xf>
    <xf numFmtId="170" fontId="0" fillId="0" borderId="0" xfId="15" applyFont="true" applyBorder="false" applyAlignment="true" applyProtection="true">
      <alignment horizontal="general" vertical="bottom" textRotation="0" wrapText="false" indent="0" shrinkToFit="false"/>
      <protection locked="true" hidden="false"/>
    </xf>
    <xf numFmtId="170" fontId="0" fillId="0" borderId="7" xfId="15" applyFont="true" applyBorder="tru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72" fontId="8" fillId="8" borderId="6" xfId="21" applyFont="true" applyBorder="true" applyAlignment="true" applyProtection="true">
      <alignment horizontal="general" vertical="bottom" textRotation="0" wrapText="false" indent="0" shrinkToFit="false"/>
      <protection locked="true" hidden="false"/>
    </xf>
    <xf numFmtId="170" fontId="8" fillId="8" borderId="34" xfId="15" applyFont="true" applyBorder="true" applyAlignment="true" applyProtection="true">
      <alignment horizontal="general" vertical="bottom" textRotation="0" wrapText="false" indent="0" shrinkToFit="false"/>
      <protection locked="true" hidden="false"/>
    </xf>
    <xf numFmtId="170" fontId="8" fillId="8" borderId="35" xfId="15" applyFont="true" applyBorder="true" applyAlignment="true" applyProtection="true">
      <alignment horizontal="general" vertical="bottom" textRotation="0" wrapText="false" indent="0" shrinkToFit="false"/>
      <protection locked="true" hidden="false"/>
    </xf>
    <xf numFmtId="170" fontId="8" fillId="0" borderId="34" xfId="15" applyFont="true" applyBorder="true" applyAlignment="true" applyProtection="true">
      <alignment horizontal="general" vertical="bottom" textRotation="0" wrapText="false" indent="0" shrinkToFit="false"/>
      <protection locked="true" hidden="false"/>
    </xf>
    <xf numFmtId="170" fontId="8" fillId="0" borderId="34" xfId="0" applyFont="true" applyBorder="true" applyAlignment="true" applyProtection="true">
      <alignment horizontal="general" vertical="bottom" textRotation="0" wrapText="false" indent="0" shrinkToFit="false"/>
      <protection locked="true" hidden="false"/>
    </xf>
    <xf numFmtId="172" fontId="8" fillId="0" borderId="34" xfId="0" applyFont="true" applyBorder="true" applyAlignment="true" applyProtection="true">
      <alignment horizontal="general" vertical="bottom" textRotation="0" wrapText="false" indent="0" shrinkToFit="false"/>
      <protection locked="true" hidden="false"/>
    </xf>
    <xf numFmtId="172" fontId="8" fillId="0" borderId="6" xfId="21" applyFont="true" applyBorder="true" applyAlignment="true" applyProtection="true">
      <alignment horizontal="general" vertical="bottom" textRotation="0" wrapText="false" indent="0" shrinkToFit="false"/>
      <protection locked="true" hidden="false"/>
    </xf>
    <xf numFmtId="170" fontId="8" fillId="0" borderId="0" xfId="15" applyFont="true" applyBorder="false" applyAlignment="true" applyProtection="true">
      <alignment horizontal="general" vertical="bottom" textRotation="0" wrapText="false" indent="0" shrinkToFit="false"/>
      <protection locked="true" hidden="false"/>
    </xf>
    <xf numFmtId="170" fontId="8" fillId="0" borderId="7" xfId="15" applyFont="true" applyBorder="true" applyAlignment="true" applyProtection="true">
      <alignment horizontal="general" vertical="bottom" textRotation="0" wrapText="false" indent="0" shrinkToFit="false"/>
      <protection locked="true" hidden="false"/>
    </xf>
    <xf numFmtId="170" fontId="8"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72" fontId="0" fillId="0" borderId="6" xfId="21" applyFont="true" applyBorder="true" applyAlignment="true" applyProtection="true">
      <alignment horizontal="general" vertical="bottom" textRotation="0" wrapText="false" indent="0" shrinkToFit="false"/>
      <protection locked="true" hidden="false"/>
    </xf>
    <xf numFmtId="174" fontId="0" fillId="0" borderId="0" xfId="15" applyFont="true" applyBorder="false" applyAlignment="true" applyProtection="true">
      <alignment horizontal="general" vertical="bottom" textRotation="0" wrapText="false" indent="0" shrinkToFit="false"/>
      <protection locked="true" hidden="false"/>
    </xf>
    <xf numFmtId="174" fontId="0" fillId="0" borderId="7" xfId="15" applyFont="true" applyBorder="true" applyAlignment="true" applyProtection="true">
      <alignment horizontal="general" vertical="bottom" textRotation="0" wrapText="false" indent="0" shrinkToFit="false"/>
      <protection locked="true" hidden="false"/>
    </xf>
    <xf numFmtId="174" fontId="0" fillId="0" borderId="0" xfId="0" applyFont="false" applyBorder="false" applyAlignment="true" applyProtection="true">
      <alignment horizontal="general" vertical="bottom" textRotation="0" wrapText="false" indent="0" shrinkToFit="false"/>
      <protection locked="true" hidden="false"/>
    </xf>
    <xf numFmtId="165" fontId="0" fillId="0" borderId="23" xfId="15" applyFont="true" applyBorder="true" applyAlignment="true" applyProtection="true">
      <alignment horizontal="general" vertical="bottom" textRotation="0" wrapText="false" indent="0" shrinkToFit="false"/>
      <protection locked="true" hidden="false"/>
    </xf>
    <xf numFmtId="165" fontId="0" fillId="0" borderId="36" xfId="15" applyFont="true" applyBorder="true" applyAlignment="true" applyProtection="true">
      <alignment horizontal="general" vertical="bottom" textRotation="0" wrapText="false" indent="0" shrinkToFit="false"/>
      <protection locked="true" hidden="false"/>
    </xf>
    <xf numFmtId="172" fontId="0" fillId="0" borderId="23" xfId="0" applyFont="false" applyBorder="true" applyAlignment="true" applyProtection="true">
      <alignment horizontal="general" vertical="bottom" textRotation="0" wrapText="false" indent="0" shrinkToFit="false"/>
      <protection locked="true" hidden="false"/>
    </xf>
    <xf numFmtId="170" fontId="34" fillId="6" borderId="7" xfId="15" applyFont="true" applyBorder="true" applyAlignment="true" applyProtection="true">
      <alignment horizontal="general" vertical="bottom" textRotation="0" wrapText="false" indent="0" shrinkToFit="false"/>
      <protection locked="true" hidden="false"/>
    </xf>
    <xf numFmtId="170" fontId="9" fillId="6" borderId="0" xfId="0" applyFont="true" applyBorder="false" applyAlignment="true" applyProtection="true">
      <alignment horizontal="general" vertical="bottom" textRotation="0" wrapText="false" indent="0" shrinkToFit="false"/>
      <protection locked="true" hidden="false"/>
    </xf>
    <xf numFmtId="172" fontId="5" fillId="0" borderId="6" xfId="21" applyFont="true" applyBorder="true" applyAlignment="true" applyProtection="true">
      <alignment horizontal="general" vertical="top" textRotation="0" wrapText="true" indent="0" shrinkToFit="false"/>
      <protection locked="true" hidden="false"/>
    </xf>
    <xf numFmtId="172" fontId="5" fillId="0" borderId="37" xfId="21" applyFont="true" applyBorder="true" applyAlignment="true" applyProtection="true">
      <alignment horizontal="general" vertical="bottom" textRotation="0" wrapText="false" indent="0" shrinkToFit="false"/>
      <protection locked="true" hidden="false"/>
    </xf>
    <xf numFmtId="165" fontId="9" fillId="6" borderId="24" xfId="15" applyFont="true" applyBorder="true" applyAlignment="true" applyProtection="true">
      <alignment horizontal="general" vertical="bottom" textRotation="0" wrapText="false" indent="0" shrinkToFit="false"/>
      <protection locked="true" hidden="false"/>
    </xf>
    <xf numFmtId="165" fontId="9" fillId="6" borderId="32" xfId="15" applyFont="true" applyBorder="true" applyAlignment="true" applyProtection="true">
      <alignment horizontal="general" vertical="bottom" textRotation="0" wrapText="false" indent="0" shrinkToFit="false"/>
      <protection locked="true" hidden="false"/>
    </xf>
    <xf numFmtId="172" fontId="0" fillId="0" borderId="38" xfId="21" applyFont="true" applyBorder="true" applyAlignment="true" applyProtection="true">
      <alignment horizontal="general" vertical="bottom" textRotation="0" wrapText="true" indent="0" shrinkToFit="false"/>
      <protection locked="true" hidden="false"/>
    </xf>
    <xf numFmtId="170" fontId="8" fillId="0" borderId="31" xfId="15" applyFont="true" applyBorder="true" applyAlignment="true" applyProtection="true">
      <alignment horizontal="general" vertical="bottom" textRotation="0" wrapText="false" indent="0" shrinkToFit="false"/>
      <protection locked="true" hidden="false"/>
    </xf>
    <xf numFmtId="172" fontId="12" fillId="0" borderId="0" xfId="0" applyFont="true" applyBorder="false" applyAlignment="true" applyProtection="true">
      <alignment horizontal="general" vertical="bottom" textRotation="0" wrapText="false" indent="0" shrinkToFit="false"/>
      <protection locked="true" hidden="false"/>
    </xf>
    <xf numFmtId="172" fontId="0" fillId="0" borderId="37" xfId="21" applyFont="true" applyBorder="true" applyAlignment="true" applyProtection="true">
      <alignment horizontal="general" vertical="bottom" textRotation="0" wrapText="false" indent="0" shrinkToFit="false"/>
      <protection locked="true" hidden="false"/>
    </xf>
    <xf numFmtId="172" fontId="0" fillId="0" borderId="38" xfId="21" applyFont="true" applyBorder="true" applyAlignment="true" applyProtection="true">
      <alignment horizontal="general" vertical="bottom" textRotation="0" wrapText="false" indent="0" shrinkToFit="false"/>
      <protection locked="true" hidden="false"/>
    </xf>
    <xf numFmtId="165" fontId="8" fillId="0" borderId="0" xfId="15" applyFont="true" applyBorder="false" applyAlignment="true" applyProtection="true">
      <alignment horizontal="general" vertical="bottom" textRotation="0" wrapText="false" indent="0" shrinkToFit="false"/>
      <protection locked="true" hidden="false"/>
    </xf>
    <xf numFmtId="165" fontId="8" fillId="0" borderId="7" xfId="15" applyFont="true" applyBorder="true" applyAlignment="true" applyProtection="true">
      <alignment horizontal="general" vertical="bottom" textRotation="0" wrapText="false" indent="0" shrinkToFit="false"/>
      <protection locked="true" hidden="false"/>
    </xf>
    <xf numFmtId="172" fontId="8" fillId="0" borderId="0" xfId="0" applyFont="true" applyBorder="false" applyAlignment="true" applyProtection="true">
      <alignment horizontal="general" vertical="bottom" textRotation="0" wrapText="false" indent="0" shrinkToFit="false"/>
      <protection locked="true" hidden="false"/>
    </xf>
    <xf numFmtId="172" fontId="8" fillId="0" borderId="38" xfId="21" applyFont="true" applyBorder="true" applyAlignment="true" applyProtection="true">
      <alignment horizontal="general" vertical="bottom" textRotation="0" wrapText="false" indent="0" shrinkToFit="false"/>
      <protection locked="true" hidden="false"/>
    </xf>
    <xf numFmtId="172" fontId="8" fillId="8" borderId="6" xfId="21" applyFont="true" applyBorder="true" applyAlignment="true" applyProtection="true">
      <alignment horizontal="general" vertical="bottom" textRotation="0" wrapText="true" indent="0" shrinkToFit="false"/>
      <protection locked="true" hidden="false"/>
    </xf>
    <xf numFmtId="170" fontId="8" fillId="8" borderId="30" xfId="15" applyFont="true" applyBorder="true" applyAlignment="true" applyProtection="true">
      <alignment horizontal="general" vertical="bottom" textRotation="0" wrapText="false" indent="0" shrinkToFit="false"/>
      <protection locked="true" hidden="false"/>
    </xf>
    <xf numFmtId="170" fontId="8" fillId="8" borderId="31" xfId="15" applyFont="true" applyBorder="true" applyAlignment="true" applyProtection="true">
      <alignment horizontal="general" vertical="bottom" textRotation="0" wrapText="false" indent="0" shrinkToFit="false"/>
      <protection locked="true" hidden="false"/>
    </xf>
    <xf numFmtId="170" fontId="0" fillId="8" borderId="30" xfId="15" applyFont="true" applyBorder="true" applyAlignment="true" applyProtection="true">
      <alignment horizontal="general" vertical="bottom" textRotation="0" wrapText="false" indent="0" shrinkToFit="false"/>
      <protection locked="true" hidden="false"/>
    </xf>
    <xf numFmtId="170" fontId="0" fillId="8" borderId="30" xfId="0" applyFont="false" applyBorder="true" applyAlignment="true" applyProtection="true">
      <alignment horizontal="general" vertical="bottom" textRotation="0" wrapText="false" indent="0" shrinkToFit="false"/>
      <protection locked="true" hidden="false"/>
    </xf>
    <xf numFmtId="172" fontId="0" fillId="0" borderId="30" xfId="0" applyFont="false" applyBorder="tru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72" fontId="37" fillId="5" borderId="6" xfId="21" applyFont="true" applyBorder="true" applyAlignment="true" applyProtection="true">
      <alignment horizontal="general" vertical="top" textRotation="0" wrapText="true" indent="0" shrinkToFit="false"/>
      <protection locked="true" hidden="false"/>
    </xf>
    <xf numFmtId="172" fontId="0" fillId="0" borderId="6" xfId="21" applyFont="true" applyBorder="true" applyAlignment="true" applyProtection="true">
      <alignment horizontal="general" vertical="top" textRotation="0" wrapText="true" indent="0" shrinkToFit="false"/>
      <protection locked="true" hidden="false"/>
    </xf>
    <xf numFmtId="170" fontId="0" fillId="8" borderId="31" xfId="15" applyFont="true" applyBorder="true" applyAlignment="true" applyProtection="true">
      <alignment horizontal="general" vertical="bottom" textRotation="0" wrapText="false" indent="0" shrinkToFit="false"/>
      <protection locked="true" hidden="false"/>
    </xf>
    <xf numFmtId="165" fontId="9" fillId="0" borderId="0" xfId="15" applyFont="true" applyBorder="false" applyAlignment="true" applyProtection="true">
      <alignment horizontal="general" vertical="bottom" textRotation="0" wrapText="false" indent="0" shrinkToFit="false"/>
      <protection locked="true" hidden="false"/>
    </xf>
    <xf numFmtId="165" fontId="9" fillId="0" borderId="7" xfId="15" applyFont="true" applyBorder="true" applyAlignment="true" applyProtection="true">
      <alignment horizontal="general" vertical="bottom" textRotation="0" wrapText="false" indent="0" shrinkToFit="false"/>
      <protection locked="true" hidden="false"/>
    </xf>
    <xf numFmtId="172" fontId="5" fillId="0" borderId="33" xfId="21" applyFont="true" applyBorder="true" applyAlignment="true" applyProtection="true">
      <alignment horizontal="general" vertical="bottom" textRotation="0" wrapText="false" indent="0" shrinkToFit="false"/>
      <protection locked="true" hidden="false"/>
    </xf>
    <xf numFmtId="170" fontId="8" fillId="8" borderId="34" xfId="0" applyFont="true" applyBorder="true" applyAlignment="true" applyProtection="true">
      <alignment horizontal="general" vertical="bottom" textRotation="0" wrapText="false" indent="0" shrinkToFit="false"/>
      <protection locked="true" hidden="false"/>
    </xf>
    <xf numFmtId="172" fontId="5" fillId="0" borderId="6" xfId="0" applyFont="true" applyBorder="true" applyAlignment="true" applyProtection="true">
      <alignment horizontal="general" vertical="bottom" textRotation="0" wrapText="false" indent="0" shrinkToFit="false"/>
      <protection locked="true" hidden="false"/>
    </xf>
    <xf numFmtId="172" fontId="12" fillId="0" borderId="7" xfId="0" applyFont="true" applyBorder="true" applyAlignment="true" applyProtection="true">
      <alignment horizontal="general" vertical="bottom" textRotation="0" wrapText="false" indent="0" shrinkToFit="false"/>
      <protection locked="true" hidden="false"/>
    </xf>
    <xf numFmtId="165" fontId="12" fillId="0" borderId="0" xfId="15" applyFont="true" applyBorder="false" applyAlignment="true" applyProtection="true">
      <alignment horizontal="general" vertical="bottom" textRotation="0" wrapText="false" indent="0" shrinkToFit="false"/>
      <protection locked="true" hidden="false"/>
    </xf>
    <xf numFmtId="172" fontId="38" fillId="0" borderId="6" xfId="0" applyFont="true" applyBorder="true" applyAlignment="true" applyProtection="true">
      <alignment horizontal="general" vertical="bottom" textRotation="0" wrapText="false" indent="0" shrinkToFit="false"/>
      <protection locked="true" hidden="false"/>
    </xf>
    <xf numFmtId="170" fontId="5" fillId="0" borderId="0" xfId="0" applyFont="true" applyBorder="false" applyAlignment="true" applyProtection="true">
      <alignment horizontal="general" vertical="bottom" textRotation="0" wrapText="false" indent="0" shrinkToFit="false"/>
      <protection locked="true" hidden="false"/>
    </xf>
    <xf numFmtId="170" fontId="5" fillId="0" borderId="7" xfId="0" applyFont="true" applyBorder="true" applyAlignment="true" applyProtection="true">
      <alignment horizontal="general" vertical="bottom" textRotation="0" wrapText="false" indent="0" shrinkToFit="false"/>
      <protection locked="true" hidden="false"/>
    </xf>
    <xf numFmtId="172" fontId="37" fillId="0" borderId="8" xfId="0" applyFont="true" applyBorder="true" applyAlignment="true" applyProtection="true">
      <alignment horizontal="general" vertical="bottom" textRotation="0" wrapText="false" indent="0" shrinkToFit="false"/>
      <protection locked="true" hidden="false"/>
    </xf>
    <xf numFmtId="174" fontId="5" fillId="0" borderId="39" xfId="0" applyFont="true" applyBorder="true" applyAlignment="true" applyProtection="true">
      <alignment horizontal="general" vertical="bottom" textRotation="0" wrapText="false" indent="0" shrinkToFit="false"/>
      <protection locked="true" hidden="false"/>
    </xf>
    <xf numFmtId="174" fontId="12" fillId="0" borderId="39" xfId="0" applyFont="true" applyBorder="true" applyAlignment="true" applyProtection="true">
      <alignment horizontal="general" vertical="bottom" textRotation="0" wrapText="false" indent="0" shrinkToFit="false"/>
      <protection locked="true" hidden="false"/>
    </xf>
    <xf numFmtId="174" fontId="12" fillId="0" borderId="9" xfId="0" applyFont="true" applyBorder="true" applyAlignment="true" applyProtection="true">
      <alignment horizontal="general" vertical="bottom" textRotation="0" wrapText="false" indent="0" shrinkToFit="false"/>
      <protection locked="true" hidden="false"/>
    </xf>
    <xf numFmtId="174" fontId="12" fillId="0" borderId="0" xfId="15" applyFont="true" applyBorder="false" applyAlignment="true" applyProtection="true">
      <alignment horizontal="general" vertical="bottom" textRotation="0" wrapText="false" indent="0" shrinkToFit="false"/>
      <protection locked="true" hidden="false"/>
    </xf>
    <xf numFmtId="174" fontId="12"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5" fontId="39" fillId="0" borderId="0" xfId="15" applyFont="true" applyBorder="false" applyAlignment="true" applyProtection="true">
      <alignment horizontal="general" vertical="bottom" textRotation="0" wrapText="false" indent="0" shrinkToFit="false"/>
      <protection locked="true" hidden="false"/>
    </xf>
    <xf numFmtId="165" fontId="21" fillId="7" borderId="3" xfId="15" applyFont="true" applyBorder="true" applyAlignment="true" applyProtection="true">
      <alignment horizontal="general" vertical="bottom" textRotation="0" wrapText="false" indent="0" shrinkToFit="false"/>
      <protection locked="true" hidden="false"/>
    </xf>
    <xf numFmtId="164" fontId="20" fillId="10" borderId="0" xfId="0" applyFont="true" applyBorder="false" applyAlignment="true" applyProtection="true">
      <alignment horizontal="center" vertical="center" textRotation="0" wrapText="false" indent="0" shrinkToFit="false"/>
      <protection locked="true" hidden="false"/>
    </xf>
    <xf numFmtId="164" fontId="31" fillId="10" borderId="0" xfId="0" applyFont="true" applyBorder="false" applyAlignment="true" applyProtection="true">
      <alignment horizontal="general" vertical="center" textRotation="0" wrapText="false" indent="0" shrinkToFit="false"/>
      <protection locked="true" hidden="false"/>
    </xf>
    <xf numFmtId="164" fontId="21" fillId="7" borderId="0" xfId="0" applyFont="true" applyBorder="false" applyAlignment="true" applyProtection="true">
      <alignment horizontal="general" vertical="bottom" textRotation="0" wrapText="false" indent="0" shrinkToFit="false"/>
      <protection locked="true" hidden="false"/>
    </xf>
    <xf numFmtId="175" fontId="5" fillId="11" borderId="6" xfId="0" applyFont="true" applyBorder="true" applyAlignment="true" applyProtection="true">
      <alignment horizontal="center" vertical="center" textRotation="0" wrapText="false" indent="0" shrinkToFit="false"/>
      <protection locked="true" hidden="false"/>
    </xf>
    <xf numFmtId="175" fontId="5" fillId="11" borderId="0" xfId="0" applyFont="true" applyBorder="false" applyAlignment="true" applyProtection="true">
      <alignment horizontal="center" vertical="center" textRotation="0" wrapText="false" indent="0" shrinkToFit="false"/>
      <protection locked="true" hidden="false"/>
    </xf>
    <xf numFmtId="173" fontId="31" fillId="7" borderId="26" xfId="0" applyFont="true" applyBorder="true" applyAlignment="true" applyProtection="true">
      <alignment horizontal="center" vertical="bottom" textRotation="0" wrapText="false" indent="0" shrinkToFit="false"/>
      <protection locked="true" hidden="false"/>
    </xf>
    <xf numFmtId="173" fontId="31" fillId="7" borderId="27" xfId="0" applyFont="true" applyBorder="true" applyAlignment="true" applyProtection="true">
      <alignment horizontal="center" vertical="bottom" textRotation="0" wrapText="false" indent="0" shrinkToFit="false"/>
      <protection locked="true" hidden="false"/>
    </xf>
    <xf numFmtId="173" fontId="31" fillId="7" borderId="28" xfId="0" applyFont="true" applyBorder="true" applyAlignment="true" applyProtection="true">
      <alignment horizontal="center" vertical="bottom" textRotation="0" wrapText="false" indent="0" shrinkToFit="false"/>
      <protection locked="true" hidden="false"/>
    </xf>
    <xf numFmtId="164" fontId="32" fillId="0" borderId="26" xfId="0" applyFont="true" applyBorder="true" applyAlignment="true" applyProtection="true">
      <alignment horizontal="center" vertical="bottom" textRotation="0" wrapText="false" indent="0" shrinkToFit="false"/>
      <protection locked="true" hidden="false"/>
    </xf>
    <xf numFmtId="164" fontId="31" fillId="0" borderId="26" xfId="0" applyFont="true" applyBorder="true" applyAlignment="true" applyProtection="true">
      <alignment horizontal="center" vertical="bottom" textRotation="0" wrapText="false" indent="0" shrinkToFit="false"/>
      <protection locked="true" hidden="false"/>
    </xf>
    <xf numFmtId="175" fontId="12" fillId="0" borderId="0" xfId="0" applyFont="true" applyBorder="false" applyAlignment="true" applyProtection="true">
      <alignment horizontal="center" vertical="center" textRotation="0" wrapText="false" indent="0" shrinkToFit="false"/>
      <protection locked="true" hidden="false"/>
    </xf>
    <xf numFmtId="164" fontId="12" fillId="13" borderId="2" xfId="21" applyFont="true" applyBorder="true" applyAlignment="true" applyProtection="true">
      <alignment horizontal="general" vertical="bottom" textRotation="0" wrapText="false" indent="0" shrinkToFit="false"/>
      <protection locked="true" hidden="false"/>
    </xf>
    <xf numFmtId="164" fontId="5" fillId="13" borderId="10" xfId="21" applyFont="true" applyBorder="true" applyAlignment="true" applyProtection="true">
      <alignment horizontal="general" vertical="bottom" textRotation="0" wrapText="false" indent="0" shrinkToFit="false"/>
      <protection locked="true" hidden="false"/>
    </xf>
    <xf numFmtId="164" fontId="40" fillId="13" borderId="10" xfId="0" applyFont="true" applyBorder="true" applyAlignment="true" applyProtection="true">
      <alignment horizontal="right" vertical="top" textRotation="0" wrapText="true" indent="0" shrinkToFit="false"/>
      <protection locked="true" hidden="false"/>
    </xf>
    <xf numFmtId="164" fontId="40" fillId="13" borderId="10" xfId="0" applyFont="true" applyBorder="true" applyAlignment="true" applyProtection="true">
      <alignment horizontal="right" vertical="bottom" textRotation="0" wrapText="false" indent="0" shrinkToFit="false"/>
      <protection locked="true" hidden="false"/>
    </xf>
    <xf numFmtId="172" fontId="0" fillId="13" borderId="10" xfId="0" applyFont="false" applyBorder="true" applyAlignment="true" applyProtection="true">
      <alignment horizontal="general" vertical="bottom" textRotation="0" wrapText="false" indent="0" shrinkToFit="false"/>
      <protection locked="true" hidden="false"/>
    </xf>
    <xf numFmtId="165" fontId="0" fillId="13" borderId="3" xfId="15" applyFont="true" applyBorder="true" applyAlignment="true" applyProtection="true">
      <alignment horizontal="general" vertical="bottom" textRotation="0" wrapText="false" indent="0" shrinkToFit="false"/>
      <protection locked="true" hidden="false"/>
    </xf>
    <xf numFmtId="164" fontId="5" fillId="0" borderId="6" xfId="21" applyFont="true" applyBorder="true" applyAlignment="true" applyProtection="true">
      <alignment horizontal="general" vertical="bottom" textRotation="0" wrapText="false" indent="0" shrinkToFit="false"/>
      <protection locked="true" hidden="false"/>
    </xf>
    <xf numFmtId="164" fontId="5" fillId="0" borderId="0" xfId="21" applyFont="true" applyBorder="false" applyAlignment="true" applyProtection="true">
      <alignment horizontal="general" vertical="bottom" textRotation="0" wrapText="false" indent="0" shrinkToFit="false"/>
      <protection locked="true" hidden="false"/>
    </xf>
    <xf numFmtId="164" fontId="12" fillId="0" borderId="0" xfId="21" applyFont="true" applyBorder="false" applyAlignment="true" applyProtection="true">
      <alignment horizontal="general" vertical="bottom" textRotation="0" wrapText="false" indent="0" shrinkToFit="false"/>
      <protection locked="true" hidden="false"/>
    </xf>
    <xf numFmtId="165" fontId="9" fillId="0" borderId="30" xfId="15" applyFont="true" applyBorder="true" applyAlignment="true" applyProtection="true">
      <alignment horizontal="general" vertical="bottom" textRotation="0" wrapText="false" indent="0" shrinkToFit="false"/>
      <protection locked="true" hidden="false"/>
    </xf>
    <xf numFmtId="165" fontId="9" fillId="0" borderId="31" xfId="15" applyFont="true" applyBorder="true" applyAlignment="true" applyProtection="true">
      <alignment horizontal="general" vertical="bottom" textRotation="0" wrapText="false" indent="0" shrinkToFit="false"/>
      <protection locked="true" hidden="false"/>
    </xf>
    <xf numFmtId="170" fontId="0" fillId="0" borderId="30" xfId="0" applyFont="false" applyBorder="true" applyAlignment="true" applyProtection="true">
      <alignment horizontal="general" vertical="bottom" textRotation="0" wrapText="false" indent="0" shrinkToFit="false"/>
      <protection locked="true" hidden="false"/>
    </xf>
    <xf numFmtId="165" fontId="34" fillId="6" borderId="0" xfId="15" applyFont="true" applyBorder="false" applyAlignment="true" applyProtection="true">
      <alignment horizontal="general" vertical="bottom" textRotation="0" wrapText="false" indent="0" shrinkToFit="false"/>
      <protection locked="true" hidden="false"/>
    </xf>
    <xf numFmtId="165" fontId="34" fillId="6" borderId="7" xfId="15" applyFont="true" applyBorder="true" applyAlignment="true" applyProtection="true">
      <alignment horizontal="general" vertical="bottom" textRotation="0" wrapText="false" indent="0" shrinkToFit="false"/>
      <protection locked="true" hidden="false"/>
    </xf>
    <xf numFmtId="164" fontId="12" fillId="0" borderId="0" xfId="21" applyFont="true" applyBorder="false" applyAlignment="true" applyProtection="true">
      <alignment horizontal="general" vertical="bottom" textRotation="0" wrapText="true" indent="0" shrinkToFit="false"/>
      <protection locked="true" hidden="false"/>
    </xf>
    <xf numFmtId="164" fontId="12" fillId="0" borderId="8" xfId="21" applyFont="true" applyBorder="true" applyAlignment="true" applyProtection="true">
      <alignment horizontal="general" vertical="bottom" textRotation="0" wrapText="false" indent="0" shrinkToFit="false"/>
      <protection locked="true" hidden="false"/>
    </xf>
    <xf numFmtId="164" fontId="12" fillId="0" borderId="39" xfId="21" applyFont="true" applyBorder="true" applyAlignment="true" applyProtection="true">
      <alignment horizontal="general" vertical="bottom" textRotation="0" wrapText="false" indent="0" shrinkToFit="false"/>
      <protection locked="true" hidden="false"/>
    </xf>
    <xf numFmtId="165" fontId="35" fillId="0" borderId="40" xfId="15" applyFont="true" applyBorder="true" applyAlignment="true" applyProtection="true">
      <alignment horizontal="general" vertical="bottom" textRotation="0" wrapText="false" indent="0" shrinkToFit="false"/>
      <protection locked="true" hidden="false"/>
    </xf>
    <xf numFmtId="165" fontId="35" fillId="0" borderId="41" xfId="15" applyFont="true" applyBorder="true" applyAlignment="true" applyProtection="true">
      <alignment horizontal="general" vertical="bottom" textRotation="0" wrapText="false" indent="0" shrinkToFit="false"/>
      <protection locked="true" hidden="false"/>
    </xf>
    <xf numFmtId="164" fontId="12" fillId="13" borderId="6" xfId="21" applyFont="true" applyBorder="true" applyAlignment="true" applyProtection="true">
      <alignment horizontal="general" vertical="bottom" textRotation="0" wrapText="false" indent="0" shrinkToFit="false"/>
      <protection locked="true" hidden="false"/>
    </xf>
    <xf numFmtId="164" fontId="5" fillId="13" borderId="0" xfId="21" applyFont="true" applyBorder="false" applyAlignment="true" applyProtection="true">
      <alignment horizontal="general" vertical="bottom" textRotation="0" wrapText="false" indent="0" shrinkToFit="false"/>
      <protection locked="true" hidden="false"/>
    </xf>
    <xf numFmtId="165" fontId="0" fillId="13" borderId="0" xfId="15" applyFont="true" applyBorder="false" applyAlignment="true" applyProtection="true">
      <alignment horizontal="general" vertical="bottom" textRotation="0" wrapText="false" indent="0" shrinkToFit="false"/>
      <protection locked="true" hidden="false"/>
    </xf>
    <xf numFmtId="165" fontId="0" fillId="13" borderId="7" xfId="15" applyFont="true" applyBorder="true" applyAlignment="true" applyProtection="true">
      <alignment horizontal="general" vertical="bottom" textRotation="0" wrapText="false" indent="0" shrinkToFit="false"/>
      <protection locked="true" hidden="false"/>
    </xf>
    <xf numFmtId="164" fontId="12" fillId="0" borderId="6" xfId="21" applyFont="true" applyBorder="true" applyAlignment="true" applyProtection="true">
      <alignment horizontal="general" vertical="bottom" textRotation="0" wrapText="false" indent="0" shrinkToFit="false"/>
      <protection locked="true" hidden="false"/>
    </xf>
    <xf numFmtId="172" fontId="12" fillId="14" borderId="42" xfId="21" applyFont="true" applyBorder="true" applyAlignment="true" applyProtection="true">
      <alignment horizontal="general" vertical="bottom" textRotation="0" wrapText="false" indent="0" shrinkToFit="false"/>
      <protection locked="true" hidden="false"/>
    </xf>
    <xf numFmtId="172" fontId="12" fillId="14" borderId="40" xfId="0" applyFont="true" applyBorder="true" applyAlignment="true" applyProtection="true">
      <alignment horizontal="general" vertical="bottom" textRotation="0" wrapText="false" indent="0" shrinkToFit="false"/>
      <protection locked="true" hidden="false"/>
    </xf>
    <xf numFmtId="165" fontId="35" fillId="14" borderId="40" xfId="15" applyFont="true" applyBorder="true" applyAlignment="true" applyProtection="true">
      <alignment horizontal="general" vertical="bottom" textRotation="0" wrapText="false" indent="0" shrinkToFit="false"/>
      <protection locked="true" hidden="false"/>
    </xf>
    <xf numFmtId="165" fontId="35" fillId="14" borderId="41" xfId="15" applyFont="true" applyBorder="true" applyAlignment="true" applyProtection="true">
      <alignment horizontal="general" vertical="bottom" textRotation="0" wrapText="false" indent="0" shrinkToFit="false"/>
      <protection locked="true" hidden="false"/>
    </xf>
    <xf numFmtId="170" fontId="8" fillId="0" borderId="21" xfId="0" applyFont="true" applyBorder="true" applyAlignment="true" applyProtection="true">
      <alignment horizontal="general" vertical="bottom" textRotation="0" wrapText="false" indent="0" shrinkToFit="false"/>
      <protection locked="true" hidden="false"/>
    </xf>
    <xf numFmtId="172" fontId="8" fillId="0" borderId="21"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72" fontId="30" fillId="0" borderId="0" xfId="0" applyFont="true" applyBorder="false" applyAlignment="true" applyProtection="true">
      <alignment horizontal="right" vertical="bottom" textRotation="0" wrapText="false" indent="0" shrinkToFit="false"/>
      <protection locked="true" hidden="false"/>
    </xf>
    <xf numFmtId="165" fontId="41" fillId="0" borderId="0" xfId="15" applyFont="true" applyBorder="false" applyAlignment="true" applyProtection="true">
      <alignment horizontal="general" vertical="bottom" textRotation="0" wrapText="false" indent="0" shrinkToFit="false"/>
      <protection locked="true" hidden="false"/>
    </xf>
    <xf numFmtId="172" fontId="37" fillId="0" borderId="0" xfId="0" applyFont="true" applyBorder="false" applyAlignment="true" applyProtection="true">
      <alignment horizontal="general" vertical="bottom" textRotation="0" wrapText="false" indent="0" shrinkToFit="false"/>
      <protection locked="true" hidden="false"/>
    </xf>
    <xf numFmtId="164" fontId="20" fillId="15" borderId="43" xfId="21" applyFont="true" applyBorder="true" applyAlignment="true" applyProtection="true">
      <alignment horizontal="general" vertical="bottom" textRotation="0" wrapText="false" indent="0" shrinkToFit="false"/>
      <protection locked="true" hidden="false"/>
    </xf>
    <xf numFmtId="164" fontId="21" fillId="15" borderId="44" xfId="21" applyFont="true" applyBorder="true" applyAlignment="true" applyProtection="true">
      <alignment horizontal="general" vertical="bottom" textRotation="0" wrapText="false" indent="0" shrinkToFit="false"/>
      <protection locked="true" hidden="false"/>
    </xf>
    <xf numFmtId="165" fontId="21" fillId="15" borderId="44" xfId="15" applyFont="true" applyBorder="true" applyAlignment="true" applyProtection="true">
      <alignment horizontal="general" vertical="bottom" textRotation="0" wrapText="false" indent="0" shrinkToFit="false"/>
      <protection locked="true" hidden="false"/>
    </xf>
    <xf numFmtId="165" fontId="21" fillId="15" borderId="45" xfId="15" applyFont="true" applyBorder="true" applyAlignment="true" applyProtection="true">
      <alignment horizontal="general" vertical="bottom" textRotation="0" wrapText="false" indent="0" shrinkToFit="false"/>
      <protection locked="true" hidden="false"/>
    </xf>
    <xf numFmtId="164" fontId="12" fillId="13" borderId="43" xfId="21" applyFont="true" applyBorder="true" applyAlignment="true" applyProtection="true">
      <alignment horizontal="general" vertical="bottom" textRotation="0" wrapText="false" indent="0" shrinkToFit="false"/>
      <protection locked="true" hidden="false"/>
    </xf>
    <xf numFmtId="164" fontId="5" fillId="13" borderId="44" xfId="21" applyFont="true" applyBorder="true" applyAlignment="true" applyProtection="true">
      <alignment horizontal="general" vertical="bottom" textRotation="0" wrapText="false" indent="0" shrinkToFit="false"/>
      <protection locked="true" hidden="false"/>
    </xf>
    <xf numFmtId="165" fontId="0" fillId="13" borderId="44" xfId="15" applyFont="true" applyBorder="true" applyAlignment="true" applyProtection="true">
      <alignment horizontal="general" vertical="bottom" textRotation="0" wrapText="false" indent="0" shrinkToFit="false"/>
      <protection locked="true" hidden="false"/>
    </xf>
    <xf numFmtId="165" fontId="0" fillId="13" borderId="45" xfId="15" applyFont="true" applyBorder="true" applyAlignment="true" applyProtection="true">
      <alignment horizontal="general" vertical="bottom" textRotation="0" wrapText="false" indent="0" shrinkToFit="false"/>
      <protection locked="true" hidden="false"/>
    </xf>
    <xf numFmtId="164" fontId="5" fillId="13" borderId="44" xfId="0" applyFont="true" applyBorder="true" applyAlignment="true" applyProtection="true">
      <alignment horizontal="general" vertical="bottom" textRotation="0" wrapText="false" indent="0" shrinkToFit="false"/>
      <protection locked="true" hidden="false"/>
    </xf>
    <xf numFmtId="165" fontId="35" fillId="13" borderId="44" xfId="15" applyFont="true" applyBorder="true" applyAlignment="true" applyProtection="true">
      <alignment horizontal="general" vertical="bottom" textRotation="0" wrapText="false" indent="0" shrinkToFit="false"/>
      <protection locked="true" hidden="false"/>
    </xf>
    <xf numFmtId="165" fontId="35" fillId="13" borderId="45" xfId="15" applyFont="true" applyBorder="true" applyAlignment="true" applyProtection="true">
      <alignment horizontal="general" vertical="bottom" textRotation="0" wrapText="false" indent="0" shrinkToFit="false"/>
      <protection locked="true" hidden="false"/>
    </xf>
    <xf numFmtId="165" fontId="9" fillId="5" borderId="0" xfId="15" applyFont="true" applyBorder="false" applyAlignment="true" applyProtection="true">
      <alignment horizontal="general" vertical="bottom" textRotation="0" wrapText="false" indent="0" shrinkToFit="false"/>
      <protection locked="true" hidden="false"/>
    </xf>
    <xf numFmtId="170" fontId="9" fillId="0" borderId="0" xfId="0" applyFont="true" applyBorder="false" applyAlignment="true" applyProtection="true">
      <alignment horizontal="general" vertical="bottom" textRotation="0" wrapText="false" indent="0" shrinkToFit="false"/>
      <protection locked="true" hidden="false"/>
    </xf>
    <xf numFmtId="170" fontId="9" fillId="0" borderId="0" xfId="15" applyFont="true" applyBorder="false" applyAlignment="true" applyProtection="true">
      <alignment horizontal="general" vertical="bottom" textRotation="0" wrapText="false" indent="0" shrinkToFit="false"/>
      <protection locked="true" hidden="false"/>
    </xf>
    <xf numFmtId="164" fontId="12" fillId="13" borderId="44" xfId="21" applyFont="true" applyBorder="true" applyAlignment="true" applyProtection="true">
      <alignment horizontal="general" vertical="bottom" textRotation="0" wrapText="false" indent="0" shrinkToFit="false"/>
      <protection locked="true" hidden="false"/>
    </xf>
    <xf numFmtId="164" fontId="12" fillId="14" borderId="43" xfId="21" applyFont="true" applyBorder="true" applyAlignment="true" applyProtection="true">
      <alignment horizontal="general" vertical="bottom" textRotation="0" wrapText="false" indent="0" shrinkToFit="false"/>
      <protection locked="true" hidden="false"/>
    </xf>
    <xf numFmtId="164" fontId="5" fillId="14" borderId="44" xfId="0" applyFont="true" applyBorder="true" applyAlignment="true" applyProtection="true">
      <alignment horizontal="general" vertical="bottom" textRotation="0" wrapText="false" indent="0" shrinkToFit="false"/>
      <protection locked="true" hidden="false"/>
    </xf>
    <xf numFmtId="165" fontId="35" fillId="14" borderId="44" xfId="15" applyFont="true" applyBorder="true" applyAlignment="true" applyProtection="true">
      <alignment horizontal="general" vertical="bottom" textRotation="0" wrapText="false" indent="0" shrinkToFit="false"/>
      <protection locked="true" hidden="false"/>
    </xf>
    <xf numFmtId="165" fontId="35" fillId="14" borderId="45" xfId="15" applyFont="true" applyBorder="true" applyAlignment="true" applyProtection="true">
      <alignment horizontal="general" vertical="bottom" textRotation="0" wrapText="false" indent="0" shrinkToFit="false"/>
      <protection locked="true" hidden="false"/>
    </xf>
    <xf numFmtId="170" fontId="8" fillId="5" borderId="21" xfId="0" applyFont="true" applyBorder="true" applyAlignment="true" applyProtection="true">
      <alignment horizontal="general" vertical="bottom" textRotation="0" wrapText="false" indent="0" shrinkToFit="false"/>
      <protection locked="true" hidden="false"/>
    </xf>
    <xf numFmtId="164" fontId="33" fillId="5" borderId="0" xfId="0" applyFont="true" applyBorder="false" applyAlignment="true" applyProtection="true">
      <alignment horizontal="general" vertical="bottom" textRotation="0" wrapText="false" indent="0" shrinkToFit="false"/>
      <protection locked="true" hidden="false"/>
    </xf>
    <xf numFmtId="165" fontId="41" fillId="0" borderId="7" xfId="15" applyFont="true" applyBorder="true" applyAlignment="true" applyProtection="true">
      <alignment horizontal="general" vertical="bottom" textRotation="0" wrapText="false" indent="0" shrinkToFit="false"/>
      <protection locked="true" hidden="false"/>
    </xf>
    <xf numFmtId="165" fontId="0" fillId="14" borderId="44" xfId="15" applyFont="true" applyBorder="true" applyAlignment="true" applyProtection="true">
      <alignment horizontal="general" vertical="bottom" textRotation="0" wrapText="false" indent="0" shrinkToFit="false"/>
      <protection locked="true" hidden="false"/>
    </xf>
    <xf numFmtId="165" fontId="0" fillId="14" borderId="45" xfId="15" applyFont="true" applyBorder="true" applyAlignment="true" applyProtection="true">
      <alignment horizontal="general" vertical="bottom" textRotation="0" wrapText="false" indent="0" shrinkToFit="false"/>
      <protection locked="true" hidden="false"/>
    </xf>
    <xf numFmtId="165" fontId="9" fillId="5" borderId="7" xfId="15" applyFont="true" applyBorder="true" applyAlignment="true" applyProtection="true">
      <alignment horizontal="general" vertical="bottom" textRotation="0" wrapText="false" indent="0" shrinkToFit="false"/>
      <protection locked="true" hidden="false"/>
    </xf>
    <xf numFmtId="164" fontId="42" fillId="0" borderId="0" xfId="0" applyFont="true" applyBorder="false" applyAlignment="true" applyProtection="true">
      <alignment horizontal="general" vertical="bottom" textRotation="0" wrapText="false" indent="0" shrinkToFit="false"/>
      <protection locked="true" hidden="false"/>
    </xf>
    <xf numFmtId="164" fontId="5" fillId="0" borderId="0" xfId="21" applyFont="true" applyBorder="false" applyAlignment="true" applyProtection="true">
      <alignment horizontal="general" vertical="bottom" textRotation="0" wrapText="true" indent="0" shrinkToFit="false"/>
      <protection locked="true" hidden="false"/>
    </xf>
    <xf numFmtId="164" fontId="5" fillId="14" borderId="44" xfId="21" applyFont="true" applyBorder="true" applyAlignment="true" applyProtection="true">
      <alignment horizontal="general" vertical="bottom" textRotation="0" wrapText="false" indent="0" shrinkToFit="false"/>
      <protection locked="true" hidden="false"/>
    </xf>
    <xf numFmtId="164" fontId="20" fillId="15" borderId="42" xfId="21" applyFont="true" applyBorder="true" applyAlignment="true" applyProtection="true">
      <alignment horizontal="general" vertical="bottom" textRotation="0" wrapText="false" indent="0" shrinkToFit="false"/>
      <protection locked="true" hidden="false"/>
    </xf>
    <xf numFmtId="164" fontId="21" fillId="15" borderId="40" xfId="21" applyFont="true" applyBorder="true" applyAlignment="true" applyProtection="true">
      <alignment horizontal="general" vertical="bottom" textRotation="0" wrapText="false" indent="0" shrinkToFit="false"/>
      <protection locked="true" hidden="false"/>
    </xf>
    <xf numFmtId="165" fontId="20" fillId="15" borderId="40" xfId="15" applyFont="true" applyBorder="true" applyAlignment="true" applyProtection="true">
      <alignment horizontal="general" vertical="bottom" textRotation="0" wrapText="false" indent="0" shrinkToFit="false"/>
      <protection locked="true" hidden="false"/>
    </xf>
    <xf numFmtId="165" fontId="20" fillId="15" borderId="41" xfId="15" applyFont="true" applyBorder="true" applyAlignment="true" applyProtection="true">
      <alignment horizontal="general" vertical="bottom" textRotation="0" wrapText="false" indent="0" shrinkToFit="false"/>
      <protection locked="true" hidden="false"/>
    </xf>
    <xf numFmtId="165" fontId="37" fillId="0" borderId="0" xfId="15" applyFont="true" applyBorder="false" applyAlignment="true" applyProtection="true">
      <alignment horizontal="general" vertical="bottom" textRotation="0" wrapText="false" indent="0" shrinkToFit="false"/>
      <protection locked="true" hidden="false"/>
    </xf>
    <xf numFmtId="170" fontId="22" fillId="0" borderId="0" xfId="15" applyFont="true" applyBorder="false" applyAlignment="true" applyProtection="true">
      <alignment horizontal="general" vertical="bottom" textRotation="0" wrapText="false" indent="0" shrinkToFit="false"/>
      <protection locked="true" hidden="false"/>
    </xf>
    <xf numFmtId="170" fontId="22" fillId="0" borderId="0" xfId="0" applyFont="true" applyBorder="false" applyAlignment="true" applyProtection="true">
      <alignment horizontal="general" vertical="bottom" textRotation="0" wrapText="false" indent="0" shrinkToFit="false"/>
      <protection locked="true" hidden="false"/>
    </xf>
    <xf numFmtId="165" fontId="23" fillId="0" borderId="0" xfId="15" applyFont="true" applyBorder="false" applyAlignment="true" applyProtection="true">
      <alignment horizontal="general" vertical="bottom" textRotation="0" wrapText="false" indent="0" shrinkToFit="false"/>
      <protection locked="true" hidden="false"/>
    </xf>
    <xf numFmtId="164" fontId="20" fillId="7" borderId="2" xfId="0" applyFont="true" applyBorder="true" applyAlignment="true" applyProtection="true">
      <alignment horizontal="left" vertical="center" textRotation="0" wrapText="false" indent="2" shrinkToFit="false"/>
      <protection locked="true" hidden="false"/>
    </xf>
    <xf numFmtId="164" fontId="20" fillId="7" borderId="10" xfId="0" applyFont="true" applyBorder="true" applyAlignment="true" applyProtection="true">
      <alignment horizontal="center" vertical="center" textRotation="0" wrapText="false" indent="0" shrinkToFit="false"/>
      <protection locked="true" hidden="false"/>
    </xf>
    <xf numFmtId="165" fontId="5" fillId="7" borderId="10" xfId="15" applyFont="true" applyBorder="true" applyAlignment="true" applyProtection="true">
      <alignment horizontal="general" vertical="bottom" textRotation="0" wrapText="false" indent="0" shrinkToFit="false"/>
      <protection locked="true" hidden="false"/>
    </xf>
    <xf numFmtId="165" fontId="5" fillId="7" borderId="0" xfId="15" applyFont="true" applyBorder="false" applyAlignment="true" applyProtection="true">
      <alignment horizontal="general" vertical="bottom" textRotation="0" wrapText="false" indent="0" shrinkToFit="false"/>
      <protection locked="true" hidden="false"/>
    </xf>
    <xf numFmtId="164" fontId="29" fillId="11" borderId="6" xfId="0" applyFont="true" applyBorder="true" applyAlignment="true" applyProtection="true">
      <alignment horizontal="center" vertical="center" textRotation="0" wrapText="false" indent="0" shrinkToFit="false"/>
      <protection locked="true" hidden="false"/>
    </xf>
    <xf numFmtId="164" fontId="25" fillId="11" borderId="23" xfId="0" applyFont="true" applyBorder="true" applyAlignment="true" applyProtection="true">
      <alignment horizontal="center" vertical="center" textRotation="0" wrapText="false" indent="0" shrinkToFit="false"/>
      <protection locked="true" hidden="false"/>
    </xf>
    <xf numFmtId="173" fontId="31" fillId="7" borderId="46" xfId="15" applyFont="true" applyBorder="true" applyAlignment="true" applyProtection="true">
      <alignment horizontal="center" vertical="bottom" textRotation="0" wrapText="false" indent="0" shrinkToFit="false"/>
      <protection locked="true" hidden="false"/>
    </xf>
    <xf numFmtId="173" fontId="31" fillId="7" borderId="47" xfId="15" applyFont="true" applyBorder="true" applyAlignment="true" applyProtection="true">
      <alignment horizontal="center" vertical="bottom" textRotation="0" wrapText="false" indent="0" shrinkToFit="false"/>
      <protection locked="true" hidden="false"/>
    </xf>
    <xf numFmtId="173" fontId="31" fillId="7" borderId="48" xfId="15" applyFont="true" applyBorder="true" applyAlignment="true" applyProtection="true">
      <alignment horizontal="center" vertical="bottom" textRotation="0" wrapText="false" indent="0" shrinkToFit="false"/>
      <protection locked="true" hidden="false"/>
    </xf>
    <xf numFmtId="164" fontId="32" fillId="0" borderId="46" xfId="15" applyFont="true" applyBorder="true" applyAlignment="true" applyProtection="true">
      <alignment horizontal="center" vertical="bottom" textRotation="0" wrapText="false" indent="0" shrinkToFit="false"/>
      <protection locked="true" hidden="false"/>
    </xf>
    <xf numFmtId="164" fontId="31" fillId="0" borderId="46" xfId="15" applyFont="true" applyBorder="true" applyAlignment="true" applyProtection="true">
      <alignment horizontal="center" vertical="bottom" textRotation="0" wrapText="false" indent="0" shrinkToFit="false"/>
      <protection locked="true" hidden="false"/>
    </xf>
    <xf numFmtId="164" fontId="29" fillId="0" borderId="6" xfId="0" applyFont="true" applyBorder="true" applyAlignment="true" applyProtection="true">
      <alignment horizontal="general" vertical="bottom" textRotation="0" wrapText="false" indent="0" shrinkToFit="false"/>
      <protection locked="true" hidden="false"/>
    </xf>
    <xf numFmtId="164" fontId="12" fillId="8" borderId="6" xfId="0" applyFont="true" applyBorder="true" applyAlignment="true" applyProtection="true">
      <alignment horizontal="general" vertical="bottom" textRotation="0" wrapText="false" indent="0" shrinkToFit="false"/>
      <protection locked="true" hidden="false"/>
    </xf>
    <xf numFmtId="164" fontId="12" fillId="8" borderId="0" xfId="0" applyFont="true" applyBorder="false" applyAlignment="true" applyProtection="true">
      <alignment horizontal="general" vertical="bottom" textRotation="0" wrapText="false" indent="0" shrinkToFit="false"/>
      <protection locked="true" hidden="false"/>
    </xf>
    <xf numFmtId="165" fontId="35" fillId="8" borderId="0" xfId="15" applyFont="true" applyBorder="false" applyAlignment="true" applyProtection="true">
      <alignment horizontal="general" vertical="bottom" textRotation="0" wrapText="false" indent="0" shrinkToFit="false"/>
      <protection locked="true" hidden="false"/>
    </xf>
    <xf numFmtId="165" fontId="35" fillId="8" borderId="7" xfId="15" applyFont="true" applyBorder="true" applyAlignment="true" applyProtection="true">
      <alignment horizontal="general" vertical="bottom" textRotation="0" wrapText="false" indent="0" shrinkToFit="false"/>
      <protection locked="true" hidden="false"/>
    </xf>
    <xf numFmtId="170" fontId="8" fillId="8"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5" fontId="35" fillId="0" borderId="0" xfId="15" applyFont="true" applyBorder="false" applyAlignment="true" applyProtection="true">
      <alignment horizontal="general" vertical="bottom" textRotation="0" wrapText="false" indent="0" shrinkToFit="false"/>
      <protection locked="true" hidden="false"/>
    </xf>
    <xf numFmtId="165" fontId="35" fillId="0" borderId="7" xfId="15" applyFont="true" applyBorder="true" applyAlignment="true" applyProtection="true">
      <alignment horizontal="general" vertical="bottom" textRotation="0" wrapText="false" indent="0" shrinkToFit="false"/>
      <protection locked="true" hidden="false"/>
    </xf>
    <xf numFmtId="164" fontId="12" fillId="8" borderId="8" xfId="0" applyFont="true" applyBorder="true" applyAlignment="true" applyProtection="true">
      <alignment horizontal="general" vertical="bottom" textRotation="0" wrapText="false" indent="0" shrinkToFit="false"/>
      <protection locked="true" hidden="false"/>
    </xf>
    <xf numFmtId="164" fontId="12" fillId="8" borderId="39" xfId="0" applyFont="true" applyBorder="true" applyAlignment="true" applyProtection="true">
      <alignment horizontal="general" vertical="bottom" textRotation="0" wrapText="false" indent="0" shrinkToFit="false"/>
      <protection locked="true" hidden="false"/>
    </xf>
    <xf numFmtId="165" fontId="35" fillId="8" borderId="39" xfId="15" applyFont="true" applyBorder="true" applyAlignment="true" applyProtection="true">
      <alignment horizontal="general" vertical="bottom" textRotation="0" wrapText="false" indent="0" shrinkToFit="false"/>
      <protection locked="true" hidden="false"/>
    </xf>
    <xf numFmtId="165" fontId="35" fillId="8" borderId="9" xfId="15"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43" fillId="7" borderId="0" xfId="0" applyFont="true" applyBorder="false" applyAlignment="true" applyProtection="true">
      <alignment horizontal="general" vertical="bottom" textRotation="0" wrapText="false" indent="0" shrinkToFit="false"/>
      <protection locked="true" hidden="false"/>
    </xf>
    <xf numFmtId="164" fontId="30" fillId="5" borderId="2" xfId="0" applyFont="true" applyBorder="true" applyAlignment="true" applyProtection="true">
      <alignment horizontal="general" vertical="bottom" textRotation="0" wrapText="false" indent="0" shrinkToFit="false"/>
      <protection locked="true" hidden="false"/>
    </xf>
    <xf numFmtId="176" fontId="0" fillId="3" borderId="10" xfId="0" applyFont="false" applyBorder="true" applyAlignment="true" applyProtection="true">
      <alignment horizontal="general" vertical="bottom" textRotation="0" wrapText="false" indent="0" shrinkToFit="false"/>
      <protection locked="true" hidden="false"/>
    </xf>
    <xf numFmtId="164" fontId="25" fillId="5" borderId="10" xfId="0" applyFont="true" applyBorder="true" applyAlignment="true" applyProtection="true">
      <alignment horizontal="general" vertical="top" textRotation="0" wrapText="true" indent="0" shrinkToFit="false"/>
      <protection locked="true" hidden="false"/>
    </xf>
    <xf numFmtId="164" fontId="30" fillId="5" borderId="10" xfId="0" applyFont="true" applyBorder="true" applyAlignment="true" applyProtection="true">
      <alignment horizontal="general" vertical="bottom" textRotation="0" wrapText="false" indent="0" shrinkToFit="false"/>
      <protection locked="true" hidden="false"/>
    </xf>
    <xf numFmtId="168" fontId="44" fillId="3" borderId="3"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30" fillId="5" borderId="6" xfId="0" applyFont="true" applyBorder="true" applyAlignment="true" applyProtection="true">
      <alignment horizontal="general" vertical="bottom" textRotation="0" wrapText="false" indent="0" shrinkToFit="false"/>
      <protection locked="true" hidden="false"/>
    </xf>
    <xf numFmtId="168" fontId="44" fillId="3" borderId="0" xfId="19" applyFont="true" applyBorder="false" applyAlignment="true" applyProtection="true">
      <alignment horizontal="general" vertical="bottom" textRotation="0" wrapText="false" indent="0" shrinkToFit="false"/>
      <protection locked="true" hidden="false"/>
    </xf>
    <xf numFmtId="164" fontId="30" fillId="5" borderId="0" xfId="0" applyFont="true" applyBorder="false" applyAlignment="true" applyProtection="true">
      <alignment horizontal="general" vertical="bottom" textRotation="0" wrapText="false" indent="0" shrinkToFit="false"/>
      <protection locked="true" hidden="false"/>
    </xf>
    <xf numFmtId="168" fontId="44" fillId="3" borderId="7" xfId="0" applyFont="true" applyBorder="true" applyAlignment="true" applyProtection="true">
      <alignment horizontal="general" vertical="bottom" textRotation="0" wrapText="false" indent="0" shrinkToFit="false"/>
      <protection locked="true" hidden="false"/>
    </xf>
    <xf numFmtId="164" fontId="30" fillId="5" borderId="8" xfId="0" applyFont="true" applyBorder="true" applyAlignment="true" applyProtection="true">
      <alignment horizontal="general" vertical="bottom" textRotation="0" wrapText="false" indent="0" shrinkToFit="false"/>
      <protection locked="true" hidden="false"/>
    </xf>
    <xf numFmtId="168" fontId="44" fillId="3" borderId="39" xfId="0" applyFont="true" applyBorder="true" applyAlignment="true" applyProtection="true">
      <alignment horizontal="general" vertical="bottom" textRotation="0" wrapText="false" indent="0" shrinkToFit="false"/>
      <protection locked="true" hidden="false"/>
    </xf>
    <xf numFmtId="164" fontId="25" fillId="5" borderId="39" xfId="0" applyFont="true" applyBorder="true" applyAlignment="true" applyProtection="true">
      <alignment horizontal="general" vertical="top" textRotation="0" wrapText="true" indent="0" shrinkToFit="false"/>
      <protection locked="true" hidden="false"/>
    </xf>
    <xf numFmtId="164" fontId="45" fillId="6" borderId="39" xfId="0" applyFont="true" applyBorder="true" applyAlignment="true" applyProtection="true">
      <alignment horizontal="general" vertical="bottom" textRotation="0" wrapText="false" indent="0" shrinkToFit="false"/>
      <protection locked="true" hidden="false"/>
    </xf>
    <xf numFmtId="168" fontId="44" fillId="3" borderId="9" xfId="19" applyFont="true" applyBorder="true" applyAlignment="true" applyProtection="true">
      <alignment horizontal="general" vertical="bottom" textRotation="0" wrapText="false" indent="0" shrinkToFit="false"/>
      <protection locked="true" hidden="false"/>
    </xf>
    <xf numFmtId="177" fontId="5" fillId="3" borderId="3" xfId="0" applyFont="true" applyBorder="true" applyAlignment="true" applyProtection="true">
      <alignment horizontal="general" vertical="bottom" textRotation="0" wrapText="false" indent="0" shrinkToFit="false"/>
      <protection locked="true" hidden="false"/>
    </xf>
    <xf numFmtId="166" fontId="44" fillId="5" borderId="0" xfId="0" applyFont="true" applyBorder="false" applyAlignment="true" applyProtection="true">
      <alignment horizontal="general" vertical="bottom" textRotation="0" wrapText="false" indent="0" shrinkToFit="false"/>
      <protection locked="true" hidden="false"/>
    </xf>
    <xf numFmtId="177" fontId="5" fillId="3" borderId="7" xfId="0" applyFont="true" applyBorder="true" applyAlignment="true" applyProtection="true">
      <alignment horizontal="general" vertical="bottom" textRotation="0" wrapText="false" indent="0" shrinkToFit="false"/>
      <protection locked="true" hidden="false"/>
    </xf>
    <xf numFmtId="164" fontId="44" fillId="5" borderId="0" xfId="0" applyFont="true" applyBorder="false" applyAlignment="true" applyProtection="true">
      <alignment horizontal="general" vertical="bottom" textRotation="0" wrapText="false" indent="0" shrinkToFit="false"/>
      <protection locked="true" hidden="false"/>
    </xf>
    <xf numFmtId="177" fontId="5" fillId="3" borderId="9" xfId="0" applyFont="true" applyBorder="true" applyAlignment="true" applyProtection="true">
      <alignment horizontal="general" vertical="bottom" textRotation="0" wrapText="false" indent="0" shrinkToFit="false"/>
      <protection locked="true" hidden="false"/>
    </xf>
    <xf numFmtId="164" fontId="12" fillId="5" borderId="0" xfId="0" applyFont="true" applyBorder="false" applyAlignment="true" applyProtection="true">
      <alignment horizontal="general" vertical="bottom" textRotation="0" wrapText="false" indent="0" shrinkToFit="false"/>
      <protection locked="true" hidden="false"/>
    </xf>
    <xf numFmtId="168" fontId="46" fillId="5" borderId="0" xfId="19" applyFont="true" applyBorder="false" applyAlignment="true" applyProtection="true">
      <alignment horizontal="general" vertical="bottom" textRotation="0" wrapText="false" indent="0" shrinkToFit="false"/>
      <protection locked="true" hidden="false"/>
    </xf>
    <xf numFmtId="164" fontId="47" fillId="5" borderId="0" xfId="0" applyFont="true" applyBorder="false" applyAlignment="true" applyProtection="true">
      <alignment horizontal="left" vertical="bottom" textRotation="0" wrapText="false" indent="0" shrinkToFit="false"/>
      <protection locked="true" hidden="false"/>
    </xf>
    <xf numFmtId="164" fontId="22" fillId="8" borderId="43" xfId="0" applyFont="true" applyBorder="true" applyAlignment="true" applyProtection="true">
      <alignment horizontal="general" vertical="bottom" textRotation="0" wrapText="false" indent="0" shrinkToFit="false"/>
      <protection locked="true" hidden="false"/>
    </xf>
    <xf numFmtId="164" fontId="22" fillId="8" borderId="44" xfId="0" applyFont="true" applyBorder="true" applyAlignment="true" applyProtection="true">
      <alignment horizontal="general" vertical="bottom" textRotation="0" wrapText="false" indent="0" shrinkToFit="false"/>
      <protection locked="true" hidden="false"/>
    </xf>
    <xf numFmtId="164" fontId="22" fillId="8" borderId="45" xfId="0" applyFont="true" applyBorder="true" applyAlignment="true" applyProtection="true">
      <alignment horizontal="general" vertical="bottom" textRotation="0" wrapText="false" indent="0" shrinkToFit="false"/>
      <protection locked="true" hidden="false"/>
    </xf>
    <xf numFmtId="164" fontId="10" fillId="0" borderId="49" xfId="0" applyFont="true" applyBorder="true" applyAlignment="true" applyProtection="true">
      <alignment horizontal="general" vertical="top" textRotation="0" wrapText="true" indent="0" shrinkToFit="false"/>
      <protection locked="true" hidden="false"/>
    </xf>
    <xf numFmtId="168" fontId="9" fillId="3" borderId="49" xfId="0" applyFont="true" applyBorder="true" applyAlignment="true" applyProtection="true">
      <alignment horizontal="general" vertical="bottom" textRotation="0" wrapText="false" indent="0" shrinkToFit="false"/>
      <protection locked="true" hidden="false"/>
    </xf>
    <xf numFmtId="164" fontId="25" fillId="4" borderId="49" xfId="0" applyFont="true" applyBorder="true" applyAlignment="true" applyProtection="true">
      <alignment horizontal="general" vertical="top" textRotation="0" wrapText="true" indent="0" shrinkToFit="false"/>
      <protection locked="true" hidden="false"/>
    </xf>
    <xf numFmtId="164" fontId="10" fillId="0" borderId="49" xfId="0" applyFont="true" applyBorder="true" applyAlignment="true" applyProtection="true">
      <alignment horizontal="general" vertical="bottom" textRotation="0" wrapText="false" indent="0" shrinkToFit="false"/>
      <protection locked="true" hidden="false"/>
    </xf>
    <xf numFmtId="178" fontId="9" fillId="3" borderId="49" xfId="0" applyFont="true" applyBorder="true" applyAlignment="true" applyProtection="true">
      <alignment horizontal="general" vertical="bottom" textRotation="0" wrapText="false" indent="0" shrinkToFit="false"/>
      <protection locked="true" hidden="false"/>
    </xf>
    <xf numFmtId="178" fontId="10" fillId="0" borderId="49" xfId="0" applyFont="true" applyBorder="true" applyAlignment="true" applyProtection="true">
      <alignment horizontal="general" vertical="bottom" textRotation="0" wrapText="false" indent="0" shrinkToFit="false"/>
      <protection locked="true" hidden="false"/>
    </xf>
    <xf numFmtId="164" fontId="5" fillId="0" borderId="49" xfId="0" applyFont="true" applyBorder="true" applyAlignment="true" applyProtection="true">
      <alignment horizontal="general" vertical="bottom" textRotation="0" wrapText="false" indent="0" shrinkToFit="false"/>
      <protection locked="true" hidden="false"/>
    </xf>
    <xf numFmtId="176" fontId="9" fillId="3" borderId="49" xfId="0" applyFont="true" applyBorder="true" applyAlignment="true" applyProtection="true">
      <alignment horizontal="general" vertical="bottom" textRotation="0" wrapText="false" indent="0" shrinkToFit="false"/>
      <protection locked="true" hidden="false"/>
    </xf>
    <xf numFmtId="179" fontId="10" fillId="0" borderId="49" xfId="0" applyFont="true" applyBorder="true" applyAlignment="true" applyProtection="true">
      <alignment horizontal="general" vertical="bottom" textRotation="0" wrapText="false" indent="0" shrinkToFit="false"/>
      <protection locked="true" hidden="false"/>
    </xf>
    <xf numFmtId="179" fontId="11" fillId="0" borderId="49" xfId="0" applyFont="true" applyBorder="true" applyAlignment="true" applyProtection="true">
      <alignment horizontal="general" vertical="bottom" textRotation="0" wrapText="false" indent="0" shrinkToFit="false"/>
      <protection locked="true" hidden="false"/>
    </xf>
    <xf numFmtId="176" fontId="10" fillId="0" borderId="49" xfId="0" applyFont="true" applyBorder="true" applyAlignment="true" applyProtection="true">
      <alignment horizontal="general" vertical="bottom" textRotation="0" wrapText="false" indent="0" shrinkToFit="false"/>
      <protection locked="true" hidden="false"/>
    </xf>
    <xf numFmtId="164" fontId="22" fillId="5"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center" vertical="center" textRotation="0" wrapText="true" indent="0" shrinkToFit="false"/>
      <protection locked="true" hidden="false"/>
    </xf>
    <xf numFmtId="171" fontId="10" fillId="5" borderId="0" xfId="0" applyFont="true" applyBorder="false" applyAlignment="true" applyProtection="true">
      <alignment horizontal="center" vertical="center" textRotation="0" wrapText="false" indent="0" shrinkToFit="false"/>
      <protection locked="true" hidden="false"/>
    </xf>
    <xf numFmtId="178" fontId="9" fillId="5" borderId="0" xfId="0" applyFont="true" applyBorder="false" applyAlignment="true" applyProtection="true">
      <alignment horizontal="general" vertical="bottom" textRotation="0" wrapText="false" indent="0" shrinkToFit="false"/>
      <protection locked="true" hidden="false"/>
    </xf>
    <xf numFmtId="164" fontId="25" fillId="5" borderId="0" xfId="0" applyFont="true" applyBorder="false" applyAlignment="true" applyProtection="true">
      <alignment horizontal="general" vertical="bottom" textRotation="0" wrapText="false" indent="0" shrinkToFit="false"/>
      <protection locked="true" hidden="false"/>
    </xf>
    <xf numFmtId="178" fontId="22" fillId="5" borderId="0" xfId="0" applyFont="true" applyBorder="false" applyAlignment="true" applyProtection="true">
      <alignment horizontal="general" vertical="bottom" textRotation="0" wrapText="false" indent="0" shrinkToFit="false"/>
      <protection locked="true" hidden="false"/>
    </xf>
    <xf numFmtId="164" fontId="48" fillId="5" borderId="0" xfId="0" applyFont="true" applyBorder="false" applyAlignment="true" applyProtection="true">
      <alignment horizontal="general" vertical="bottom" textRotation="0" wrapText="false" indent="0" shrinkToFit="false"/>
      <protection locked="true" hidden="false"/>
    </xf>
    <xf numFmtId="164" fontId="43" fillId="7" borderId="2" xfId="0" applyFont="true" applyBorder="true" applyAlignment="true" applyProtection="true">
      <alignment horizontal="left" vertical="bottom" textRotation="0" wrapText="false" indent="2" shrinkToFit="false"/>
      <protection locked="true" hidden="false"/>
    </xf>
    <xf numFmtId="173" fontId="20" fillId="7" borderId="10" xfId="0" applyFont="true" applyBorder="true" applyAlignment="true" applyProtection="true">
      <alignment horizontal="general" vertical="bottom" textRotation="0" wrapText="false" indent="0" shrinkToFit="false"/>
      <protection locked="true" hidden="false"/>
    </xf>
    <xf numFmtId="173" fontId="20" fillId="7" borderId="3" xfId="0" applyFont="true" applyBorder="true" applyAlignment="true" applyProtection="true">
      <alignment horizontal="general" vertical="bottom" textRotation="0" wrapText="false" indent="0" shrinkToFit="false"/>
      <protection locked="true" hidden="false"/>
    </xf>
    <xf numFmtId="164" fontId="5" fillId="5" borderId="6" xfId="21" applyFont="true" applyBorder="true" applyAlignment="true" applyProtection="true">
      <alignment horizontal="left" vertical="bottom" textRotation="0" wrapText="false" indent="2" shrinkToFit="false"/>
      <protection locked="true" hidden="false"/>
    </xf>
    <xf numFmtId="174" fontId="11" fillId="3" borderId="0" xfId="19" applyFont="true" applyBorder="false" applyAlignment="true" applyProtection="true">
      <alignment horizontal="right" vertical="bottom" textRotation="0" wrapText="false" indent="0" shrinkToFit="false"/>
      <protection locked="true" hidden="false"/>
    </xf>
    <xf numFmtId="174" fontId="11" fillId="3" borderId="0" xfId="0" applyFont="true" applyBorder="false" applyAlignment="true" applyProtection="true">
      <alignment horizontal="right" vertical="bottom" textRotation="0" wrapText="false" indent="0" shrinkToFit="false"/>
      <protection locked="true" hidden="false"/>
    </xf>
    <xf numFmtId="174" fontId="11" fillId="3" borderId="7" xfId="0" applyFont="true" applyBorder="true" applyAlignment="true" applyProtection="true">
      <alignment horizontal="right" vertical="bottom" textRotation="0" wrapText="false" indent="0" shrinkToFit="false"/>
      <protection locked="true" hidden="false"/>
    </xf>
    <xf numFmtId="174" fontId="11" fillId="3" borderId="0" xfId="21" applyFont="true" applyBorder="false" applyAlignment="true" applyProtection="true">
      <alignment horizontal="right" vertical="bottom" textRotation="0" wrapText="false" indent="0" shrinkToFit="false"/>
      <protection locked="true" hidden="false"/>
    </xf>
    <xf numFmtId="174" fontId="11" fillId="3" borderId="7" xfId="21" applyFont="true" applyBorder="true" applyAlignment="true" applyProtection="true">
      <alignment horizontal="right" vertical="bottom" textRotation="0" wrapText="false" indent="0" shrinkToFit="false"/>
      <protection locked="true" hidden="false"/>
    </xf>
    <xf numFmtId="174" fontId="11" fillId="3" borderId="7" xfId="19" applyFont="true" applyBorder="true" applyAlignment="true" applyProtection="true">
      <alignment horizontal="right" vertical="bottom" textRotation="0" wrapText="false" indent="0" shrinkToFit="false"/>
      <protection locked="true" hidden="false"/>
    </xf>
    <xf numFmtId="164" fontId="5" fillId="5" borderId="8" xfId="21" applyFont="true" applyBorder="true" applyAlignment="true" applyProtection="true">
      <alignment horizontal="left" vertical="bottom" textRotation="0" wrapText="false" indent="2" shrinkToFit="false"/>
      <protection locked="true" hidden="false"/>
    </xf>
    <xf numFmtId="174" fontId="11" fillId="3" borderId="39" xfId="19" applyFont="true" applyBorder="true" applyAlignment="true" applyProtection="true">
      <alignment horizontal="right" vertical="bottom" textRotation="0" wrapText="false" indent="0" shrinkToFit="false"/>
      <protection locked="true" hidden="false"/>
    </xf>
    <xf numFmtId="174" fontId="11" fillId="3" borderId="39" xfId="21" applyFont="true" applyBorder="true" applyAlignment="true" applyProtection="true">
      <alignment horizontal="right" vertical="bottom" textRotation="0" wrapText="false" indent="0" shrinkToFit="false"/>
      <protection locked="true" hidden="false"/>
    </xf>
    <xf numFmtId="174" fontId="11" fillId="16" borderId="39" xfId="21" applyFont="true" applyBorder="true" applyAlignment="true" applyProtection="true">
      <alignment horizontal="right" vertical="bottom" textRotation="0" wrapText="false" indent="0" shrinkToFit="false"/>
      <protection locked="true" hidden="false"/>
    </xf>
    <xf numFmtId="174" fontId="11" fillId="3" borderId="9" xfId="21" applyFont="true" applyBorder="true" applyAlignment="true" applyProtection="true">
      <alignment horizontal="right" vertical="bottom" textRotation="0" wrapText="false" indent="0" shrinkToFit="false"/>
      <protection locked="true" hidden="false"/>
    </xf>
    <xf numFmtId="164" fontId="30" fillId="5" borderId="2" xfId="0" applyFont="true" applyBorder="true" applyAlignment="true" applyProtection="true">
      <alignment horizontal="left" vertical="bottom" textRotation="0" wrapText="false" indent="2" shrinkToFit="false"/>
      <protection locked="true" hidden="false"/>
    </xf>
    <xf numFmtId="166" fontId="47" fillId="5" borderId="3" xfId="0"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4" fontId="30" fillId="5" borderId="6" xfId="0" applyFont="true" applyBorder="true" applyAlignment="true" applyProtection="true">
      <alignment horizontal="left" vertical="bottom" textRotation="0" wrapText="false" indent="2" shrinkToFit="false"/>
      <protection locked="true" hidden="false"/>
    </xf>
    <xf numFmtId="174" fontId="9" fillId="3" borderId="7" xfId="0"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true" indent="0" shrinkToFit="false"/>
      <protection locked="true" hidden="false"/>
    </xf>
    <xf numFmtId="166" fontId="47" fillId="0" borderId="7" xfId="0" applyFont="true" applyBorder="true" applyAlignment="true" applyProtection="true">
      <alignment horizontal="general" vertical="bottom" textRotation="0" wrapText="false" indent="0" shrinkToFit="false"/>
      <protection locked="true" hidden="false"/>
    </xf>
    <xf numFmtId="174" fontId="50" fillId="0" borderId="7" xfId="0" applyFont="tru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left" vertical="bottom" textRotation="0" wrapText="false" indent="2" shrinkToFit="false"/>
      <protection locked="true" hidden="false"/>
    </xf>
    <xf numFmtId="174" fontId="11" fillId="0" borderId="9" xfId="0" applyFont="true" applyBorder="tru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left" vertical="bottom" textRotation="0" wrapText="false" indent="2" shrinkToFit="false"/>
      <protection locked="true" hidden="false"/>
    </xf>
    <xf numFmtId="164" fontId="31" fillId="5" borderId="0" xfId="15" applyFont="true" applyBorder="false" applyAlignment="true" applyProtection="true">
      <alignment horizontal="center" vertical="bottom" textRotation="0" wrapText="false" indent="0" shrinkToFit="false"/>
      <protection locked="true" hidden="false"/>
    </xf>
    <xf numFmtId="170" fontId="5" fillId="0" borderId="0" xfId="15" applyFont="true" applyBorder="false" applyAlignment="true" applyProtection="true">
      <alignment horizontal="general" vertical="bottom" textRotation="0" wrapText="false" indent="0" shrinkToFit="false"/>
      <protection locked="true" hidden="false"/>
    </xf>
    <xf numFmtId="166" fontId="5" fillId="0" borderId="0" xfId="19"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50" xfId="0" applyFont="false" applyBorder="tru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left" vertical="bottom" textRotation="0" wrapText="false" indent="1"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5" fillId="0" borderId="50"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left" vertical="bottom" textRotation="0" wrapText="false" indent="1" shrinkToFit="false"/>
      <protection locked="true" hidden="false"/>
    </xf>
    <xf numFmtId="164" fontId="22" fillId="0" borderId="0" xfId="0" applyFont="true" applyBorder="false" applyAlignment="true" applyProtection="true">
      <alignment horizontal="left" vertical="bottom" textRotation="0" wrapText="false" indent="1" shrinkToFit="false"/>
      <protection locked="true" hidden="false"/>
    </xf>
    <xf numFmtId="164" fontId="9" fillId="3" borderId="0" xfId="0" applyFont="true" applyBorder="false" applyAlignment="true" applyProtection="true">
      <alignment horizontal="center" vertical="center"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left" vertical="bottom" textRotation="0" wrapText="false" indent="1" shrinkToFit="false"/>
      <protection locked="true" hidden="false"/>
    </xf>
    <xf numFmtId="164" fontId="7" fillId="7" borderId="43" xfId="0" applyFont="true" applyBorder="true" applyAlignment="true" applyProtection="true">
      <alignment horizontal="left" vertical="center" textRotation="0" wrapText="true" indent="1" shrinkToFit="false"/>
      <protection locked="true" hidden="false"/>
    </xf>
    <xf numFmtId="164" fontId="7" fillId="7" borderId="44" xfId="0" applyFont="true" applyBorder="true" applyAlignment="true" applyProtection="true">
      <alignment horizontal="right" vertical="center" textRotation="0" wrapText="true" indent="0" shrinkToFit="false"/>
      <protection locked="true" hidden="false"/>
    </xf>
    <xf numFmtId="164" fontId="7" fillId="7" borderId="44" xfId="0" applyFont="true" applyBorder="true" applyAlignment="true" applyProtection="true">
      <alignment horizontal="center" vertical="center" textRotation="0" wrapText="true" indent="0" shrinkToFit="false"/>
      <protection locked="true" hidden="false"/>
    </xf>
    <xf numFmtId="164" fontId="7" fillId="7" borderId="51" xfId="0" applyFont="true" applyBorder="true" applyAlignment="true" applyProtection="true">
      <alignment horizontal="center" vertical="center" textRotation="0" wrapText="true" indent="0" shrinkToFit="false"/>
      <protection locked="true" hidden="false"/>
    </xf>
    <xf numFmtId="164" fontId="7" fillId="7" borderId="45" xfId="0" applyFont="true" applyBorder="true" applyAlignment="true" applyProtection="true">
      <alignment horizontal="center" vertical="center" textRotation="0" wrapText="true" indent="0" shrinkToFit="false"/>
      <protection locked="true" hidden="false"/>
    </xf>
    <xf numFmtId="164" fontId="7" fillId="7" borderId="52" xfId="0" applyFont="true" applyBorder="true" applyAlignment="true" applyProtection="true">
      <alignment horizontal="center" vertical="center" textRotation="0" wrapText="true" indent="0" shrinkToFit="false"/>
      <protection locked="true" hidden="false"/>
    </xf>
    <xf numFmtId="164" fontId="25" fillId="0" borderId="6" xfId="0" applyFont="true" applyBorder="true" applyAlignment="true" applyProtection="true">
      <alignment horizontal="left" vertical="bottom" textRotation="0" wrapText="false" indent="1" shrinkToFit="false"/>
      <protection locked="true" hidden="false"/>
    </xf>
    <xf numFmtId="171" fontId="25" fillId="0" borderId="0" xfId="0" applyFont="true" applyBorder="false" applyAlignment="true" applyProtection="true">
      <alignment horizontal="center" vertical="center" textRotation="0" wrapText="false" indent="0" shrinkToFit="false"/>
      <protection locked="true" hidden="false"/>
    </xf>
    <xf numFmtId="171" fontId="25" fillId="0" borderId="50" xfId="0" applyFont="true" applyBorder="true" applyAlignment="true" applyProtection="true">
      <alignment horizontal="center" vertical="center" textRotation="0" wrapText="false" indent="0" shrinkToFit="false"/>
      <protection locked="true" hidden="false"/>
    </xf>
    <xf numFmtId="171" fontId="25" fillId="0" borderId="7" xfId="0" applyFont="true" applyBorder="true" applyAlignment="true" applyProtection="true">
      <alignment horizontal="center" vertical="center" textRotation="0" wrapText="false" indent="0" shrinkToFit="false"/>
      <protection locked="true" hidden="false"/>
    </xf>
    <xf numFmtId="171" fontId="25" fillId="5" borderId="0" xfId="0" applyFont="true" applyBorder="false" applyAlignment="true" applyProtection="true">
      <alignment horizontal="center" vertical="center" textRotation="0" wrapText="false" indent="0" shrinkToFit="false"/>
      <protection locked="true" hidden="false"/>
    </xf>
    <xf numFmtId="164" fontId="5" fillId="0" borderId="53" xfId="0" applyFont="true" applyBorder="true" applyAlignment="true" applyProtection="true">
      <alignment horizontal="general" vertical="bottom" textRotation="0" wrapText="false" indent="0" shrinkToFit="false"/>
      <protection locked="true" hidden="false"/>
    </xf>
    <xf numFmtId="164" fontId="22" fillId="8" borderId="43" xfId="0" applyFont="true" applyBorder="true" applyAlignment="true" applyProtection="true">
      <alignment horizontal="left" vertical="bottom" textRotation="0" wrapText="false" indent="1" shrinkToFit="false"/>
      <protection locked="true" hidden="false"/>
    </xf>
    <xf numFmtId="164" fontId="5" fillId="8" borderId="44" xfId="0" applyFont="true" applyBorder="true" applyAlignment="true" applyProtection="true">
      <alignment horizontal="right" vertical="bottom" textRotation="0" wrapText="false" indent="0" shrinkToFit="false"/>
      <protection locked="true" hidden="false"/>
    </xf>
    <xf numFmtId="164" fontId="5" fillId="8" borderId="44" xfId="0" applyFont="true" applyBorder="true" applyAlignment="true" applyProtection="true">
      <alignment horizontal="general" vertical="bottom" textRotation="0" wrapText="false" indent="0" shrinkToFit="false"/>
      <protection locked="true" hidden="false"/>
    </xf>
    <xf numFmtId="164" fontId="5" fillId="8" borderId="51" xfId="0" applyFont="true" applyBorder="true" applyAlignment="true" applyProtection="true">
      <alignment horizontal="general" vertical="bottom" textRotation="0" wrapText="false" indent="0" shrinkToFit="false"/>
      <protection locked="true" hidden="false"/>
    </xf>
    <xf numFmtId="164" fontId="5" fillId="8" borderId="45" xfId="0" applyFont="true" applyBorder="true" applyAlignment="true" applyProtection="true">
      <alignment horizontal="general" vertical="bottom" textRotation="0" wrapText="false" indent="0" shrinkToFit="false"/>
      <protection locked="true" hidden="false"/>
    </xf>
    <xf numFmtId="164" fontId="5" fillId="8" borderId="53" xfId="0" applyFont="true" applyBorder="true" applyAlignment="true" applyProtection="true">
      <alignment horizontal="general" vertical="bottom" textRotation="0" wrapText="false" indent="0" shrinkToFit="false"/>
      <protection locked="true" hidden="false"/>
    </xf>
    <xf numFmtId="164" fontId="22" fillId="6" borderId="6" xfId="0" applyFont="true" applyBorder="true" applyAlignment="true" applyProtection="true">
      <alignment horizontal="left" vertical="bottom" textRotation="0" wrapText="false" indent="1" shrinkToFit="false"/>
      <protection locked="true" hidden="false"/>
    </xf>
    <xf numFmtId="164" fontId="10" fillId="0" borderId="6" xfId="0" applyFont="true" applyBorder="true" applyAlignment="true" applyProtection="true">
      <alignment horizontal="left" vertical="bottom" textRotation="0" wrapText="false" indent="1" shrinkToFit="false"/>
      <protection locked="true" hidden="false"/>
    </xf>
    <xf numFmtId="164" fontId="25" fillId="0" borderId="0" xfId="0" applyFont="true" applyBorder="false" applyAlignment="true" applyProtection="true">
      <alignment horizontal="right" vertical="bottom" textRotation="0" wrapText="false" indent="0" shrinkToFit="false"/>
      <protection locked="true" hidden="false"/>
    </xf>
    <xf numFmtId="180" fontId="9" fillId="3" borderId="50" xfId="0" applyFont="true" applyBorder="true" applyAlignment="true" applyProtection="true">
      <alignment horizontal="general" vertical="bottom" textRotation="0" wrapText="false" indent="0" shrinkToFit="false"/>
      <protection locked="true" hidden="false"/>
    </xf>
    <xf numFmtId="180" fontId="10" fillId="0" borderId="0" xfId="0" applyFont="true" applyBorder="false" applyAlignment="true" applyProtection="true">
      <alignment horizontal="general" vertical="bottom" textRotation="0" wrapText="false" indent="0" shrinkToFit="false"/>
      <protection locked="true" hidden="false"/>
    </xf>
    <xf numFmtId="180" fontId="10" fillId="0" borderId="7" xfId="0" applyFont="true" applyBorder="true" applyAlignment="true" applyProtection="true">
      <alignment horizontal="general" vertical="bottom" textRotation="0" wrapText="false" indent="0" shrinkToFit="false"/>
      <protection locked="true" hidden="false"/>
    </xf>
    <xf numFmtId="180" fontId="10" fillId="5" borderId="0" xfId="0" applyFont="true" applyBorder="false" applyAlignment="true" applyProtection="true">
      <alignment horizontal="general" vertical="bottom" textRotation="0" wrapText="false" indent="0" shrinkToFit="false"/>
      <protection locked="true" hidden="false"/>
    </xf>
    <xf numFmtId="164" fontId="49" fillId="4" borderId="54" xfId="0" applyFont="true" applyBorder="true" applyAlignment="true" applyProtection="true">
      <alignment horizontal="general" vertical="top" textRotation="0" wrapText="true" indent="0" shrinkToFit="false"/>
      <protection locked="true" hidden="false"/>
    </xf>
    <xf numFmtId="179" fontId="10" fillId="0" borderId="0" xfId="0" applyFont="true" applyBorder="false" applyAlignment="true" applyProtection="true">
      <alignment horizontal="general" vertical="bottom" textRotation="0" wrapText="false" indent="0" shrinkToFit="false"/>
      <protection locked="true" hidden="false"/>
    </xf>
    <xf numFmtId="179" fontId="10" fillId="0" borderId="7" xfId="0" applyFont="true" applyBorder="true" applyAlignment="true" applyProtection="true">
      <alignment horizontal="general" vertical="bottom" textRotation="0" wrapText="false" indent="0" shrinkToFit="false"/>
      <protection locked="true" hidden="false"/>
    </xf>
    <xf numFmtId="179" fontId="10" fillId="5" borderId="0" xfId="0" applyFont="true" applyBorder="false" applyAlignment="true" applyProtection="true">
      <alignment horizontal="general" vertical="bottom" textRotation="0" wrapText="false" indent="0" shrinkToFit="false"/>
      <protection locked="true" hidden="false"/>
    </xf>
    <xf numFmtId="164" fontId="49" fillId="4" borderId="55" xfId="0" applyFont="true" applyBorder="true" applyAlignment="true" applyProtection="true">
      <alignment horizontal="general" vertical="top" textRotation="0" wrapText="true" indent="0" shrinkToFit="false"/>
      <protection locked="true" hidden="false"/>
    </xf>
    <xf numFmtId="181" fontId="10" fillId="0" borderId="0" xfId="0" applyFont="true" applyBorder="false" applyAlignment="true" applyProtection="true">
      <alignment horizontal="general" vertical="bottom" textRotation="0" wrapText="false" indent="0" shrinkToFit="false"/>
      <protection locked="true" hidden="false"/>
    </xf>
    <xf numFmtId="181" fontId="10" fillId="0" borderId="50" xfId="0" applyFont="true" applyBorder="true" applyAlignment="true" applyProtection="true">
      <alignment horizontal="general" vertical="bottom" textRotation="0" wrapText="false" indent="0" shrinkToFit="false"/>
      <protection locked="true" hidden="false"/>
    </xf>
    <xf numFmtId="181" fontId="10" fillId="0" borderId="7" xfId="0" applyFont="true" applyBorder="true" applyAlignment="true" applyProtection="true">
      <alignment horizontal="general" vertical="bottom" textRotation="0" wrapText="false" indent="0" shrinkToFit="false"/>
      <protection locked="true" hidden="false"/>
    </xf>
    <xf numFmtId="181" fontId="10" fillId="5" borderId="0" xfId="0" applyFont="true" applyBorder="false" applyAlignment="true" applyProtection="true">
      <alignment horizontal="general" vertical="bottom" textRotation="0" wrapText="false" indent="0" shrinkToFit="false"/>
      <protection locked="true" hidden="false"/>
    </xf>
    <xf numFmtId="164" fontId="25" fillId="4" borderId="55" xfId="0" applyFont="true" applyBorder="true" applyAlignment="true" applyProtection="true">
      <alignment horizontal="general" vertical="top" textRotation="0" wrapText="true" indent="0" shrinkToFit="false"/>
      <protection locked="true" hidden="false"/>
    </xf>
    <xf numFmtId="179" fontId="10" fillId="0" borderId="50" xfId="0" applyFont="true" applyBorder="true" applyAlignment="true" applyProtection="true">
      <alignment horizontal="general" vertical="bottom" textRotation="0" wrapText="false" indent="0" shrinkToFit="false"/>
      <protection locked="true" hidden="false"/>
    </xf>
    <xf numFmtId="164" fontId="22" fillId="0" borderId="8" xfId="0" applyFont="true" applyBorder="true" applyAlignment="true" applyProtection="true">
      <alignment horizontal="left" vertical="bottom" textRotation="0" wrapText="false" indent="1" shrinkToFit="false"/>
      <protection locked="true" hidden="false"/>
    </xf>
    <xf numFmtId="164" fontId="25" fillId="0" borderId="39" xfId="0" applyFont="true" applyBorder="true" applyAlignment="true" applyProtection="true">
      <alignment horizontal="right" vertical="bottom" textRotation="0" wrapText="false" indent="0" shrinkToFit="false"/>
      <protection locked="true" hidden="false"/>
    </xf>
    <xf numFmtId="181" fontId="52" fillId="0" borderId="39" xfId="0" applyFont="true" applyBorder="true" applyAlignment="true" applyProtection="true">
      <alignment horizontal="general" vertical="bottom" textRotation="0" wrapText="false" indent="0" shrinkToFit="false"/>
      <protection locked="true" hidden="false"/>
    </xf>
    <xf numFmtId="181" fontId="52" fillId="0" borderId="56" xfId="0" applyFont="true" applyBorder="true" applyAlignment="true" applyProtection="true">
      <alignment horizontal="general" vertical="bottom" textRotation="0" wrapText="false" indent="0" shrinkToFit="false"/>
      <protection locked="true" hidden="false"/>
    </xf>
    <xf numFmtId="181" fontId="22" fillId="0" borderId="39" xfId="0" applyFont="true" applyBorder="true" applyAlignment="true" applyProtection="true">
      <alignment horizontal="general" vertical="bottom" textRotation="0" wrapText="false" indent="0" shrinkToFit="false"/>
      <protection locked="true" hidden="false"/>
    </xf>
    <xf numFmtId="181" fontId="22" fillId="0" borderId="9" xfId="0" applyFont="true" applyBorder="true" applyAlignment="true" applyProtection="true">
      <alignment horizontal="general" vertical="bottom" textRotation="0" wrapText="false" indent="0" shrinkToFit="false"/>
      <protection locked="true" hidden="false"/>
    </xf>
    <xf numFmtId="181" fontId="22" fillId="5" borderId="0" xfId="0" applyFont="true" applyBorder="false" applyAlignment="true" applyProtection="true">
      <alignment horizontal="general" vertical="bottom" textRotation="0" wrapText="false" indent="0" shrinkToFit="false"/>
      <protection locked="true" hidden="false"/>
    </xf>
    <xf numFmtId="164" fontId="5" fillId="0" borderId="55" xfId="0" applyFont="true" applyBorder="true" applyAlignment="true" applyProtection="true">
      <alignment horizontal="general" vertical="bottom" textRotation="0" wrapText="false" indent="0" shrinkToFit="false"/>
      <protection locked="true" hidden="false"/>
    </xf>
    <xf numFmtId="164" fontId="22" fillId="6" borderId="2" xfId="0" applyFont="true" applyBorder="true" applyAlignment="true" applyProtection="true">
      <alignment horizontal="left" vertical="bottom" textRotation="0" wrapText="false" indent="1" shrinkToFit="false"/>
      <protection locked="true" hidden="false"/>
    </xf>
    <xf numFmtId="164" fontId="5" fillId="0" borderId="10" xfId="0" applyFont="true" applyBorder="true" applyAlignment="true" applyProtection="true">
      <alignment horizontal="right" vertical="bottom" textRotation="0" wrapText="false" indent="0" shrinkToFit="false"/>
      <protection locked="true" hidden="false"/>
    </xf>
    <xf numFmtId="164" fontId="5" fillId="0" borderId="10" xfId="0" applyFont="true" applyBorder="true" applyAlignment="true" applyProtection="true">
      <alignment horizontal="general" vertical="bottom" textRotation="0" wrapText="false" indent="0" shrinkToFit="false"/>
      <protection locked="true" hidden="false"/>
    </xf>
    <xf numFmtId="164" fontId="5" fillId="0" borderId="57" xfId="0" applyFont="tru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81" fontId="9" fillId="3" borderId="50" xfId="0" applyFont="true" applyBorder="true" applyAlignment="true" applyProtection="true">
      <alignment horizontal="general" vertical="bottom" textRotation="0" wrapText="false" indent="0" shrinkToFit="false"/>
      <protection locked="true" hidden="false"/>
    </xf>
    <xf numFmtId="164" fontId="22" fillId="0" borderId="6" xfId="0" applyFont="true" applyBorder="true" applyAlignment="true" applyProtection="true">
      <alignment horizontal="left" vertical="bottom" textRotation="0" wrapText="false" indent="1" shrinkToFit="false"/>
      <protection locked="true" hidden="false"/>
    </xf>
    <xf numFmtId="181" fontId="52" fillId="0" borderId="0" xfId="0" applyFont="true" applyBorder="false" applyAlignment="true" applyProtection="true">
      <alignment horizontal="general" vertical="bottom" textRotation="0" wrapText="false" indent="0" shrinkToFit="false"/>
      <protection locked="true" hidden="false"/>
    </xf>
    <xf numFmtId="181" fontId="22" fillId="0" borderId="0" xfId="0" applyFont="true" applyBorder="false" applyAlignment="true" applyProtection="true">
      <alignment horizontal="general" vertical="bottom" textRotation="0" wrapText="false" indent="0" shrinkToFit="false"/>
      <protection locked="true" hidden="false"/>
    </xf>
    <xf numFmtId="164" fontId="22" fillId="5" borderId="2" xfId="0" applyFont="true" applyBorder="true" applyAlignment="true" applyProtection="true">
      <alignment horizontal="left" vertical="bottom" textRotation="0" wrapText="false" indent="1" shrinkToFit="false"/>
      <protection locked="true" hidden="false"/>
    </xf>
    <xf numFmtId="164" fontId="25" fillId="5" borderId="10" xfId="0" applyFont="true" applyBorder="true" applyAlignment="true" applyProtection="true">
      <alignment horizontal="right" vertical="bottom" textRotation="0" wrapText="false" indent="0" shrinkToFit="false"/>
      <protection locked="true" hidden="false"/>
    </xf>
    <xf numFmtId="181" fontId="22" fillId="5" borderId="10" xfId="0" applyFont="true" applyBorder="true" applyAlignment="true" applyProtection="true">
      <alignment horizontal="general" vertical="bottom" textRotation="0" wrapText="false" indent="0" shrinkToFit="false"/>
      <protection locked="true" hidden="false"/>
    </xf>
    <xf numFmtId="181" fontId="22" fillId="5" borderId="3" xfId="0" applyFont="true" applyBorder="true" applyAlignment="true" applyProtection="true">
      <alignment horizontal="general" vertical="bottom" textRotation="0" wrapText="false" indent="0" shrinkToFit="false"/>
      <protection locked="true" hidden="false"/>
    </xf>
    <xf numFmtId="164" fontId="5" fillId="5" borderId="55" xfId="0" applyFont="true" applyBorder="true" applyAlignment="true" applyProtection="true">
      <alignment horizontal="general" vertical="bottom" textRotation="0" wrapText="false" indent="0" shrinkToFit="false"/>
      <protection locked="true" hidden="false"/>
    </xf>
    <xf numFmtId="178" fontId="10" fillId="0" borderId="0" xfId="0" applyFont="true" applyBorder="false" applyAlignment="true" applyProtection="true">
      <alignment horizontal="general" vertical="bottom" textRotation="0" wrapText="false" indent="0" shrinkToFit="false"/>
      <protection locked="true" hidden="false"/>
    </xf>
    <xf numFmtId="178" fontId="9" fillId="3" borderId="0" xfId="0" applyFont="true" applyBorder="false" applyAlignment="true" applyProtection="true">
      <alignment horizontal="general" vertical="bottom" textRotation="0" wrapText="false" indent="0" shrinkToFit="false"/>
      <protection locked="true" hidden="false"/>
    </xf>
    <xf numFmtId="178" fontId="9" fillId="3" borderId="7" xfId="0" applyFont="true" applyBorder="true" applyAlignment="true" applyProtection="true">
      <alignment horizontal="general" vertical="bottom" textRotation="0" wrapText="false" indent="0" shrinkToFit="false"/>
      <protection locked="true" hidden="false"/>
    </xf>
    <xf numFmtId="164" fontId="22" fillId="5" borderId="6" xfId="0" applyFont="true" applyBorder="true" applyAlignment="true" applyProtection="true">
      <alignment horizontal="left" vertical="bottom" textRotation="0" wrapText="false" indent="1" shrinkToFit="false"/>
      <protection locked="true" hidden="false"/>
    </xf>
    <xf numFmtId="164" fontId="25" fillId="5" borderId="0" xfId="0" applyFont="true" applyBorder="false" applyAlignment="true" applyProtection="true">
      <alignment horizontal="right" vertical="bottom" textRotation="0" wrapText="false" indent="0" shrinkToFit="false"/>
      <protection locked="true" hidden="false"/>
    </xf>
    <xf numFmtId="181" fontId="52" fillId="5" borderId="0" xfId="0" applyFont="true" applyBorder="false" applyAlignment="true" applyProtection="true">
      <alignment horizontal="general" vertical="bottom" textRotation="0" wrapText="false" indent="0" shrinkToFit="false"/>
      <protection locked="true" hidden="false"/>
    </xf>
    <xf numFmtId="181" fontId="22" fillId="5" borderId="7" xfId="0" applyFont="true" applyBorder="true" applyAlignment="true" applyProtection="true">
      <alignment horizontal="general" vertical="bottom" textRotation="0" wrapText="false" indent="0" shrinkToFit="false"/>
      <protection locked="true" hidden="false"/>
    </xf>
    <xf numFmtId="179" fontId="22" fillId="0" borderId="0" xfId="0" applyFont="true" applyBorder="false" applyAlignment="true" applyProtection="true">
      <alignment horizontal="general" vertical="bottom" textRotation="0" wrapText="false" indent="0" shrinkToFit="false"/>
      <protection locked="true" hidden="false"/>
    </xf>
    <xf numFmtId="179" fontId="22" fillId="0" borderId="7" xfId="0" applyFont="true" applyBorder="true" applyAlignment="true" applyProtection="true">
      <alignment horizontal="general" vertical="bottom" textRotation="0" wrapText="false" indent="0" shrinkToFit="false"/>
      <protection locked="true" hidden="false"/>
    </xf>
    <xf numFmtId="179" fontId="22" fillId="5" borderId="0" xfId="0" applyFont="true" applyBorder="false" applyAlignment="true" applyProtection="true">
      <alignment horizontal="general" vertical="bottom" textRotation="0" wrapText="false" indent="0" shrinkToFit="false"/>
      <protection locked="true" hidden="false"/>
    </xf>
    <xf numFmtId="164" fontId="10" fillId="0" borderId="8" xfId="0" applyFont="true" applyBorder="true" applyAlignment="true" applyProtection="true">
      <alignment horizontal="left" vertical="bottom" textRotation="0" wrapText="false" indent="1" shrinkToFit="false"/>
      <protection locked="true" hidden="false"/>
    </xf>
    <xf numFmtId="179" fontId="10" fillId="0" borderId="39" xfId="0" applyFont="true" applyBorder="true" applyAlignment="true" applyProtection="true">
      <alignment horizontal="general" vertical="bottom" textRotation="0" wrapText="false" indent="0" shrinkToFit="false"/>
      <protection locked="true" hidden="false"/>
    </xf>
    <xf numFmtId="179" fontId="10" fillId="0" borderId="9" xfId="0" applyFont="true" applyBorder="true" applyAlignment="true" applyProtection="true">
      <alignment horizontal="general" vertical="bottom" textRotation="0" wrapText="false" indent="0" shrinkToFit="false"/>
      <protection locked="true" hidden="false"/>
    </xf>
    <xf numFmtId="182" fontId="10" fillId="0" borderId="0" xfId="0" applyFont="true" applyBorder="false" applyAlignment="true" applyProtection="true">
      <alignment horizontal="general" vertical="bottom" textRotation="0" wrapText="false" indent="0" shrinkToFit="false"/>
      <protection locked="true" hidden="false"/>
    </xf>
    <xf numFmtId="182" fontId="10" fillId="0" borderId="50" xfId="0" applyFont="true" applyBorder="true" applyAlignment="true" applyProtection="true">
      <alignment horizontal="general" vertical="bottom" textRotation="0" wrapText="false" indent="0" shrinkToFit="false"/>
      <protection locked="true" hidden="false"/>
    </xf>
    <xf numFmtId="182" fontId="10" fillId="0" borderId="7" xfId="0" applyFont="true" applyBorder="true" applyAlignment="true" applyProtection="true">
      <alignment horizontal="general" vertical="bottom" textRotation="0" wrapText="false" indent="0" shrinkToFit="false"/>
      <protection locked="true" hidden="false"/>
    </xf>
    <xf numFmtId="182" fontId="10" fillId="5" borderId="0" xfId="0" applyFont="true" applyBorder="false" applyAlignment="true" applyProtection="true">
      <alignment horizontal="general" vertical="bottom" textRotation="0" wrapText="false" indent="0" shrinkToFit="false"/>
      <protection locked="true" hidden="false"/>
    </xf>
    <xf numFmtId="181" fontId="9" fillId="3" borderId="0" xfId="0" applyFont="true" applyBorder="false" applyAlignment="true" applyProtection="true">
      <alignment horizontal="general" vertical="bottom" textRotation="0" wrapText="false" indent="0" shrinkToFit="false"/>
      <protection locked="true" hidden="false"/>
    </xf>
    <xf numFmtId="180" fontId="10" fillId="0" borderId="50" xfId="0" applyFont="true" applyBorder="true" applyAlignment="true" applyProtection="true">
      <alignment horizontal="general" vertical="bottom" textRotation="0" wrapText="false" indent="0" shrinkToFit="false"/>
      <protection locked="true" hidden="false"/>
    </xf>
    <xf numFmtId="183" fontId="9" fillId="3" borderId="50" xfId="0" applyFont="true" applyBorder="true" applyAlignment="true" applyProtection="true">
      <alignment horizontal="general" vertical="bottom" textRotation="0" wrapText="false" indent="0" shrinkToFit="false"/>
      <protection locked="true" hidden="false"/>
    </xf>
    <xf numFmtId="183" fontId="10" fillId="0" borderId="0" xfId="0" applyFont="true" applyBorder="false" applyAlignment="true" applyProtection="true">
      <alignment horizontal="general" vertical="bottom" textRotation="0" wrapText="false" indent="0" shrinkToFit="false"/>
      <protection locked="true" hidden="false"/>
    </xf>
    <xf numFmtId="183" fontId="10" fillId="0" borderId="7" xfId="0" applyFont="true" applyBorder="true" applyAlignment="true" applyProtection="true">
      <alignment horizontal="general" vertical="bottom" textRotation="0" wrapText="false" indent="0" shrinkToFit="false"/>
      <protection locked="true" hidden="false"/>
    </xf>
    <xf numFmtId="183" fontId="10" fillId="5" borderId="0" xfId="0" applyFont="true" applyBorder="false" applyAlignment="true" applyProtection="true">
      <alignment horizontal="general" vertical="bottom" textRotation="0" wrapText="false" indent="0" shrinkToFit="false"/>
      <protection locked="true" hidden="false"/>
    </xf>
    <xf numFmtId="164" fontId="5" fillId="0" borderId="39" xfId="0" applyFont="true" applyBorder="true" applyAlignment="true" applyProtection="true">
      <alignment horizontal="general" vertical="bottom" textRotation="0" wrapText="false" indent="0" shrinkToFit="false"/>
      <protection locked="true" hidden="false"/>
    </xf>
    <xf numFmtId="178" fontId="10" fillId="0" borderId="56" xfId="0" applyFont="true" applyBorder="true" applyAlignment="true" applyProtection="true">
      <alignment horizontal="general" vertical="bottom" textRotation="0" wrapText="false" indent="0" shrinkToFit="false"/>
      <protection locked="true" hidden="false"/>
    </xf>
    <xf numFmtId="178" fontId="10" fillId="0" borderId="39" xfId="0" applyFont="true" applyBorder="true" applyAlignment="true" applyProtection="true">
      <alignment horizontal="general" vertical="bottom" textRotation="0" wrapText="false" indent="0" shrinkToFit="false"/>
      <protection locked="true" hidden="false"/>
    </xf>
    <xf numFmtId="178" fontId="10" fillId="0" borderId="9" xfId="0" applyFont="true" applyBorder="true" applyAlignment="true" applyProtection="true">
      <alignment horizontal="general" vertical="bottom" textRotation="0" wrapText="false" indent="0" shrinkToFit="false"/>
      <protection locked="true" hidden="false"/>
    </xf>
    <xf numFmtId="178" fontId="10" fillId="5" borderId="0" xfId="0" applyFont="true" applyBorder="false" applyAlignment="true" applyProtection="true">
      <alignment horizontal="general" vertical="bottom" textRotation="0" wrapText="false" indent="0" shrinkToFit="false"/>
      <protection locked="true" hidden="false"/>
    </xf>
    <xf numFmtId="164" fontId="5" fillId="8" borderId="55" xfId="0" applyFont="true" applyBorder="true" applyAlignment="true" applyProtection="true">
      <alignment horizontal="general" vertical="bottom" textRotation="0" wrapText="false" indent="0" shrinkToFit="false"/>
      <protection locked="true" hidden="false"/>
    </xf>
    <xf numFmtId="164" fontId="5" fillId="5" borderId="10" xfId="0" applyFont="true" applyBorder="true" applyAlignment="true" applyProtection="true">
      <alignment horizontal="right" vertical="bottom" textRotation="0" wrapText="false" indent="0" shrinkToFit="false"/>
      <protection locked="true" hidden="false"/>
    </xf>
    <xf numFmtId="164" fontId="5" fillId="5" borderId="10" xfId="0" applyFont="true" applyBorder="true" applyAlignment="true" applyProtection="true">
      <alignment horizontal="general" vertical="bottom" textRotation="0" wrapText="false" indent="0" shrinkToFit="false"/>
      <protection locked="true" hidden="false"/>
    </xf>
    <xf numFmtId="164" fontId="5" fillId="5" borderId="57" xfId="0" applyFont="true" applyBorder="true" applyAlignment="true" applyProtection="true">
      <alignment horizontal="general" vertical="bottom" textRotation="0" wrapText="false" indent="0" shrinkToFit="false"/>
      <protection locked="true" hidden="false"/>
    </xf>
    <xf numFmtId="164" fontId="5" fillId="5" borderId="3" xfId="0" applyFont="true" applyBorder="true" applyAlignment="true" applyProtection="true">
      <alignment horizontal="general" vertical="bottom" textRotation="0" wrapText="false" indent="0" shrinkToFit="false"/>
      <protection locked="true" hidden="false"/>
    </xf>
    <xf numFmtId="164" fontId="10" fillId="0" borderId="2" xfId="0" applyFont="true" applyBorder="true" applyAlignment="true" applyProtection="true">
      <alignment horizontal="left" vertical="bottom" textRotation="0" wrapText="false" indent="1" shrinkToFit="false"/>
      <protection locked="true" hidden="false"/>
    </xf>
    <xf numFmtId="164" fontId="25" fillId="0" borderId="10" xfId="0" applyFont="true" applyBorder="true" applyAlignment="true" applyProtection="true">
      <alignment horizontal="right" vertical="bottom" textRotation="0" wrapText="false" indent="0" shrinkToFit="false"/>
      <protection locked="true" hidden="false"/>
    </xf>
    <xf numFmtId="179" fontId="10" fillId="0" borderId="10" xfId="0" applyFont="true" applyBorder="true" applyAlignment="true" applyProtection="true">
      <alignment horizontal="general" vertical="bottom" textRotation="0" wrapText="false" indent="0" shrinkToFit="false"/>
      <protection locked="true" hidden="false"/>
    </xf>
    <xf numFmtId="179" fontId="10" fillId="0" borderId="57" xfId="0" applyFont="true" applyBorder="true" applyAlignment="true" applyProtection="true">
      <alignment horizontal="general" vertical="bottom" textRotation="0" wrapText="false" indent="0" shrinkToFit="false"/>
      <protection locked="true" hidden="false"/>
    </xf>
    <xf numFmtId="179" fontId="10" fillId="0" borderId="3" xfId="0" applyFont="true" applyBorder="true" applyAlignment="true" applyProtection="true">
      <alignment horizontal="general" vertical="bottom" textRotation="0" wrapText="false" indent="0" shrinkToFit="false"/>
      <protection locked="true" hidden="false"/>
    </xf>
    <xf numFmtId="181" fontId="11" fillId="0" borderId="0" xfId="0" applyFont="true" applyBorder="false" applyAlignment="true" applyProtection="true">
      <alignment horizontal="general" vertical="bottom" textRotation="0" wrapText="false" indent="0" shrinkToFit="false"/>
      <protection locked="true" hidden="false"/>
    </xf>
    <xf numFmtId="181" fontId="11" fillId="0" borderId="50" xfId="0" applyFont="true" applyBorder="true" applyAlignment="true" applyProtection="true">
      <alignment horizontal="general" vertical="bottom" textRotation="0" wrapText="false" indent="0" shrinkToFit="false"/>
      <protection locked="true" hidden="false"/>
    </xf>
    <xf numFmtId="179" fontId="9" fillId="3" borderId="0" xfId="0" applyFont="true" applyBorder="false" applyAlignment="true" applyProtection="true">
      <alignment horizontal="general" vertical="bottom" textRotation="0" wrapText="false" indent="0" shrinkToFit="false"/>
      <protection locked="true" hidden="false"/>
    </xf>
    <xf numFmtId="179" fontId="9" fillId="3" borderId="7" xfId="0" applyFont="true" applyBorder="true" applyAlignment="true" applyProtection="true">
      <alignment horizontal="general" vertical="bottom" textRotation="0" wrapText="false" indent="0" shrinkToFit="false"/>
      <protection locked="true" hidden="false"/>
    </xf>
    <xf numFmtId="179" fontId="9" fillId="5" borderId="0" xfId="0" applyFont="true" applyBorder="false" applyAlignment="true" applyProtection="true">
      <alignment horizontal="general" vertical="bottom" textRotation="0" wrapText="false" indent="0" shrinkToFit="false"/>
      <protection locked="true" hidden="false"/>
    </xf>
    <xf numFmtId="164" fontId="22" fillId="0" borderId="8" xfId="0" applyFont="true" applyBorder="true" applyAlignment="true" applyProtection="true">
      <alignment horizontal="left" vertical="top" textRotation="0" wrapText="true" indent="1" shrinkToFit="false"/>
      <protection locked="true" hidden="false"/>
    </xf>
    <xf numFmtId="181" fontId="22" fillId="0" borderId="56" xfId="0" applyFont="true" applyBorder="true" applyAlignment="true" applyProtection="true">
      <alignment horizontal="general" vertical="bottom" textRotation="0" wrapText="false" indent="0" shrinkToFit="false"/>
      <protection locked="true" hidden="false"/>
    </xf>
    <xf numFmtId="164" fontId="22" fillId="5" borderId="43" xfId="0" applyFont="true" applyBorder="true" applyAlignment="true" applyProtection="true">
      <alignment horizontal="left" vertical="bottom" textRotation="0" wrapText="false" indent="1" shrinkToFit="false"/>
      <protection locked="true" hidden="false"/>
    </xf>
    <xf numFmtId="164" fontId="5" fillId="5" borderId="44" xfId="0" applyFont="true" applyBorder="true" applyAlignment="true" applyProtection="true">
      <alignment horizontal="right" vertical="bottom" textRotation="0" wrapText="false" indent="0" shrinkToFit="false"/>
      <protection locked="true" hidden="false"/>
    </xf>
    <xf numFmtId="164" fontId="5" fillId="5" borderId="44" xfId="0" applyFont="true" applyBorder="true" applyAlignment="true" applyProtection="true">
      <alignment horizontal="general" vertical="bottom" textRotation="0" wrapText="false" indent="0" shrinkToFit="false"/>
      <protection locked="true" hidden="false"/>
    </xf>
    <xf numFmtId="164" fontId="5" fillId="5" borderId="51" xfId="0" applyFont="true" applyBorder="true" applyAlignment="true" applyProtection="true">
      <alignment horizontal="general" vertical="bottom" textRotation="0" wrapText="false" indent="0" shrinkToFit="false"/>
      <protection locked="true" hidden="false"/>
    </xf>
    <xf numFmtId="164" fontId="5" fillId="5" borderId="45" xfId="0" applyFont="true" applyBorder="true" applyAlignment="true" applyProtection="true">
      <alignment horizontal="general" vertical="bottom" textRotation="0" wrapText="false" indent="0" shrinkToFit="false"/>
      <protection locked="true" hidden="false"/>
    </xf>
    <xf numFmtId="164" fontId="22" fillId="0" borderId="2" xfId="0" applyFont="true" applyBorder="true" applyAlignment="true" applyProtection="true">
      <alignment horizontal="left" vertical="bottom" textRotation="0" wrapText="false" indent="1" shrinkToFit="false"/>
      <protection locked="true" hidden="false"/>
    </xf>
    <xf numFmtId="181" fontId="22" fillId="0" borderId="10" xfId="0" applyFont="true" applyBorder="true" applyAlignment="true" applyProtection="true">
      <alignment horizontal="general" vertical="bottom" textRotation="0" wrapText="false" indent="0" shrinkToFit="false"/>
      <protection locked="true" hidden="false"/>
    </xf>
    <xf numFmtId="181" fontId="22" fillId="0" borderId="57" xfId="0" applyFont="true" applyBorder="true" applyAlignment="true" applyProtection="true">
      <alignment horizontal="general" vertical="bottom" textRotation="0" wrapText="false" indent="0" shrinkToFit="false"/>
      <protection locked="true" hidden="false"/>
    </xf>
    <xf numFmtId="181" fontId="22" fillId="0" borderId="3" xfId="0" applyFont="true" applyBorder="true" applyAlignment="true" applyProtection="true">
      <alignment horizontal="general" vertical="bottom" textRotation="0" wrapText="false" indent="0" shrinkToFit="false"/>
      <protection locked="true" hidden="false"/>
    </xf>
    <xf numFmtId="179" fontId="22" fillId="0" borderId="39" xfId="0" applyFont="true" applyBorder="true" applyAlignment="true" applyProtection="true">
      <alignment horizontal="general" vertical="bottom" textRotation="0" wrapText="false" indent="0" shrinkToFit="false"/>
      <protection locked="true" hidden="false"/>
    </xf>
    <xf numFmtId="179" fontId="22" fillId="0" borderId="56" xfId="0" applyFont="true" applyBorder="true" applyAlignment="true" applyProtection="true">
      <alignment horizontal="general" vertical="bottom" textRotation="0" wrapText="false" indent="0" shrinkToFit="false"/>
      <protection locked="true" hidden="false"/>
    </xf>
    <xf numFmtId="179" fontId="22" fillId="0" borderId="9" xfId="0" applyFont="true" applyBorder="true" applyAlignment="true" applyProtection="true">
      <alignment horizontal="general" vertical="bottom" textRotation="0" wrapText="false" indent="0" shrinkToFit="false"/>
      <protection locked="true" hidden="false"/>
    </xf>
    <xf numFmtId="164" fontId="22" fillId="17" borderId="43" xfId="0" applyFont="true" applyBorder="true" applyAlignment="true" applyProtection="true">
      <alignment horizontal="left" vertical="bottom" textRotation="0" wrapText="false" indent="1" shrinkToFit="false"/>
      <protection locked="true" hidden="false"/>
    </xf>
    <xf numFmtId="164" fontId="5" fillId="17" borderId="44" xfId="0" applyFont="true" applyBorder="true" applyAlignment="true" applyProtection="true">
      <alignment horizontal="right" vertical="bottom" textRotation="0" wrapText="false" indent="0" shrinkToFit="false"/>
      <protection locked="true" hidden="false"/>
    </xf>
    <xf numFmtId="164" fontId="5" fillId="17" borderId="44" xfId="0" applyFont="true" applyBorder="true" applyAlignment="true" applyProtection="true">
      <alignment horizontal="general" vertical="bottom" textRotation="0" wrapText="false" indent="0" shrinkToFit="false"/>
      <protection locked="true" hidden="false"/>
    </xf>
    <xf numFmtId="164" fontId="5" fillId="17" borderId="51" xfId="0" applyFont="true" applyBorder="true" applyAlignment="true" applyProtection="true">
      <alignment horizontal="general" vertical="bottom" textRotation="0" wrapText="false" indent="0" shrinkToFit="false"/>
      <protection locked="true" hidden="false"/>
    </xf>
    <xf numFmtId="164" fontId="5" fillId="17" borderId="45" xfId="0" applyFont="true" applyBorder="true" applyAlignment="true" applyProtection="true">
      <alignment horizontal="general" vertical="bottom" textRotation="0" wrapText="false" indent="0" shrinkToFit="false"/>
      <protection locked="true" hidden="false"/>
    </xf>
    <xf numFmtId="181" fontId="22" fillId="0" borderId="50" xfId="0" applyFont="true" applyBorder="true" applyAlignment="true" applyProtection="true">
      <alignment horizontal="general" vertical="bottom" textRotation="0" wrapText="false" indent="0" shrinkToFit="false"/>
      <protection locked="true" hidden="false"/>
    </xf>
    <xf numFmtId="181" fontId="22" fillId="0" borderId="7" xfId="0" applyFont="true" applyBorder="true" applyAlignment="true" applyProtection="true">
      <alignment horizontal="general" vertical="bottom" textRotation="0" wrapText="false" indent="0" shrinkToFit="false"/>
      <protection locked="true" hidden="false"/>
    </xf>
    <xf numFmtId="179" fontId="22" fillId="0" borderId="50" xfId="0" applyFont="true" applyBorder="true" applyAlignment="true" applyProtection="true">
      <alignment horizontal="general" vertical="bottom" textRotation="0" wrapText="false" indent="0" shrinkToFit="false"/>
      <protection locked="true" hidden="false"/>
    </xf>
    <xf numFmtId="179" fontId="11" fillId="0" borderId="0" xfId="0" applyFont="true" applyBorder="false" applyAlignment="true" applyProtection="true">
      <alignment horizontal="general" vertical="bottom" textRotation="0" wrapText="false" indent="0" shrinkToFit="false"/>
      <protection locked="true" hidden="false"/>
    </xf>
    <xf numFmtId="179" fontId="11" fillId="0" borderId="7" xfId="0" applyFont="true" applyBorder="true" applyAlignment="true" applyProtection="true">
      <alignment horizontal="general" vertical="bottom" textRotation="0" wrapText="false" indent="0" shrinkToFit="false"/>
      <protection locked="true" hidden="false"/>
    </xf>
    <xf numFmtId="179" fontId="11" fillId="5" borderId="0" xfId="0" applyFont="true" applyBorder="false" applyAlignment="true" applyProtection="true">
      <alignment horizontal="general" vertical="bottom" textRotation="0" wrapText="false" indent="0" shrinkToFit="false"/>
      <protection locked="true" hidden="false"/>
    </xf>
    <xf numFmtId="179" fontId="10" fillId="0" borderId="56" xfId="0" applyFont="true" applyBorder="true" applyAlignment="true" applyProtection="true">
      <alignment horizontal="general" vertical="bottom" textRotation="0" wrapText="false" indent="0" shrinkToFit="false"/>
      <protection locked="true" hidden="false"/>
    </xf>
    <xf numFmtId="164" fontId="22" fillId="8" borderId="2" xfId="0" applyFont="true" applyBorder="true" applyAlignment="true" applyProtection="true">
      <alignment horizontal="left" vertical="bottom" textRotation="0" wrapText="false" indent="1" shrinkToFit="false"/>
      <protection locked="true" hidden="false"/>
    </xf>
    <xf numFmtId="164" fontId="5" fillId="8" borderId="10" xfId="0" applyFont="true" applyBorder="true" applyAlignment="true" applyProtection="true">
      <alignment horizontal="right" vertical="bottom" textRotation="0" wrapText="false" indent="0" shrinkToFit="false"/>
      <protection locked="true" hidden="false"/>
    </xf>
    <xf numFmtId="164" fontId="5" fillId="8" borderId="10" xfId="0" applyFont="true" applyBorder="true" applyAlignment="true" applyProtection="true">
      <alignment horizontal="general" vertical="bottom" textRotation="0" wrapText="false" indent="0" shrinkToFit="false"/>
      <protection locked="true" hidden="false"/>
    </xf>
    <xf numFmtId="164" fontId="5" fillId="8" borderId="57" xfId="0" applyFont="true" applyBorder="true" applyAlignment="true" applyProtection="true">
      <alignment horizontal="general" vertical="bottom" textRotation="0" wrapText="false" indent="0" shrinkToFit="false"/>
      <protection locked="true" hidden="false"/>
    </xf>
    <xf numFmtId="164" fontId="5" fillId="8" borderId="3" xfId="0" applyFont="true" applyBorder="true" applyAlignment="true" applyProtection="true">
      <alignment horizontal="general" vertical="bottom" textRotation="0" wrapText="false" indent="0" shrinkToFit="false"/>
      <protection locked="true" hidden="false"/>
    </xf>
    <xf numFmtId="164" fontId="10" fillId="0" borderId="6" xfId="0" applyFont="true" applyBorder="true" applyAlignment="true" applyProtection="true">
      <alignment horizontal="left" vertical="top" textRotation="0" wrapText="true" indent="1" shrinkToFit="false"/>
      <protection locked="true" hidden="false"/>
    </xf>
    <xf numFmtId="184" fontId="10" fillId="0" borderId="0" xfId="0" applyFont="true" applyBorder="false" applyAlignment="true" applyProtection="true">
      <alignment horizontal="general" vertical="bottom" textRotation="0" wrapText="false" indent="0" shrinkToFit="false"/>
      <protection locked="true" hidden="false"/>
    </xf>
    <xf numFmtId="184" fontId="10" fillId="0" borderId="50" xfId="0" applyFont="true" applyBorder="true" applyAlignment="true" applyProtection="true">
      <alignment horizontal="general" vertical="bottom" textRotation="0" wrapText="false" indent="0" shrinkToFit="false"/>
      <protection locked="true" hidden="false"/>
    </xf>
    <xf numFmtId="184" fontId="9" fillId="3" borderId="0" xfId="0" applyFont="true" applyBorder="false" applyAlignment="true" applyProtection="true">
      <alignment horizontal="general" vertical="bottom" textRotation="0" wrapText="false" indent="0" shrinkToFit="false"/>
      <protection locked="true" hidden="false"/>
    </xf>
    <xf numFmtId="184" fontId="9" fillId="3" borderId="7" xfId="0" applyFont="true" applyBorder="true" applyAlignment="true" applyProtection="true">
      <alignment horizontal="general" vertical="bottom" textRotation="0" wrapText="false" indent="0" shrinkToFit="false"/>
      <protection locked="true" hidden="false"/>
    </xf>
    <xf numFmtId="184" fontId="9" fillId="5" borderId="0" xfId="0" applyFont="true" applyBorder="false" applyAlignment="true" applyProtection="true">
      <alignment horizontal="general" vertical="bottom" textRotation="0" wrapText="false" indent="0" shrinkToFit="false"/>
      <protection locked="true" hidden="false"/>
    </xf>
    <xf numFmtId="178" fontId="10" fillId="0" borderId="50" xfId="0" applyFont="true" applyBorder="true" applyAlignment="true" applyProtection="true">
      <alignment horizontal="general" vertical="bottom" textRotation="0" wrapText="false" indent="0" shrinkToFit="false"/>
      <protection locked="true" hidden="false"/>
    </xf>
    <xf numFmtId="179" fontId="9" fillId="0" borderId="50" xfId="0" applyFont="true" applyBorder="true" applyAlignment="true" applyProtection="true">
      <alignment horizontal="general" vertical="bottom" textRotation="0" wrapText="false" indent="0" shrinkToFit="false"/>
      <protection locked="true" hidden="false"/>
    </xf>
    <xf numFmtId="168" fontId="9" fillId="3" borderId="0" xfId="0" applyFont="true" applyBorder="false" applyAlignment="true" applyProtection="true">
      <alignment horizontal="general" vertical="bottom" textRotation="0" wrapText="false" indent="0" shrinkToFit="false"/>
      <protection locked="true" hidden="false"/>
    </xf>
    <xf numFmtId="178" fontId="10" fillId="0" borderId="7" xfId="0" applyFont="true" applyBorder="true" applyAlignment="true" applyProtection="true">
      <alignment horizontal="general" vertical="bottom" textRotation="0" wrapText="false" indent="0" shrinkToFit="false"/>
      <protection locked="true" hidden="false"/>
    </xf>
    <xf numFmtId="181" fontId="11" fillId="0" borderId="7" xfId="0" applyFont="true" applyBorder="true" applyAlignment="true" applyProtection="true">
      <alignment horizontal="general" vertical="bottom" textRotation="0" wrapText="false" indent="0" shrinkToFit="false"/>
      <protection locked="true" hidden="false"/>
    </xf>
    <xf numFmtId="181" fontId="11" fillId="5" borderId="0" xfId="0" applyFont="true" applyBorder="false" applyAlignment="true" applyProtection="true">
      <alignment horizontal="general" vertical="bottom" textRotation="0" wrapText="false" indent="0" shrinkToFit="false"/>
      <protection locked="true" hidden="false"/>
    </xf>
    <xf numFmtId="181" fontId="52" fillId="0" borderId="50" xfId="0" applyFont="true" applyBorder="true" applyAlignment="true" applyProtection="true">
      <alignment horizontal="general" vertical="bottom" textRotation="0" wrapText="false" indent="0" shrinkToFit="false"/>
      <protection locked="true" hidden="false"/>
    </xf>
    <xf numFmtId="164" fontId="5" fillId="0" borderId="56" xfId="0" applyFont="true" applyBorder="true" applyAlignment="true" applyProtection="true">
      <alignment horizontal="general" vertical="bottom" textRotation="0" wrapText="false" indent="0" shrinkToFit="false"/>
      <protection locked="true" hidden="false"/>
    </xf>
    <xf numFmtId="164" fontId="22" fillId="8" borderId="0" xfId="0" applyFont="true" applyBorder="false" applyAlignment="true" applyProtection="true">
      <alignment horizontal="left" vertical="bottom" textRotation="0" wrapText="false" indent="1" shrinkToFit="false"/>
      <protection locked="true" hidden="false"/>
    </xf>
    <xf numFmtId="164" fontId="5" fillId="8" borderId="0" xfId="0" applyFont="true" applyBorder="false" applyAlignment="true" applyProtection="true">
      <alignment horizontal="right"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64" fontId="5" fillId="8" borderId="50" xfId="0" applyFont="true" applyBorder="true" applyAlignment="true" applyProtection="true">
      <alignment horizontal="general" vertical="bottom" textRotation="0" wrapText="false" indent="0" shrinkToFit="false"/>
      <protection locked="true" hidden="false"/>
    </xf>
    <xf numFmtId="164" fontId="7" fillId="7" borderId="10" xfId="0" applyFont="true" applyBorder="true" applyAlignment="true" applyProtection="true">
      <alignment horizontal="center" vertical="center" textRotation="0" wrapText="true" indent="0" shrinkToFit="false"/>
      <protection locked="true" hidden="false"/>
    </xf>
    <xf numFmtId="164" fontId="7" fillId="7" borderId="57" xfId="0" applyFont="true" applyBorder="true" applyAlignment="true" applyProtection="true">
      <alignment horizontal="center" vertical="center" textRotation="0" wrapText="true" indent="0" shrinkToFit="false"/>
      <protection locked="true" hidden="false"/>
    </xf>
    <xf numFmtId="176" fontId="9" fillId="3" borderId="0" xfId="0" applyFont="true" applyBorder="false" applyAlignment="true" applyProtection="true">
      <alignment horizontal="general" vertical="bottom" textRotation="0" wrapText="false" indent="0" shrinkToFit="false"/>
      <protection locked="true" hidden="false"/>
    </xf>
    <xf numFmtId="176" fontId="9" fillId="3" borderId="50" xfId="0" applyFont="true" applyBorder="true" applyAlignment="true" applyProtection="true">
      <alignment horizontal="general" vertical="bottom" textRotation="0" wrapText="false" indent="0" shrinkToFit="false"/>
      <protection locked="true" hidden="false"/>
    </xf>
    <xf numFmtId="179" fontId="9" fillId="3" borderId="50" xfId="0" applyFont="true" applyBorder="true" applyAlignment="true" applyProtection="true">
      <alignment horizontal="general" vertical="bottom" textRotation="0" wrapText="false" indent="0" shrinkToFit="false"/>
      <protection locked="true" hidden="false"/>
    </xf>
    <xf numFmtId="164" fontId="5" fillId="0" borderId="39" xfId="0" applyFont="true" applyBorder="true" applyAlignment="true" applyProtection="true">
      <alignment horizontal="right" vertical="bottom" textRotation="0" wrapText="false" indent="0" shrinkToFit="false"/>
      <protection locked="true" hidden="false"/>
    </xf>
    <xf numFmtId="179" fontId="9" fillId="3" borderId="39" xfId="0" applyFont="true" applyBorder="true" applyAlignment="true" applyProtection="true">
      <alignment horizontal="general" vertical="bottom" textRotation="0" wrapText="false" indent="0" shrinkToFit="false"/>
      <protection locked="true" hidden="false"/>
    </xf>
    <xf numFmtId="179" fontId="9" fillId="3" borderId="56" xfId="0" applyFont="true" applyBorder="true" applyAlignment="true" applyProtection="true">
      <alignment horizontal="general" vertical="bottom" textRotation="0" wrapText="false" indent="0" shrinkToFit="false"/>
      <protection locked="true" hidden="false"/>
    </xf>
    <xf numFmtId="164" fontId="7" fillId="7" borderId="3" xfId="0" applyFont="true" applyBorder="true" applyAlignment="true" applyProtection="true">
      <alignment horizontal="center" vertical="center" textRotation="0" wrapText="true" indent="0" shrinkToFit="false"/>
      <protection locked="true" hidden="false"/>
    </xf>
    <xf numFmtId="179" fontId="9" fillId="3" borderId="9" xfId="0" applyFont="true" applyBorder="true" applyAlignment="true" applyProtection="true">
      <alignment horizontal="general" vertical="bottom" textRotation="0" wrapText="false" indent="0" shrinkToFit="false"/>
      <protection locked="true" hidden="false"/>
    </xf>
    <xf numFmtId="171" fontId="9" fillId="3" borderId="7" xfId="0" applyFont="true" applyBorder="true" applyAlignment="true" applyProtection="true">
      <alignment horizontal="general" vertical="bottom" textRotation="0" wrapText="false" indent="0" shrinkToFit="false"/>
      <protection locked="true" hidden="false"/>
    </xf>
    <xf numFmtId="164" fontId="49" fillId="0" borderId="55" xfId="0" applyFont="true" applyBorder="true" applyAlignment="true" applyProtection="true">
      <alignment horizontal="general" vertical="top" textRotation="0" wrapText="true" indent="0" shrinkToFit="false"/>
      <protection locked="true" hidden="false"/>
    </xf>
    <xf numFmtId="181" fontId="9" fillId="3" borderId="7" xfId="0" applyFont="true" applyBorder="true" applyAlignment="true" applyProtection="true">
      <alignment horizontal="general" vertical="bottom" textRotation="0" wrapText="false" indent="0" shrinkToFit="false"/>
      <protection locked="true" hidden="false"/>
    </xf>
    <xf numFmtId="164" fontId="49" fillId="4" borderId="58" xfId="0" applyFont="true" applyBorder="true" applyAlignment="true" applyProtection="true">
      <alignment horizontal="general" vertical="top" textRotation="0" wrapText="true" indent="0" shrinkToFit="false"/>
      <protection locked="true" hidden="false"/>
    </xf>
    <xf numFmtId="185" fontId="53" fillId="5" borderId="0" xfId="21" applyFont="true" applyBorder="false" applyAlignment="true" applyProtection="true">
      <alignment horizontal="general" vertical="bottom" textRotation="0" wrapText="false" indent="0" shrinkToFit="false"/>
      <protection locked="true" hidden="false"/>
    </xf>
    <xf numFmtId="185" fontId="53" fillId="5" borderId="0" xfId="21" applyFont="true" applyBorder="false" applyAlignment="true" applyProtection="true">
      <alignment horizontal="center" vertical="bottom" textRotation="0" wrapText="false" indent="0" shrinkToFit="false"/>
      <protection locked="true" hidden="false"/>
    </xf>
    <xf numFmtId="186" fontId="53" fillId="5" borderId="0" xfId="21" applyFont="true" applyBorder="false" applyAlignment="true" applyProtection="true">
      <alignment horizontal="center" vertical="bottom" textRotation="0" wrapText="false" indent="0" shrinkToFit="false"/>
      <protection locked="true" hidden="false"/>
    </xf>
    <xf numFmtId="164" fontId="53" fillId="5" borderId="0" xfId="21" applyFont="true" applyBorder="false" applyAlignment="true" applyProtection="true">
      <alignment horizontal="general" vertical="bottom" textRotation="0" wrapText="false" indent="0" shrinkToFit="false"/>
      <protection locked="true" hidden="false"/>
    </xf>
    <xf numFmtId="185" fontId="54" fillId="7" borderId="0" xfId="21" applyFont="true" applyBorder="false" applyAlignment="true" applyProtection="true">
      <alignment horizontal="general" vertical="center" textRotation="0" wrapText="false" indent="0" shrinkToFit="false"/>
      <protection locked="true" hidden="false"/>
    </xf>
    <xf numFmtId="185" fontId="20" fillId="7" borderId="0" xfId="21" applyFont="true" applyBorder="false" applyAlignment="true" applyProtection="true">
      <alignment horizontal="general" vertical="bottom" textRotation="0" wrapText="false" indent="0" shrinkToFit="false"/>
      <protection locked="true" hidden="false"/>
    </xf>
    <xf numFmtId="185" fontId="21" fillId="7" borderId="0" xfId="21" applyFont="true" applyBorder="false" applyAlignment="true" applyProtection="true">
      <alignment horizontal="center" vertical="bottom" textRotation="0" wrapText="false" indent="0" shrinkToFit="false"/>
      <protection locked="true" hidden="false"/>
    </xf>
    <xf numFmtId="185" fontId="5" fillId="0" borderId="0" xfId="0" applyFont="true" applyBorder="false" applyAlignment="true" applyProtection="true">
      <alignment horizontal="general" vertical="bottom" textRotation="0" wrapText="false" indent="0" shrinkToFit="false"/>
      <protection locked="true" hidden="false"/>
    </xf>
    <xf numFmtId="185" fontId="0" fillId="5" borderId="0" xfId="21" applyFont="true" applyBorder="false" applyAlignment="true" applyProtection="true">
      <alignment horizontal="center" vertical="center" textRotation="0" wrapText="false" indent="0" shrinkToFit="false"/>
      <protection locked="true" hidden="false"/>
    </xf>
    <xf numFmtId="185" fontId="9" fillId="5" borderId="0" xfId="21" applyFont="true" applyBorder="false" applyAlignment="true" applyProtection="true">
      <alignment horizontal="center" vertical="bottom" textRotation="0" wrapText="false" indent="0" shrinkToFit="false"/>
      <protection locked="true" hidden="false"/>
    </xf>
    <xf numFmtId="186" fontId="21" fillId="5" borderId="0" xfId="21" applyFont="true" applyBorder="false" applyAlignment="true" applyProtection="true">
      <alignment horizontal="center" vertical="bottom" textRotation="0" wrapText="false" indent="0" shrinkToFit="false"/>
      <protection locked="true" hidden="false"/>
    </xf>
    <xf numFmtId="164" fontId="55" fillId="5" borderId="0" xfId="21" applyFont="true" applyBorder="false" applyAlignment="true" applyProtection="true">
      <alignment horizontal="general" vertical="bottom" textRotation="0" wrapText="false" indent="0" shrinkToFit="false"/>
      <protection locked="true" hidden="false"/>
    </xf>
    <xf numFmtId="185" fontId="0" fillId="5" borderId="39" xfId="21" applyFont="true" applyBorder="true" applyAlignment="true" applyProtection="true">
      <alignment horizontal="general" vertical="bottom" textRotation="0" wrapText="false" indent="0" shrinkToFit="false"/>
      <protection locked="true" hidden="false"/>
    </xf>
    <xf numFmtId="185" fontId="8" fillId="5" borderId="39" xfId="21" applyFont="true" applyBorder="true" applyAlignment="true" applyProtection="true">
      <alignment horizontal="center" vertical="bottom" textRotation="0" wrapText="false" indent="0" shrinkToFit="false"/>
      <protection locked="true" hidden="false"/>
    </xf>
    <xf numFmtId="171" fontId="8" fillId="5" borderId="0" xfId="21" applyFont="true" applyBorder="false" applyAlignment="true" applyProtection="true">
      <alignment horizontal="center" vertical="bottom" textRotation="0" wrapText="false" indent="0" shrinkToFit="false"/>
      <protection locked="true" hidden="false"/>
    </xf>
    <xf numFmtId="185" fontId="0" fillId="5" borderId="0" xfId="21" applyFont="true" applyBorder="false" applyAlignment="true" applyProtection="true">
      <alignment horizontal="general" vertical="bottom" textRotation="0" wrapText="false" indent="0" shrinkToFit="false"/>
      <protection locked="true" hidden="false"/>
    </xf>
    <xf numFmtId="185" fontId="0" fillId="5" borderId="0" xfId="21" applyFont="true" applyBorder="false" applyAlignment="true" applyProtection="true">
      <alignment horizontal="center" vertical="bottom" textRotation="0" wrapText="false" indent="0" shrinkToFit="false"/>
      <protection locked="true" hidden="false"/>
    </xf>
    <xf numFmtId="185" fontId="44" fillId="3" borderId="0" xfId="21" applyFont="true" applyBorder="false" applyAlignment="true" applyProtection="true">
      <alignment horizontal="center" vertical="bottom" textRotation="0" wrapText="false" indent="0" shrinkToFit="false"/>
      <protection locked="true" hidden="false"/>
    </xf>
    <xf numFmtId="177" fontId="0" fillId="5" borderId="0" xfId="21" applyFont="true" applyBorder="false" applyAlignment="true" applyProtection="true">
      <alignment horizontal="center" vertical="bottom" textRotation="0" wrapText="false" indent="0" shrinkToFit="false"/>
      <protection locked="true" hidden="false"/>
    </xf>
    <xf numFmtId="185" fontId="8" fillId="5" borderId="24" xfId="21" applyFont="true" applyBorder="true" applyAlignment="true" applyProtection="true">
      <alignment horizontal="general" vertical="bottom" textRotation="0" wrapText="false" indent="0" shrinkToFit="false"/>
      <protection locked="true" hidden="false"/>
    </xf>
    <xf numFmtId="185" fontId="8" fillId="5" borderId="24" xfId="21" applyFont="true" applyBorder="true" applyAlignment="true" applyProtection="true">
      <alignment horizontal="center" vertical="bottom" textRotation="0" wrapText="false" indent="0" shrinkToFit="false"/>
      <protection locked="true" hidden="false"/>
    </xf>
    <xf numFmtId="185" fontId="8" fillId="3" borderId="24" xfId="21" applyFont="true" applyBorder="true" applyAlignment="true" applyProtection="true">
      <alignment horizontal="center" vertical="bottom" textRotation="0" wrapText="false" indent="0" shrinkToFit="false"/>
      <protection locked="true" hidden="false"/>
    </xf>
    <xf numFmtId="177" fontId="8" fillId="5" borderId="0" xfId="21" applyFont="true" applyBorder="false" applyAlignment="true" applyProtection="true">
      <alignment horizontal="center" vertical="bottom" textRotation="0" wrapText="false" indent="0" shrinkToFit="false"/>
      <protection locked="true" hidden="false"/>
    </xf>
    <xf numFmtId="164" fontId="56" fillId="5" borderId="0" xfId="21" applyFont="true" applyBorder="false" applyAlignment="true" applyProtection="true">
      <alignment horizontal="general" vertical="bottom" textRotation="0" wrapText="false" indent="0" shrinkToFit="false"/>
      <protection locked="true" hidden="false"/>
    </xf>
    <xf numFmtId="185" fontId="0" fillId="5" borderId="0" xfId="21" applyFont="true" applyBorder="false" applyAlignment="true" applyProtection="true">
      <alignment horizontal="general" vertical="top" textRotation="0" wrapText="true" indent="0" shrinkToFit="false"/>
      <protection locked="true" hidden="false"/>
    </xf>
    <xf numFmtId="185" fontId="9" fillId="3" borderId="0" xfId="21" applyFont="true" applyBorder="false" applyAlignment="true" applyProtection="true">
      <alignment horizontal="center" vertical="bottom" textRotation="0" wrapText="false" indent="0" shrinkToFit="false"/>
      <protection locked="true" hidden="false"/>
    </xf>
    <xf numFmtId="177" fontId="29" fillId="5" borderId="0" xfId="21" applyFont="true" applyBorder="false" applyAlignment="true" applyProtection="true">
      <alignment horizontal="left" vertical="bottom" textRotation="0" wrapText="false" indent="0" shrinkToFit="false"/>
      <protection locked="true" hidden="false"/>
    </xf>
    <xf numFmtId="185" fontId="0" fillId="3" borderId="0" xfId="21" applyFont="true" applyBorder="false" applyAlignment="true" applyProtection="true">
      <alignment horizontal="center" vertical="bottom" textRotation="0" wrapText="false" indent="0" shrinkToFit="false"/>
      <protection locked="true" hidden="false"/>
    </xf>
    <xf numFmtId="185" fontId="0" fillId="5" borderId="24" xfId="21" applyFont="true" applyBorder="true" applyAlignment="true" applyProtection="true">
      <alignment horizontal="general" vertical="bottom" textRotation="0" wrapText="false" indent="0" shrinkToFit="false"/>
      <protection locked="true" hidden="false"/>
    </xf>
    <xf numFmtId="185" fontId="0" fillId="5" borderId="24" xfId="21" applyFont="true" applyBorder="true" applyAlignment="true" applyProtection="true">
      <alignment horizontal="center" vertical="bottom" textRotation="0" wrapText="false" indent="0" shrinkToFit="false"/>
      <protection locked="true" hidden="false"/>
    </xf>
    <xf numFmtId="185" fontId="0" fillId="3" borderId="24" xfId="21" applyFont="true" applyBorder="true" applyAlignment="true" applyProtection="true">
      <alignment horizontal="center" vertical="bottom" textRotation="0" wrapText="false" indent="0" shrinkToFit="false"/>
      <protection locked="true" hidden="false"/>
    </xf>
    <xf numFmtId="185" fontId="8" fillId="5" borderId="0" xfId="21" applyFont="true" applyBorder="false" applyAlignment="true" applyProtection="true">
      <alignment horizontal="general" vertical="bottom" textRotation="0" wrapText="false" indent="0" shrinkToFit="false"/>
      <protection locked="true" hidden="false"/>
    </xf>
    <xf numFmtId="185" fontId="8" fillId="18" borderId="0" xfId="21" applyFont="true" applyBorder="false" applyAlignment="true" applyProtection="true">
      <alignment horizontal="general" vertical="bottom" textRotation="0" wrapText="false" indent="0" shrinkToFit="false"/>
      <protection locked="true" hidden="false"/>
    </xf>
    <xf numFmtId="185" fontId="29" fillId="5" borderId="0" xfId="21" applyFont="true" applyBorder="false" applyAlignment="true" applyProtection="true">
      <alignment horizontal="center" vertical="bottom" textRotation="0" wrapText="false" indent="0" shrinkToFit="false"/>
      <protection locked="true" hidden="false"/>
    </xf>
    <xf numFmtId="177" fontId="29" fillId="5" borderId="0" xfId="21" applyFont="true" applyBorder="false" applyAlignment="true" applyProtection="true">
      <alignment horizontal="center" vertical="bottom" textRotation="0" wrapText="false" indent="0" shrinkToFit="false"/>
      <protection locked="true" hidden="false"/>
    </xf>
    <xf numFmtId="177" fontId="57" fillId="5" borderId="0" xfId="21" applyFont="true" applyBorder="false" applyAlignment="true" applyProtection="true">
      <alignment horizontal="left" vertical="bottom" textRotation="0" wrapText="false" indent="0" shrinkToFit="false"/>
      <protection locked="true" hidden="false"/>
    </xf>
    <xf numFmtId="185" fontId="0" fillId="5" borderId="0" xfId="19" applyFont="true" applyBorder="false" applyAlignment="true" applyProtection="true">
      <alignment horizontal="center" vertical="bottom" textRotation="0" wrapText="false" indent="0" shrinkToFit="false"/>
      <protection locked="true" hidden="false"/>
    </xf>
    <xf numFmtId="185" fontId="0" fillId="5" borderId="0" xfId="15" applyFont="true" applyBorder="false" applyAlignment="true" applyProtection="true">
      <alignment horizontal="general" vertical="center" textRotation="0" wrapText="false" indent="0" shrinkToFit="false"/>
      <protection locked="true" hidden="false"/>
    </xf>
    <xf numFmtId="185" fontId="0" fillId="3" borderId="0" xfId="15" applyFont="true" applyBorder="false" applyAlignment="true" applyProtection="true">
      <alignment horizontal="general" vertical="center" textRotation="0" wrapText="false" indent="0" shrinkToFit="false"/>
      <protection locked="true" hidden="false"/>
    </xf>
    <xf numFmtId="185" fontId="37" fillId="5" borderId="0" xfId="21" applyFont="true" applyBorder="false" applyAlignment="true" applyProtection="true">
      <alignment horizontal="left" vertical="bottom" textRotation="0" wrapText="false" indent="0" shrinkToFit="false"/>
      <protection locked="true" hidden="false"/>
    </xf>
    <xf numFmtId="185" fontId="37" fillId="5" borderId="0" xfId="21" applyFont="true" applyBorder="false" applyAlignment="true" applyProtection="true">
      <alignment horizontal="right" vertical="bottom" textRotation="0" wrapText="false" indent="0" shrinkToFit="false"/>
      <protection locked="true" hidden="false"/>
    </xf>
    <xf numFmtId="185" fontId="37" fillId="3" borderId="0" xfId="15" applyFont="true" applyBorder="false" applyAlignment="true" applyProtection="true">
      <alignment horizontal="right" vertical="bottom" textRotation="0" wrapText="false" indent="0" shrinkToFit="false"/>
      <protection locked="true" hidden="false"/>
    </xf>
    <xf numFmtId="185" fontId="0" fillId="3" borderId="0" xfId="21" applyFont="true" applyBorder="false" applyAlignment="true" applyProtection="true">
      <alignment horizontal="general" vertical="bottom" textRotation="0" wrapText="false" indent="0" shrinkToFit="false"/>
      <protection locked="true" hidden="false"/>
    </xf>
    <xf numFmtId="185" fontId="37" fillId="5" borderId="0" xfId="21" applyFont="true" applyBorder="false" applyAlignment="true" applyProtection="true">
      <alignment horizontal="general" vertical="bottom" textRotation="0" wrapText="false" indent="0" shrinkToFit="false"/>
      <protection locked="true" hidden="false"/>
    </xf>
    <xf numFmtId="185" fontId="37" fillId="5" borderId="0" xfId="15" applyFont="true" applyBorder="false" applyAlignment="true" applyProtection="true">
      <alignment horizontal="general" vertical="center" textRotation="0" wrapText="false" indent="0" shrinkToFit="false"/>
      <protection locked="true" hidden="false"/>
    </xf>
    <xf numFmtId="185" fontId="37" fillId="3" borderId="0" xfId="15" applyFont="true" applyBorder="false" applyAlignment="true" applyProtection="true">
      <alignment horizontal="general" vertical="center" textRotation="0" wrapText="false" indent="0" shrinkToFit="false"/>
      <protection locked="true" hidden="false"/>
    </xf>
    <xf numFmtId="187" fontId="8" fillId="5" borderId="0" xfId="21" applyFont="true" applyBorder="false" applyAlignment="true" applyProtection="true">
      <alignment horizontal="center" vertical="bottom" textRotation="0" wrapText="false" indent="0" shrinkToFit="false"/>
      <protection locked="true" hidden="false"/>
    </xf>
    <xf numFmtId="185" fontId="0" fillId="5" borderId="0" xfId="21" applyFont="true" applyBorder="false" applyAlignment="true" applyProtection="true">
      <alignment horizontal="right" vertical="bottom" textRotation="0" wrapText="false" indent="0" shrinkToFit="false"/>
      <protection locked="true" hidden="false"/>
    </xf>
    <xf numFmtId="185" fontId="0" fillId="3" borderId="0" xfId="21" applyFont="true" applyBorder="false" applyAlignment="true" applyProtection="true">
      <alignment horizontal="right" vertical="bottom" textRotation="0" wrapText="false" indent="0" shrinkToFit="false"/>
      <protection locked="true" hidden="false"/>
    </xf>
    <xf numFmtId="185" fontId="0" fillId="5" borderId="24" xfId="21" applyFont="true" applyBorder="true" applyAlignment="true" applyProtection="true">
      <alignment horizontal="right" vertical="bottom" textRotation="0" wrapText="false" indent="0" shrinkToFit="false"/>
      <protection locked="true" hidden="false"/>
    </xf>
    <xf numFmtId="166" fontId="0" fillId="5" borderId="0" xfId="22" applyFont="true" applyBorder="false" applyAlignment="true" applyProtection="true">
      <alignment horizontal="center" vertical="bottom" textRotation="0" wrapText="false" indent="0" shrinkToFit="false"/>
      <protection locked="true" hidden="false"/>
    </xf>
    <xf numFmtId="185" fontId="20" fillId="7" borderId="0" xfId="21" applyFont="true" applyBorder="false" applyAlignment="true" applyProtection="true">
      <alignment horizontal="general" vertical="center" textRotation="0" wrapText="false" indent="0" shrinkToFit="false"/>
      <protection locked="true" hidden="false"/>
    </xf>
    <xf numFmtId="185" fontId="8" fillId="13" borderId="0" xfId="21" applyFont="true" applyBorder="false" applyAlignment="true" applyProtection="true">
      <alignment horizontal="general" vertical="center" textRotation="0" wrapText="false" indent="0" shrinkToFit="false"/>
      <protection locked="true" hidden="false"/>
    </xf>
    <xf numFmtId="185" fontId="0" fillId="13" borderId="0" xfId="21" applyFont="true" applyBorder="false" applyAlignment="true" applyProtection="true">
      <alignment horizontal="center" vertical="bottom" textRotation="0" wrapText="false" indent="0" shrinkToFit="false"/>
      <protection locked="true" hidden="false"/>
    </xf>
    <xf numFmtId="185" fontId="20" fillId="5" borderId="0" xfId="21" applyFont="true" applyBorder="false" applyAlignment="true" applyProtection="true">
      <alignment horizontal="general" vertical="center" textRotation="0" wrapText="false" indent="0" shrinkToFit="false"/>
      <protection locked="true" hidden="false"/>
    </xf>
    <xf numFmtId="177" fontId="21" fillId="5" borderId="0" xfId="21" applyFont="true" applyBorder="false" applyAlignment="true" applyProtection="true">
      <alignment horizontal="center" vertical="bottom" textRotation="0" wrapText="false" indent="0" shrinkToFit="false"/>
      <protection locked="true" hidden="false"/>
    </xf>
    <xf numFmtId="185" fontId="20" fillId="14" borderId="43" xfId="21" applyFont="true" applyBorder="true" applyAlignment="true" applyProtection="true">
      <alignment horizontal="general" vertical="bottom" textRotation="0" wrapText="false" indent="0" shrinkToFit="false"/>
      <protection locked="true" hidden="false"/>
    </xf>
    <xf numFmtId="185" fontId="8" fillId="14" borderId="44" xfId="21" applyFont="true" applyBorder="true" applyAlignment="true" applyProtection="true">
      <alignment horizontal="center" vertical="bottom" textRotation="0" wrapText="false" indent="0" shrinkToFit="false"/>
      <protection locked="true" hidden="false"/>
    </xf>
    <xf numFmtId="185" fontId="8" fillId="14" borderId="45" xfId="21" applyFont="true" applyBorder="true" applyAlignment="true" applyProtection="true">
      <alignment horizontal="center" vertical="bottom" textRotation="0" wrapText="false" indent="0" shrinkToFit="false"/>
      <protection locked="true" hidden="false"/>
    </xf>
    <xf numFmtId="177" fontId="0" fillId="0" borderId="0" xfId="21" applyFont="true" applyBorder="false" applyAlignment="true" applyProtection="true">
      <alignment horizontal="center" vertical="bottom" textRotation="0" wrapText="false" indent="0" shrinkToFit="false"/>
      <protection locked="true" hidden="false"/>
    </xf>
    <xf numFmtId="164" fontId="53" fillId="0" borderId="0" xfId="21" applyFont="true" applyBorder="false" applyAlignment="true" applyProtection="true">
      <alignment horizontal="general" vertical="bottom" textRotation="0" wrapText="false" indent="0" shrinkToFit="false"/>
      <protection locked="true" hidden="false"/>
    </xf>
    <xf numFmtId="185" fontId="8" fillId="13" borderId="6" xfId="21" applyFont="true" applyBorder="true" applyAlignment="true" applyProtection="true">
      <alignment horizontal="general" vertical="bottom" textRotation="0" wrapText="false" indent="0" shrinkToFit="false"/>
      <protection locked="true" hidden="false"/>
    </xf>
    <xf numFmtId="185" fontId="0" fillId="13" borderId="7" xfId="21" applyFont="true" applyBorder="true" applyAlignment="true" applyProtection="true">
      <alignment horizontal="center" vertical="bottom" textRotation="0" wrapText="false" indent="0" shrinkToFit="false"/>
      <protection locked="true" hidden="false"/>
    </xf>
    <xf numFmtId="185" fontId="0" fillId="5" borderId="6" xfId="21" applyFont="true" applyBorder="true" applyAlignment="true" applyProtection="true">
      <alignment horizontal="general" vertical="bottom" textRotation="0" wrapText="false" indent="0" shrinkToFit="false"/>
      <protection locked="true" hidden="false"/>
    </xf>
    <xf numFmtId="185" fontId="0" fillId="5" borderId="7" xfId="21" applyFont="true" applyBorder="true" applyAlignment="true" applyProtection="true">
      <alignment horizontal="center" vertical="bottom" textRotation="0" wrapText="false" indent="0" shrinkToFit="false"/>
      <protection locked="true" hidden="false"/>
    </xf>
    <xf numFmtId="164" fontId="58" fillId="5" borderId="0" xfId="21" applyFont="true" applyBorder="false" applyAlignment="true" applyProtection="true">
      <alignment horizontal="general" vertical="bottom" textRotation="0" wrapText="false" indent="0" shrinkToFit="false"/>
      <protection locked="true" hidden="false"/>
    </xf>
    <xf numFmtId="185" fontId="5" fillId="13" borderId="0" xfId="0" applyFont="true" applyBorder="false" applyAlignment="true" applyProtection="true">
      <alignment horizontal="general" vertical="bottom" textRotation="0" wrapText="false" indent="0" shrinkToFit="false"/>
      <protection locked="true" hidden="false"/>
    </xf>
    <xf numFmtId="185" fontId="5" fillId="13" borderId="7" xfId="0" applyFont="true" applyBorder="true" applyAlignment="true" applyProtection="true">
      <alignment horizontal="general" vertical="bottom" textRotation="0" wrapText="false" indent="0" shrinkToFit="false"/>
      <protection locked="true" hidden="false"/>
    </xf>
    <xf numFmtId="185" fontId="0" fillId="5" borderId="8" xfId="21" applyFont="true" applyBorder="true" applyAlignment="true" applyProtection="true">
      <alignment horizontal="general" vertical="top" textRotation="0" wrapText="true" indent="0" shrinkToFit="false"/>
      <protection locked="true" hidden="false"/>
    </xf>
    <xf numFmtId="185" fontId="0" fillId="5" borderId="39" xfId="21" applyFont="true" applyBorder="true" applyAlignment="true" applyProtection="true">
      <alignment horizontal="center" vertical="bottom" textRotation="0" wrapText="false" indent="0" shrinkToFit="false"/>
      <protection locked="true" hidden="false"/>
    </xf>
    <xf numFmtId="185" fontId="0" fillId="5" borderId="9" xfId="21" applyFont="true" applyBorder="true" applyAlignment="true" applyProtection="true">
      <alignment horizontal="center" vertical="bottom" textRotation="0" wrapText="false" indent="0" shrinkToFit="false"/>
      <protection locked="true" hidden="false"/>
    </xf>
    <xf numFmtId="185" fontId="12" fillId="8" borderId="2" xfId="0" applyFont="true" applyBorder="true" applyAlignment="true" applyProtection="true">
      <alignment horizontal="general" vertical="bottom" textRotation="0" wrapText="false" indent="0" shrinkToFit="false"/>
      <protection locked="true" hidden="false"/>
    </xf>
    <xf numFmtId="185" fontId="0" fillId="8" borderId="10" xfId="21" applyFont="true" applyBorder="true" applyAlignment="true" applyProtection="true">
      <alignment horizontal="center" vertical="bottom" textRotation="0" wrapText="false" indent="0" shrinkToFit="false"/>
      <protection locked="true" hidden="false"/>
    </xf>
    <xf numFmtId="185" fontId="0" fillId="8" borderId="3" xfId="21" applyFont="true" applyBorder="true" applyAlignment="true" applyProtection="true">
      <alignment horizontal="center" vertical="bottom" textRotation="0" wrapText="false" indent="0" shrinkToFit="false"/>
      <protection locked="true" hidden="false"/>
    </xf>
    <xf numFmtId="186" fontId="57" fillId="5" borderId="0" xfId="21" applyFont="true" applyBorder="false" applyAlignment="true" applyProtection="true">
      <alignment horizontal="left" vertical="bottom" textRotation="0" wrapText="false" indent="0" shrinkToFit="false"/>
      <protection locked="true" hidden="false"/>
    </xf>
    <xf numFmtId="185" fontId="12" fillId="5" borderId="6" xfId="0" applyFont="true" applyBorder="true" applyAlignment="true" applyProtection="true">
      <alignment horizontal="general" vertical="bottom" textRotation="0" wrapText="false" indent="0" shrinkToFit="false"/>
      <protection locked="true" hidden="false"/>
    </xf>
    <xf numFmtId="185" fontId="12" fillId="8" borderId="59" xfId="0" applyFont="true" applyBorder="true" applyAlignment="true" applyProtection="true">
      <alignment horizontal="general" vertical="bottom" textRotation="0" wrapText="false" indent="0" shrinkToFit="false"/>
      <protection locked="true" hidden="false"/>
    </xf>
    <xf numFmtId="185" fontId="0" fillId="8" borderId="21" xfId="21" applyFont="true" applyBorder="true" applyAlignment="true" applyProtection="true">
      <alignment horizontal="center" vertical="bottom" textRotation="0" wrapText="false" indent="0" shrinkToFit="false"/>
      <protection locked="true" hidden="false"/>
    </xf>
    <xf numFmtId="185" fontId="0" fillId="8" borderId="60" xfId="21" applyFont="true" applyBorder="true" applyAlignment="true" applyProtection="true">
      <alignment horizontal="center" vertical="bottom" textRotation="0" wrapText="false" indent="0" shrinkToFit="false"/>
      <protection locked="true" hidden="false"/>
    </xf>
    <xf numFmtId="185" fontId="37" fillId="0" borderId="6" xfId="0" applyFont="true" applyBorder="true" applyAlignment="true" applyProtection="true">
      <alignment horizontal="general" vertical="bottom" textRotation="0" wrapText="false" indent="0" shrinkToFit="false"/>
      <protection locked="true" hidden="false"/>
    </xf>
    <xf numFmtId="185" fontId="5" fillId="0" borderId="39" xfId="0" applyFont="true" applyBorder="true" applyAlignment="true" applyProtection="true">
      <alignment horizontal="general" vertical="bottom" textRotation="0" wrapText="false" indent="0" shrinkToFit="false"/>
      <protection locked="true" hidden="false"/>
    </xf>
    <xf numFmtId="185" fontId="5" fillId="0" borderId="9" xfId="0" applyFont="true" applyBorder="true" applyAlignment="true" applyProtection="true">
      <alignment horizontal="general" vertical="bottom" textRotation="0" wrapText="false" indent="0" shrinkToFit="false"/>
      <protection locked="true" hidden="false"/>
    </xf>
    <xf numFmtId="185" fontId="47" fillId="5" borderId="2" xfId="21" applyFont="true" applyBorder="true" applyAlignment="true" applyProtection="true">
      <alignment horizontal="left" vertical="bottom" textRotation="0" wrapText="false" indent="0" shrinkToFit="false"/>
      <protection locked="true" hidden="false"/>
    </xf>
    <xf numFmtId="185" fontId="37" fillId="3" borderId="3" xfId="21" applyFont="true" applyBorder="true" applyAlignment="true" applyProtection="true">
      <alignment horizontal="center" vertical="bottom" textRotation="0" wrapText="false" indent="0" shrinkToFit="false"/>
      <protection locked="true" hidden="false"/>
    </xf>
    <xf numFmtId="185" fontId="47" fillId="5" borderId="6" xfId="21" applyFont="true" applyBorder="true" applyAlignment="true" applyProtection="true">
      <alignment horizontal="left" vertical="bottom" textRotation="0" wrapText="false" indent="0" shrinkToFit="false"/>
      <protection locked="true" hidden="false"/>
    </xf>
    <xf numFmtId="185" fontId="37" fillId="0" borderId="7" xfId="21" applyFont="true" applyBorder="true" applyAlignment="true" applyProtection="true">
      <alignment horizontal="center" vertical="bottom" textRotation="0" wrapText="false" indent="0" shrinkToFit="false"/>
      <protection locked="true" hidden="false"/>
    </xf>
    <xf numFmtId="185" fontId="40" fillId="5" borderId="8" xfId="21" applyFont="true" applyBorder="true" applyAlignment="true" applyProtection="true">
      <alignment horizontal="left" vertical="bottom" textRotation="0" wrapText="false" indent="0" shrinkToFit="false"/>
      <protection locked="true" hidden="false"/>
    </xf>
    <xf numFmtId="185" fontId="38" fillId="0" borderId="9" xfId="21" applyFont="true" applyBorder="true" applyAlignment="true" applyProtection="true">
      <alignment horizontal="center" vertical="bottom" textRotation="0" wrapText="false" indent="0" shrinkToFit="false"/>
      <protection locked="true" hidden="false"/>
    </xf>
    <xf numFmtId="185" fontId="37" fillId="0" borderId="0" xfId="0" applyFont="true" applyBorder="false" applyAlignment="true" applyProtection="true">
      <alignment horizontal="general" vertical="bottom" textRotation="0" wrapText="false" indent="0" shrinkToFit="false"/>
      <protection locked="true" hidden="false"/>
    </xf>
    <xf numFmtId="164" fontId="53" fillId="5" borderId="0" xfId="21" applyFont="true" applyBorder="false" applyAlignment="true" applyProtection="true">
      <alignment horizontal="left" vertical="bottom" textRotation="0" wrapText="false" indent="2" shrinkToFit="false"/>
      <protection locked="true" hidden="false"/>
    </xf>
    <xf numFmtId="164" fontId="54" fillId="7" borderId="0" xfId="21" applyFont="true" applyBorder="false" applyAlignment="true" applyProtection="true">
      <alignment horizontal="left" vertical="center" textRotation="0" wrapText="false" indent="2" shrinkToFit="false"/>
      <protection locked="true" hidden="false"/>
    </xf>
    <xf numFmtId="164" fontId="20" fillId="7" borderId="0" xfId="21" applyFont="true" applyBorder="false" applyAlignment="true" applyProtection="true">
      <alignment horizontal="general" vertical="center" textRotation="0" wrapText="false" indent="0" shrinkToFit="false"/>
      <protection locked="true" hidden="false"/>
    </xf>
    <xf numFmtId="186" fontId="0" fillId="7" borderId="0" xfId="21" applyFont="true" applyBorder="false" applyAlignment="true" applyProtection="true">
      <alignment horizontal="center" vertical="bottom" textRotation="0" wrapText="false" indent="0" shrinkToFit="false"/>
      <protection locked="true" hidden="false"/>
    </xf>
    <xf numFmtId="164" fontId="20" fillId="5" borderId="0" xfId="21" applyFont="true" applyBorder="false" applyAlignment="true" applyProtection="true">
      <alignment horizontal="left" vertical="center" textRotation="0" wrapText="false" indent="2" shrinkToFit="false"/>
      <protection locked="true" hidden="false"/>
    </xf>
    <xf numFmtId="164" fontId="20" fillId="5" borderId="0" xfId="21"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2" shrinkToFit="false"/>
      <protection locked="true" hidden="false"/>
    </xf>
    <xf numFmtId="188" fontId="5" fillId="0" borderId="0" xfId="0" applyFont="true" applyBorder="false" applyAlignment="true" applyProtection="true">
      <alignment horizontal="general" vertical="bottom" textRotation="0" wrapText="false" indent="0" shrinkToFit="false"/>
      <protection locked="true" hidden="false"/>
    </xf>
    <xf numFmtId="188" fontId="0" fillId="5" borderId="0" xfId="21" applyFont="true" applyBorder="false" applyAlignment="true" applyProtection="true">
      <alignment horizontal="center" vertical="bottom" textRotation="0" wrapText="false" indent="0" shrinkToFit="false"/>
      <protection locked="true" hidden="false"/>
    </xf>
    <xf numFmtId="164" fontId="5" fillId="0" borderId="2" xfId="0" applyFont="true" applyBorder="true" applyAlignment="true" applyProtection="true">
      <alignment horizontal="left" vertical="bottom" textRotation="0" wrapText="false" indent="2" shrinkToFit="false"/>
      <protection locked="true" hidden="false"/>
    </xf>
    <xf numFmtId="171" fontId="8" fillId="5" borderId="61" xfId="21" applyFont="true" applyBorder="true" applyAlignment="true" applyProtection="true">
      <alignment horizontal="right" vertical="bottom" textRotation="0" wrapText="false" indent="0" shrinkToFit="false"/>
      <protection locked="true" hidden="false"/>
    </xf>
    <xf numFmtId="171" fontId="8" fillId="5" borderId="62" xfId="21" applyFont="true" applyBorder="true" applyAlignment="true" applyProtection="true">
      <alignment horizontal="right" vertical="bottom" textRotation="0" wrapText="false" indent="0" shrinkToFit="false"/>
      <protection locked="true" hidden="false"/>
    </xf>
    <xf numFmtId="164" fontId="0" fillId="5" borderId="38" xfId="21" applyFont="true" applyBorder="true" applyAlignment="true" applyProtection="true">
      <alignment horizontal="left" vertical="bottom" textRotation="0" wrapText="false" indent="2" shrinkToFit="false"/>
      <protection locked="true" hidden="false"/>
    </xf>
    <xf numFmtId="177" fontId="0" fillId="5" borderId="0" xfId="21" applyFont="true" applyBorder="false" applyAlignment="true" applyProtection="true">
      <alignment horizontal="right" vertical="bottom" textRotation="0" wrapText="false" indent="0" shrinkToFit="false"/>
      <protection locked="true" hidden="false"/>
    </xf>
    <xf numFmtId="177" fontId="0" fillId="3" borderId="0" xfId="21" applyFont="true" applyBorder="false" applyAlignment="true" applyProtection="true">
      <alignment horizontal="right" vertical="bottom" textRotation="0" wrapText="false" indent="0" shrinkToFit="false"/>
      <protection locked="true" hidden="false"/>
    </xf>
    <xf numFmtId="177" fontId="0" fillId="5" borderId="7" xfId="21" applyFont="true" applyBorder="true" applyAlignment="true" applyProtection="true">
      <alignment horizontal="right" vertical="bottom" textRotation="0" wrapText="false" indent="0" shrinkToFit="false"/>
      <protection locked="true" hidden="false"/>
    </xf>
    <xf numFmtId="164" fontId="0" fillId="5" borderId="6" xfId="21" applyFont="true" applyBorder="true" applyAlignment="true" applyProtection="true">
      <alignment horizontal="left" vertical="bottom" textRotation="0" wrapText="false" indent="2" shrinkToFit="false"/>
      <protection locked="true" hidden="false"/>
    </xf>
    <xf numFmtId="164" fontId="5" fillId="0" borderId="6" xfId="0" applyFont="true" applyBorder="true" applyAlignment="true" applyProtection="true">
      <alignment horizontal="left" vertical="bottom" textRotation="0" wrapText="false" indent="2" shrinkToFit="false"/>
      <protection locked="true" hidden="false"/>
    </xf>
    <xf numFmtId="177" fontId="22" fillId="5" borderId="7" xfId="21" applyFont="true" applyBorder="true" applyAlignment="true" applyProtection="true">
      <alignment horizontal="right" vertical="bottom" textRotation="0" wrapText="false" indent="0" shrinkToFit="false"/>
      <protection locked="true" hidden="false"/>
    </xf>
    <xf numFmtId="164" fontId="8" fillId="5" borderId="42" xfId="21" applyFont="true" applyBorder="true" applyAlignment="true" applyProtection="true">
      <alignment horizontal="left" vertical="bottom" textRotation="0" wrapText="false" indent="2" shrinkToFit="false"/>
      <protection locked="true" hidden="false"/>
    </xf>
    <xf numFmtId="177" fontId="8" fillId="5" borderId="40" xfId="21" applyFont="true" applyBorder="true" applyAlignment="true" applyProtection="true">
      <alignment horizontal="right" vertical="bottom" textRotation="0" wrapText="false" indent="0" shrinkToFit="false"/>
      <protection locked="true" hidden="false"/>
    </xf>
    <xf numFmtId="177" fontId="46" fillId="5" borderId="41" xfId="21" applyFont="true" applyBorder="true" applyAlignment="true" applyProtection="true">
      <alignment horizontal="right" vertical="bottom" textRotation="0" wrapText="false" indent="0" shrinkToFit="false"/>
      <protection locked="true" hidden="false"/>
    </xf>
    <xf numFmtId="177" fontId="8" fillId="5" borderId="0" xfId="21" applyFont="true" applyBorder="false" applyAlignment="true" applyProtection="true">
      <alignment horizontal="general" vertical="bottom" textRotation="0" wrapText="false" indent="0" shrinkToFit="false"/>
      <protection locked="true" hidden="false"/>
    </xf>
    <xf numFmtId="186" fontId="8" fillId="5" borderId="0" xfId="21" applyFont="true" applyBorder="false" applyAlignment="true" applyProtection="true">
      <alignment horizontal="general" vertical="bottom" textRotation="0" wrapText="false" indent="0" shrinkToFit="false"/>
      <protection locked="true" hidden="false"/>
    </xf>
    <xf numFmtId="189" fontId="0" fillId="5" borderId="0" xfId="21" applyFont="true" applyBorder="false" applyAlignment="true" applyProtection="true">
      <alignment horizontal="center" vertical="bottom" textRotation="0" wrapText="false" indent="0" shrinkToFit="false"/>
      <protection locked="true" hidden="false"/>
    </xf>
    <xf numFmtId="189" fontId="44" fillId="5" borderId="0" xfId="21" applyFont="true" applyBorder="false" applyAlignment="true" applyProtection="true">
      <alignment horizontal="center" vertical="bottom" textRotation="0" wrapText="false" indent="0" shrinkToFit="false"/>
      <protection locked="true" hidden="false"/>
    </xf>
    <xf numFmtId="165" fontId="0" fillId="5" borderId="0" xfId="15" applyFont="true" applyBorder="false" applyAlignment="true" applyProtection="true">
      <alignment horizontal="general" vertical="bottom" textRotation="0" wrapText="false" indent="0" shrinkToFit="false"/>
      <protection locked="true" hidden="false"/>
    </xf>
    <xf numFmtId="186" fontId="0" fillId="5" borderId="0" xfId="21" applyFont="true" applyBorder="false" applyAlignment="true" applyProtection="true">
      <alignment horizontal="general" vertical="bottom" textRotation="0" wrapText="false" indent="0" shrinkToFit="false"/>
      <protection locked="true" hidden="false"/>
    </xf>
    <xf numFmtId="164" fontId="37" fillId="5" borderId="0" xfId="21" applyFont="true" applyBorder="false" applyAlignment="true" applyProtection="true">
      <alignment horizontal="left" vertical="bottom" textRotation="0" wrapText="false" indent="2" shrinkToFit="false"/>
      <protection locked="true" hidden="false"/>
    </xf>
    <xf numFmtId="170" fontId="46" fillId="3" borderId="0" xfId="20" applyFont="true" applyBorder="false" applyAlignment="true" applyProtection="true">
      <alignment horizontal="center" vertical="center" textRotation="0" wrapText="false" indent="0" shrinkToFit="false"/>
      <protection locked="true" hidden="false"/>
    </xf>
    <xf numFmtId="164" fontId="47" fillId="5" borderId="0" xfId="21" applyFont="true" applyBorder="false" applyAlignment="true" applyProtection="true">
      <alignment horizontal="general" vertical="bottom" textRotation="0" wrapText="true" indent="0" shrinkToFit="false"/>
      <protection locked="true" hidden="false"/>
    </xf>
    <xf numFmtId="164" fontId="46" fillId="5" borderId="40" xfId="21" applyFont="true" applyBorder="true" applyAlignment="true" applyProtection="true">
      <alignment horizontal="left" vertical="bottom" textRotation="0" wrapText="false" indent="2" shrinkToFit="false"/>
      <protection locked="true" hidden="false"/>
    </xf>
    <xf numFmtId="177" fontId="46" fillId="5" borderId="40" xfId="21" applyFont="true" applyBorder="true" applyAlignment="true" applyProtection="true">
      <alignment horizontal="center" vertical="bottom" textRotation="0" wrapText="false" indent="0" shrinkToFit="false"/>
      <protection locked="true" hidden="false"/>
    </xf>
    <xf numFmtId="177" fontId="46" fillId="3" borderId="40" xfId="21" applyFont="true" applyBorder="true" applyAlignment="true" applyProtection="true">
      <alignment horizontal="center" vertical="bottom" textRotation="0" wrapText="false" indent="0" shrinkToFit="false"/>
      <protection locked="true" hidden="false"/>
    </xf>
    <xf numFmtId="173" fontId="46" fillId="3" borderId="40" xfId="21" applyFont="true" applyBorder="true" applyAlignment="true" applyProtection="true">
      <alignment horizontal="center" vertical="bottom" textRotation="0" wrapText="false" indent="0" shrinkToFit="false"/>
      <protection locked="true" hidden="false"/>
    </xf>
    <xf numFmtId="177" fontId="0" fillId="5" borderId="0" xfId="21" applyFont="true" applyBorder="false" applyAlignment="true" applyProtection="true">
      <alignment horizontal="general" vertical="bottom" textRotation="0" wrapText="false" indent="0" shrinkToFit="false"/>
      <protection locked="true" hidden="false"/>
    </xf>
    <xf numFmtId="164" fontId="8" fillId="8" borderId="30" xfId="21" applyFont="true" applyBorder="true" applyAlignment="true" applyProtection="true">
      <alignment horizontal="left" vertical="center" textRotation="0" wrapText="false" indent="2" shrinkToFit="false"/>
      <protection locked="true" hidden="false"/>
    </xf>
    <xf numFmtId="177" fontId="8" fillId="8" borderId="30" xfId="21" applyFont="true" applyBorder="true" applyAlignment="true" applyProtection="true">
      <alignment horizontal="center" vertical="center" textRotation="0" wrapText="false" indent="0" shrinkToFit="false"/>
      <protection locked="true" hidden="false"/>
    </xf>
    <xf numFmtId="177" fontId="47" fillId="5" borderId="0" xfId="21" applyFont="true" applyBorder="false" applyAlignment="true" applyProtection="true">
      <alignment horizontal="left" vertical="center" textRotation="0" wrapText="false" indent="0" shrinkToFit="false"/>
      <protection locked="true" hidden="false"/>
    </xf>
    <xf numFmtId="177" fontId="0" fillId="5" borderId="0" xfId="21" applyFont="true" applyBorder="false" applyAlignment="true" applyProtection="true">
      <alignment horizontal="center" vertical="center" textRotation="0" wrapText="false" indent="0" shrinkToFit="false"/>
      <protection locked="true" hidden="false"/>
    </xf>
    <xf numFmtId="177" fontId="37" fillId="5" borderId="0" xfId="21" applyFont="true" applyBorder="false" applyAlignment="true" applyProtection="true">
      <alignment horizontal="general" vertical="center" textRotation="0" wrapText="false" indent="0" shrinkToFit="false"/>
      <protection locked="true" hidden="false"/>
    </xf>
    <xf numFmtId="164" fontId="59" fillId="5" borderId="0" xfId="21" applyFont="true" applyBorder="false" applyAlignment="true" applyProtection="true">
      <alignment horizontal="general" vertical="center" textRotation="0" wrapText="false" indent="0" shrinkToFit="false"/>
      <protection locked="true" hidden="false"/>
    </xf>
    <xf numFmtId="177" fontId="38" fillId="5" borderId="0" xfId="21" applyFont="true" applyBorder="false" applyAlignment="true" applyProtection="true">
      <alignment horizontal="center" vertical="bottom" textRotation="0" wrapText="false" indent="0" shrinkToFit="false"/>
      <protection locked="true" hidden="false"/>
    </xf>
    <xf numFmtId="177" fontId="40" fillId="5" borderId="0" xfId="21" applyFont="true" applyBorder="false" applyAlignment="true" applyProtection="true">
      <alignment horizontal="center" vertical="bottom" textRotation="0" wrapText="false" indent="0" shrinkToFit="false"/>
      <protection locked="true" hidden="false"/>
    </xf>
    <xf numFmtId="164" fontId="0" fillId="5" borderId="0" xfId="21" applyFont="true" applyBorder="false" applyAlignment="true" applyProtection="true">
      <alignment horizontal="general" vertical="bottom" textRotation="0" wrapText="false" indent="0" shrinkToFit="false"/>
      <protection locked="true" hidden="false"/>
    </xf>
    <xf numFmtId="164" fontId="37" fillId="5" borderId="2" xfId="21" applyFont="true" applyBorder="true" applyAlignment="true" applyProtection="true">
      <alignment horizontal="left" vertical="bottom" textRotation="0" wrapText="false" indent="2" shrinkToFit="false"/>
      <protection locked="true" hidden="false"/>
    </xf>
    <xf numFmtId="177" fontId="37" fillId="5" borderId="3" xfId="21" applyFont="true" applyBorder="true" applyAlignment="true" applyProtection="true">
      <alignment horizontal="center" vertical="bottom" textRotation="0" wrapText="false" indent="0" shrinkToFit="false"/>
      <protection locked="true" hidden="false"/>
    </xf>
    <xf numFmtId="177" fontId="44" fillId="5" borderId="0" xfId="21" applyFont="true" applyBorder="false" applyAlignment="true" applyProtection="true">
      <alignment horizontal="center" vertical="bottom" textRotation="0" wrapText="false" indent="0" shrinkToFit="false"/>
      <protection locked="true" hidden="false"/>
    </xf>
    <xf numFmtId="164" fontId="37" fillId="5" borderId="6" xfId="21" applyFont="true" applyBorder="true" applyAlignment="true" applyProtection="true">
      <alignment horizontal="left" vertical="bottom" textRotation="0" wrapText="false" indent="2" shrinkToFit="false"/>
      <protection locked="true" hidden="false"/>
    </xf>
    <xf numFmtId="168" fontId="37" fillId="3" borderId="7" xfId="19" applyFont="true" applyBorder="true" applyAlignment="true" applyProtection="true">
      <alignment horizontal="center" vertical="bottom" textRotation="0" wrapText="false" indent="0" shrinkToFit="false"/>
      <protection locked="true" hidden="false"/>
    </xf>
    <xf numFmtId="168" fontId="47" fillId="5" borderId="0" xfId="19" applyFont="true" applyBorder="false" applyAlignment="true" applyProtection="true">
      <alignment horizontal="center" vertical="bottom" textRotation="0" wrapText="false" indent="0" shrinkToFit="false"/>
      <protection locked="true" hidden="false"/>
    </xf>
    <xf numFmtId="177" fontId="37" fillId="3" borderId="7" xfId="21" applyFont="true" applyBorder="true" applyAlignment="true" applyProtection="true">
      <alignment horizontal="center" vertical="bottom" textRotation="0" wrapText="false" indent="0" shrinkToFit="false"/>
      <protection locked="true" hidden="false"/>
    </xf>
    <xf numFmtId="177" fontId="47" fillId="5" borderId="0" xfId="21" applyFont="true" applyBorder="false" applyAlignment="true" applyProtection="true">
      <alignment horizontal="center" vertical="bottom" textRotation="0" wrapText="false" indent="0" shrinkToFit="false"/>
      <protection locked="true" hidden="false"/>
    </xf>
    <xf numFmtId="164" fontId="37" fillId="5" borderId="8" xfId="21" applyFont="true" applyBorder="true" applyAlignment="true" applyProtection="true">
      <alignment horizontal="left" vertical="bottom" textRotation="0" wrapText="false" indent="2" shrinkToFit="false"/>
      <protection locked="true" hidden="false"/>
    </xf>
    <xf numFmtId="177" fontId="37" fillId="3" borderId="9" xfId="21" applyFont="true" applyBorder="true" applyAlignment="true" applyProtection="true">
      <alignment horizontal="center" vertical="bottom" textRotation="0" wrapText="false" indent="0" shrinkToFit="false"/>
      <protection locked="true" hidden="false"/>
    </xf>
    <xf numFmtId="164" fontId="47" fillId="5" borderId="0" xfId="21" applyFont="true" applyBorder="false" applyAlignment="true" applyProtection="true">
      <alignment horizontal="right" vertical="top" textRotation="0" wrapText="true" indent="0" shrinkToFit="false"/>
      <protection locked="true" hidden="false"/>
    </xf>
    <xf numFmtId="177" fontId="47" fillId="8" borderId="0" xfId="21" applyFont="true" applyBorder="false" applyAlignment="true" applyProtection="true">
      <alignment horizontal="center" vertical="bottom" textRotation="0" wrapText="false" indent="0" shrinkToFit="false"/>
      <protection locked="true" hidden="false"/>
    </xf>
    <xf numFmtId="186" fontId="47" fillId="5" borderId="0" xfId="21" applyFont="true" applyBorder="false" applyAlignment="true" applyProtection="true">
      <alignment horizontal="left" vertical="bottom" textRotation="0" wrapText="false" indent="0" shrinkToFit="false"/>
      <protection locked="true" hidden="false"/>
    </xf>
    <xf numFmtId="174" fontId="47" fillId="8" borderId="0" xfId="21" applyFont="true" applyBorder="false" applyAlignment="true" applyProtection="true">
      <alignment horizontal="center" vertical="bottom" textRotation="0" wrapText="false" indent="0" shrinkToFit="false"/>
      <protection locked="true" hidden="false"/>
    </xf>
    <xf numFmtId="164" fontId="47" fillId="5" borderId="0" xfId="21" applyFont="true" applyBorder="false" applyAlignment="true" applyProtection="true">
      <alignment horizontal="general" vertical="bottom" textRotation="0" wrapText="false" indent="0" shrinkToFit="false"/>
      <protection locked="true" hidden="false"/>
    </xf>
    <xf numFmtId="186" fontId="29" fillId="5" borderId="0" xfId="21" applyFont="true" applyBorder="false" applyAlignment="true" applyProtection="true">
      <alignment horizontal="center" vertical="bottom" textRotation="0" wrapText="false" indent="0" shrinkToFit="false"/>
      <protection locked="true" hidden="false"/>
    </xf>
    <xf numFmtId="164" fontId="22" fillId="8" borderId="2" xfId="0" applyFont="true" applyBorder="true" applyAlignment="true" applyProtection="true">
      <alignment horizontal="left" vertical="bottom" textRotation="0" wrapText="false" indent="2" shrinkToFit="false"/>
      <protection locked="true" hidden="false"/>
    </xf>
    <xf numFmtId="164" fontId="22" fillId="8" borderId="3" xfId="0" applyFont="true" applyBorder="true" applyAlignment="true" applyProtection="true">
      <alignment horizontal="left" vertical="bottom" textRotation="0" wrapText="false" indent="2" shrinkToFit="false"/>
      <protection locked="true" hidden="false"/>
    </xf>
    <xf numFmtId="164" fontId="10" fillId="0" borderId="6" xfId="0" applyFont="true" applyBorder="true" applyAlignment="true" applyProtection="true">
      <alignment horizontal="left" vertical="bottom" textRotation="0" wrapText="false" indent="2" shrinkToFit="false"/>
      <protection locked="true" hidden="false"/>
    </xf>
    <xf numFmtId="177" fontId="10" fillId="0" borderId="7" xfId="0" applyFont="true" applyBorder="true" applyAlignment="true" applyProtection="true">
      <alignment horizontal="general" vertical="bottom" textRotation="0" wrapText="false" indent="0" shrinkToFit="false"/>
      <protection locked="true" hidden="false"/>
    </xf>
    <xf numFmtId="174" fontId="10" fillId="0" borderId="7" xfId="0" applyFont="true" applyBorder="true" applyAlignment="true" applyProtection="true">
      <alignment horizontal="general" vertical="bottom" textRotation="0" wrapText="false" indent="0" shrinkToFit="false"/>
      <protection locked="true" hidden="false"/>
    </xf>
    <xf numFmtId="164" fontId="10" fillId="0" borderId="6" xfId="0" applyFont="true" applyBorder="true" applyAlignment="true" applyProtection="true">
      <alignment horizontal="left" vertical="top" textRotation="0" wrapText="true" indent="2" shrinkToFit="false"/>
      <protection locked="true" hidden="false"/>
    </xf>
    <xf numFmtId="190" fontId="10" fillId="0" borderId="7" xfId="0" applyFont="true" applyBorder="true" applyAlignment="true" applyProtection="true">
      <alignment horizontal="general" vertical="bottom" textRotation="0" wrapText="false" indent="0" shrinkToFit="false"/>
      <protection locked="true" hidden="false"/>
    </xf>
    <xf numFmtId="164" fontId="10" fillId="0" borderId="8" xfId="0" applyFont="true" applyBorder="true" applyAlignment="true" applyProtection="true">
      <alignment horizontal="left" vertical="top" textRotation="0" wrapText="true" indent="2" shrinkToFit="false"/>
      <protection locked="true" hidden="false"/>
    </xf>
    <xf numFmtId="174" fontId="10" fillId="0" borderId="9" xfId="0" applyFont="true" applyBorder="true" applyAlignment="true" applyProtection="true">
      <alignment horizontal="general" vertical="bottom" textRotation="0" wrapText="false" indent="0" shrinkToFit="false"/>
      <protection locked="true" hidden="false"/>
    </xf>
    <xf numFmtId="164" fontId="43" fillId="7" borderId="43" xfId="0" applyFont="true" applyBorder="true" applyAlignment="true" applyProtection="true">
      <alignment horizontal="general" vertical="bottom" textRotation="0" wrapText="false" indent="0" shrinkToFit="false"/>
      <protection locked="true" hidden="false"/>
    </xf>
    <xf numFmtId="164" fontId="28" fillId="7" borderId="44" xfId="0" applyFont="true" applyBorder="true" applyAlignment="true" applyProtection="true">
      <alignment horizontal="general" vertical="bottom" textRotation="0" wrapText="false" indent="0" shrinkToFit="false"/>
      <protection locked="true" hidden="false"/>
    </xf>
    <xf numFmtId="171" fontId="44" fillId="7" borderId="45" xfId="0" applyFont="true" applyBorder="true" applyAlignment="true" applyProtection="true">
      <alignment horizontal="general" vertical="bottom" textRotation="0" wrapText="false" indent="0" shrinkToFit="false"/>
      <protection locked="true" hidden="false"/>
    </xf>
    <xf numFmtId="164" fontId="28" fillId="5" borderId="0" xfId="0" applyFont="true" applyBorder="false" applyAlignment="true" applyProtection="true">
      <alignment horizontal="general" vertical="bottom" textRotation="0" wrapText="false" indent="0" shrinkToFit="false"/>
      <protection locked="true" hidden="false"/>
    </xf>
    <xf numFmtId="164" fontId="30" fillId="5" borderId="2" xfId="0" applyFont="true" applyBorder="true" applyAlignment="true" applyProtection="true">
      <alignment horizontal="left" vertical="bottom" textRotation="0" wrapText="false" indent="1" shrinkToFit="false"/>
      <protection locked="true" hidden="false"/>
    </xf>
    <xf numFmtId="177" fontId="30" fillId="3" borderId="3" xfId="0" applyFont="true" applyBorder="true" applyAlignment="true" applyProtection="true">
      <alignment horizontal="center" vertical="bottom" textRotation="0" wrapText="false" indent="0" shrinkToFit="false"/>
      <protection locked="true" hidden="false"/>
    </xf>
    <xf numFmtId="164" fontId="30" fillId="5" borderId="2" xfId="0" applyFont="true" applyBorder="true" applyAlignment="true" applyProtection="true">
      <alignment horizontal="left" vertical="bottom" textRotation="0" wrapText="false" indent="0" shrinkToFit="false"/>
      <protection locked="true" hidden="false"/>
    </xf>
    <xf numFmtId="177" fontId="30" fillId="5" borderId="3" xfId="0" applyFont="true" applyBorder="true" applyAlignment="true" applyProtection="true">
      <alignment horizontal="right" vertical="bottom" textRotation="0" wrapText="false" indent="0" shrinkToFit="false"/>
      <protection locked="true" hidden="false"/>
    </xf>
    <xf numFmtId="164" fontId="30" fillId="5" borderId="6" xfId="0" applyFont="true" applyBorder="true" applyAlignment="true" applyProtection="true">
      <alignment horizontal="left" vertical="bottom" textRotation="0" wrapText="false" indent="1" shrinkToFit="false"/>
      <protection locked="true" hidden="false"/>
    </xf>
    <xf numFmtId="166" fontId="9" fillId="3" borderId="7" xfId="0" applyFont="true" applyBorder="true" applyAlignment="true" applyProtection="true">
      <alignment horizontal="center" vertical="bottom" textRotation="0" wrapText="false" indent="0" shrinkToFit="false"/>
      <protection locked="true" hidden="false"/>
    </xf>
    <xf numFmtId="164" fontId="25" fillId="4" borderId="0" xfId="0" applyFont="true" applyBorder="false" applyAlignment="true" applyProtection="true">
      <alignment horizontal="general" vertical="top" textRotation="0" wrapText="true" indent="0" shrinkToFit="false"/>
      <protection locked="true" hidden="false"/>
    </xf>
    <xf numFmtId="164" fontId="30" fillId="5" borderId="6" xfId="0" applyFont="true" applyBorder="true" applyAlignment="true" applyProtection="true">
      <alignment horizontal="left" vertical="top" textRotation="0" wrapText="true" indent="0" shrinkToFit="false"/>
      <protection locked="true" hidden="false"/>
    </xf>
    <xf numFmtId="177" fontId="30" fillId="3" borderId="7" xfId="0" applyFont="true" applyBorder="true" applyAlignment="true" applyProtection="true">
      <alignment horizontal="right" vertical="bottom" textRotation="0" wrapText="false" indent="0" shrinkToFit="false"/>
      <protection locked="true" hidden="false"/>
    </xf>
    <xf numFmtId="168" fontId="30" fillId="5" borderId="7" xfId="0" applyFont="true" applyBorder="true" applyAlignment="true" applyProtection="true">
      <alignment horizontal="center" vertical="bottom" textRotation="0" wrapText="false" indent="0" shrinkToFit="false"/>
      <protection locked="true" hidden="false"/>
    </xf>
    <xf numFmtId="164" fontId="30" fillId="5" borderId="6" xfId="0" applyFont="true" applyBorder="true" applyAlignment="true" applyProtection="true">
      <alignment horizontal="left" vertical="bottom" textRotation="0" wrapText="false" indent="0" shrinkToFit="false"/>
      <protection locked="true" hidden="false"/>
    </xf>
    <xf numFmtId="170" fontId="30" fillId="3" borderId="7" xfId="15" applyFont="true" applyBorder="true" applyAlignment="true" applyProtection="true">
      <alignment horizontal="right" vertical="bottom" textRotation="0" wrapText="false" indent="0" shrinkToFit="false"/>
      <protection locked="true" hidden="false"/>
    </xf>
    <xf numFmtId="164" fontId="10" fillId="5" borderId="6" xfId="0" applyFont="true" applyBorder="true" applyAlignment="true" applyProtection="true">
      <alignment horizontal="left" vertical="bottom" textRotation="0" wrapText="false" indent="1" shrinkToFit="false"/>
      <protection locked="true" hidden="false"/>
    </xf>
    <xf numFmtId="164" fontId="5" fillId="5" borderId="7" xfId="0" applyFont="true" applyBorder="true" applyAlignment="true" applyProtection="true">
      <alignment horizontal="center" vertical="bottom" textRotation="0" wrapText="false" indent="0" shrinkToFit="false"/>
      <protection locked="true" hidden="false"/>
    </xf>
    <xf numFmtId="174" fontId="30" fillId="3" borderId="7" xfId="19" applyFont="true" applyBorder="true" applyAlignment="true" applyProtection="true">
      <alignment horizontal="right" vertical="bottom" textRotation="0" wrapText="false" indent="0" shrinkToFit="false"/>
      <protection locked="true" hidden="false"/>
    </xf>
    <xf numFmtId="164" fontId="30" fillId="5" borderId="8" xfId="0" applyFont="true" applyBorder="true" applyAlignment="true" applyProtection="true">
      <alignment horizontal="left" vertical="top" textRotation="0" wrapText="true" indent="1" shrinkToFit="false"/>
      <protection locked="true" hidden="false"/>
    </xf>
    <xf numFmtId="174" fontId="40" fillId="3" borderId="9" xfId="19" applyFont="true" applyBorder="true" applyAlignment="true" applyProtection="true">
      <alignment horizontal="center" vertical="bottom" textRotation="0" wrapText="false" indent="0" shrinkToFit="false"/>
      <protection locked="true" hidden="false"/>
    </xf>
    <xf numFmtId="170" fontId="30" fillId="3" borderId="7" xfId="0" applyFont="true" applyBorder="true" applyAlignment="true" applyProtection="true">
      <alignment horizontal="right" vertical="bottom" textRotation="0" wrapText="false" indent="0" shrinkToFit="false"/>
      <protection locked="true" hidden="false"/>
    </xf>
    <xf numFmtId="168" fontId="40" fillId="5" borderId="0" xfId="19" applyFont="true" applyBorder="false" applyAlignment="true" applyProtection="true">
      <alignment horizontal="general" vertical="bottom" textRotation="0" wrapText="false" indent="0" shrinkToFit="false"/>
      <protection locked="true" hidden="false"/>
    </xf>
    <xf numFmtId="164" fontId="30" fillId="5" borderId="8" xfId="0" applyFont="true" applyBorder="true" applyAlignment="true" applyProtection="true">
      <alignment horizontal="left" vertical="top" textRotation="0" wrapText="true" indent="0" shrinkToFit="false"/>
      <protection locked="true" hidden="false"/>
    </xf>
    <xf numFmtId="174" fontId="30" fillId="3" borderId="9" xfId="19" applyFont="true" applyBorder="true" applyAlignment="true" applyProtection="true">
      <alignment horizontal="right" vertical="bottom" textRotation="0" wrapText="false" indent="0" shrinkToFit="false"/>
      <protection locked="true" hidden="false"/>
    </xf>
    <xf numFmtId="174" fontId="30" fillId="5" borderId="0" xfId="19" applyFont="true" applyBorder="false" applyAlignment="true" applyProtection="true">
      <alignment horizontal="general" vertical="bottom" textRotation="0" wrapText="false" indent="0" shrinkToFit="false"/>
      <protection locked="true" hidden="false"/>
    </xf>
    <xf numFmtId="164" fontId="47" fillId="5" borderId="0" xfId="21" applyFont="true" applyBorder="false" applyAlignment="true" applyProtection="true">
      <alignment horizontal="right" vertical="bottom" textRotation="0" wrapText="false" indent="0" shrinkToFit="false"/>
      <protection locked="true" hidden="false"/>
    </xf>
    <xf numFmtId="164" fontId="7" fillId="7" borderId="10" xfId="0" applyFont="true" applyBorder="true" applyAlignment="true" applyProtection="true">
      <alignment horizontal="left" vertical="center" textRotation="0" wrapText="true" indent="0" shrinkToFit="false"/>
      <protection locked="true" hidden="false"/>
    </xf>
    <xf numFmtId="166" fontId="9" fillId="3" borderId="0" xfId="0" applyFont="true" applyBorder="false" applyAlignment="true" applyProtection="true">
      <alignment horizontal="general" vertical="bottom" textRotation="0" wrapText="false" indent="0" shrinkToFit="false"/>
      <protection locked="true" hidden="false"/>
    </xf>
    <xf numFmtId="166" fontId="25" fillId="5" borderId="0" xfId="0" applyFont="true" applyBorder="false" applyAlignment="true" applyProtection="true">
      <alignment horizontal="general" vertical="bottom" textRotation="0" wrapText="false" indent="0" shrinkToFit="false"/>
      <protection locked="true" hidden="false"/>
    </xf>
    <xf numFmtId="166" fontId="5" fillId="5" borderId="0" xfId="0" applyFont="true" applyBorder="false" applyAlignment="true" applyProtection="true">
      <alignment horizontal="general" vertical="bottom" textRotation="0" wrapText="false" indent="0" shrinkToFit="false"/>
      <protection locked="true" hidden="false"/>
    </xf>
    <xf numFmtId="166" fontId="9" fillId="3" borderId="39" xfId="0" applyFont="true" applyBorder="tru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general" vertical="top" textRotation="0" wrapText="true" indent="0" shrinkToFit="false"/>
      <protection locked="true" hidden="false"/>
    </xf>
    <xf numFmtId="164" fontId="25" fillId="4" borderId="0" xfId="0" applyFont="true" applyBorder="false" applyAlignment="true" applyProtection="true">
      <alignment horizontal="general" vertical="top"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48" fillId="4" borderId="0" xfId="0" applyFont="true" applyBorder="false" applyAlignment="true" applyProtection="true">
      <alignment horizontal="general" vertical="bottom" textRotation="0" wrapText="false" indent="0" shrinkToFit="false"/>
      <protection locked="true" hidden="false"/>
    </xf>
    <xf numFmtId="164" fontId="22" fillId="8" borderId="2" xfId="0" applyFont="true" applyBorder="true" applyAlignment="true" applyProtection="true">
      <alignment horizontal="general" vertical="bottom" textRotation="0" wrapText="false" indent="0" shrinkToFit="false"/>
      <protection locked="true" hidden="false"/>
    </xf>
    <xf numFmtId="164" fontId="22" fillId="8" borderId="10" xfId="0" applyFont="true" applyBorder="true" applyAlignment="true" applyProtection="true">
      <alignment horizontal="general" vertical="bottom" textRotation="0" wrapText="false" indent="0" shrinkToFit="false"/>
      <protection locked="true" hidden="false"/>
    </xf>
    <xf numFmtId="164" fontId="22" fillId="8" borderId="3" xfId="0" applyFont="true" applyBorder="true" applyAlignment="true" applyProtection="true">
      <alignment horizontal="general" vertical="bottom" textRotation="0" wrapText="false" indent="0" shrinkToFit="false"/>
      <protection locked="true" hidden="false"/>
    </xf>
    <xf numFmtId="177" fontId="11" fillId="0" borderId="0" xfId="0" applyFont="true" applyBorder="false" applyAlignment="true" applyProtection="true">
      <alignment horizontal="general" vertical="bottom" textRotation="0" wrapText="false" indent="0" shrinkToFit="false"/>
      <protection locked="true" hidden="false"/>
    </xf>
    <xf numFmtId="190" fontId="9" fillId="3" borderId="0" xfId="0" applyFont="true" applyBorder="false" applyAlignment="true" applyProtection="true">
      <alignment horizontal="general" vertical="bottom" textRotation="0" wrapText="false" indent="0" shrinkToFit="false"/>
      <protection locked="true" hidden="false"/>
    </xf>
    <xf numFmtId="164" fontId="25" fillId="4" borderId="7" xfId="0" applyFont="true" applyBorder="true" applyAlignment="true" applyProtection="true">
      <alignment horizontal="general" vertical="top" textRotation="0" wrapText="true" indent="0" shrinkToFit="false"/>
      <protection locked="true" hidden="false"/>
    </xf>
    <xf numFmtId="177" fontId="10" fillId="0" borderId="0" xfId="0" applyFont="true" applyBorder="false" applyAlignment="true" applyProtection="true">
      <alignment horizontal="general" vertical="bottom" textRotation="0" wrapText="false" indent="0" shrinkToFit="false"/>
      <protection locked="true" hidden="false"/>
    </xf>
    <xf numFmtId="164" fontId="10" fillId="0" borderId="6" xfId="0" applyFont="true" applyBorder="true" applyAlignment="true" applyProtection="true">
      <alignment horizontal="general" vertical="top" textRotation="0" wrapText="true" indent="0" shrinkToFit="false"/>
      <protection locked="true" hidden="false"/>
    </xf>
    <xf numFmtId="190" fontId="10" fillId="0" borderId="0" xfId="0" applyFont="true" applyBorder="false" applyAlignment="true" applyProtection="true">
      <alignment horizontal="general" vertical="bottom" textRotation="0" wrapText="false" indent="0" shrinkToFit="false"/>
      <protection locked="true" hidden="false"/>
    </xf>
    <xf numFmtId="174" fontId="10" fillId="0" borderId="0" xfId="0" applyFont="true" applyBorder="false" applyAlignment="true" applyProtection="true">
      <alignment horizontal="general" vertical="bottom" textRotation="0" wrapText="false" indent="0" shrinkToFit="false"/>
      <protection locked="true" hidden="false"/>
    </xf>
    <xf numFmtId="164" fontId="10" fillId="0" borderId="8" xfId="0" applyFont="true" applyBorder="true" applyAlignment="true" applyProtection="true">
      <alignment horizontal="general" vertical="top" textRotation="0" wrapText="true" indent="0" shrinkToFit="false"/>
      <protection locked="true" hidden="false"/>
    </xf>
    <xf numFmtId="174" fontId="10" fillId="0" borderId="39"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54" fillId="7" borderId="0" xfId="0" applyFont="true" applyBorder="false" applyAlignment="true" applyProtection="true">
      <alignment horizontal="general" vertical="bottom" textRotation="0" wrapText="false" indent="0" shrinkToFit="false"/>
      <protection locked="true" hidden="false"/>
    </xf>
    <xf numFmtId="164" fontId="7" fillId="7" borderId="43" xfId="0" applyFont="true" applyBorder="true" applyAlignment="true" applyProtection="true">
      <alignment horizontal="center" vertical="center" textRotation="0" wrapText="true" indent="0" shrinkToFit="false"/>
      <protection locked="true" hidden="false"/>
    </xf>
    <xf numFmtId="164" fontId="22" fillId="0" borderId="6" xfId="0" applyFont="true" applyBorder="true" applyAlignment="true" applyProtection="true">
      <alignment horizontal="general" vertical="bottom" textRotation="0" wrapText="false" indent="0" shrinkToFit="false"/>
      <protection locked="true" hidden="false"/>
    </xf>
    <xf numFmtId="177" fontId="9" fillId="3" borderId="0" xfId="0" applyFont="true" applyBorder="false" applyAlignment="true" applyProtection="true">
      <alignment horizontal="general" vertical="bottom" textRotation="0" wrapText="false" indent="0" shrinkToFit="false"/>
      <protection locked="true" hidden="false"/>
    </xf>
    <xf numFmtId="191" fontId="9" fillId="3" borderId="0" xfId="0" applyFont="true" applyBorder="false" applyAlignment="true" applyProtection="true">
      <alignment horizontal="general" vertical="bottom" textRotation="0" wrapText="false" indent="0" shrinkToFit="false"/>
      <protection locked="true" hidden="false"/>
    </xf>
    <xf numFmtId="171" fontId="9" fillId="3" borderId="0" xfId="0" applyFont="true" applyBorder="false" applyAlignment="true" applyProtection="true">
      <alignment horizontal="general" vertical="bottom" textRotation="0" wrapText="false" indent="0" shrinkToFit="false"/>
      <protection locked="true" hidden="false"/>
    </xf>
    <xf numFmtId="176" fontId="10" fillId="0" borderId="0" xfId="0" applyFont="true" applyBorder="false" applyAlignment="true" applyProtection="true">
      <alignment horizontal="general" vertical="bottom" textRotation="0" wrapText="false" indent="0" shrinkToFit="false"/>
      <protection locked="true" hidden="false"/>
    </xf>
    <xf numFmtId="164" fontId="22" fillId="0" borderId="8" xfId="0" applyFont="true" applyBorder="true" applyAlignment="true" applyProtection="true">
      <alignment horizontal="general" vertical="bottom" textRotation="0" wrapText="false" indent="0" shrinkToFit="false"/>
      <protection locked="true" hidden="false"/>
    </xf>
    <xf numFmtId="164" fontId="10" fillId="0" borderId="39" xfId="0" applyFont="true" applyBorder="true" applyAlignment="true" applyProtection="true">
      <alignment horizontal="general" vertical="bottom" textRotation="0" wrapText="false" indent="0" shrinkToFit="false"/>
      <protection locked="true" hidden="false"/>
    </xf>
    <xf numFmtId="177" fontId="9" fillId="3" borderId="39" xfId="0" applyFont="true" applyBorder="true" applyAlignment="true" applyProtection="true">
      <alignment horizontal="general" vertical="bottom" textRotation="0" wrapText="false" indent="0" shrinkToFit="false"/>
      <protection locked="true" hidden="false"/>
    </xf>
    <xf numFmtId="191" fontId="9" fillId="3" borderId="39" xfId="0" applyFont="true" applyBorder="true" applyAlignment="true" applyProtection="true">
      <alignment horizontal="general" vertical="bottom" textRotation="0" wrapText="false" indent="0" shrinkToFit="false"/>
      <protection locked="true" hidden="false"/>
    </xf>
    <xf numFmtId="176" fontId="9" fillId="3" borderId="39" xfId="0" applyFont="true" applyBorder="true" applyAlignment="true" applyProtection="true">
      <alignment horizontal="general" vertical="bottom" textRotation="0" wrapText="false" indent="0" shrinkToFit="false"/>
      <protection locked="true" hidden="false"/>
    </xf>
    <xf numFmtId="171" fontId="9" fillId="3" borderId="39" xfId="0" applyFont="true" applyBorder="true" applyAlignment="true" applyProtection="true">
      <alignment horizontal="general" vertical="bottom" textRotation="0" wrapText="false" indent="0" shrinkToFit="false"/>
      <protection locked="true" hidden="false"/>
    </xf>
    <xf numFmtId="176" fontId="10" fillId="0" borderId="39" xfId="0" applyFont="true" applyBorder="true" applyAlignment="true" applyProtection="true">
      <alignment horizontal="general" vertical="bottom" textRotation="0" wrapText="false" indent="0" shrinkToFit="false"/>
      <protection locked="true" hidden="false"/>
    </xf>
    <xf numFmtId="164" fontId="25" fillId="4" borderId="9" xfId="0" applyFont="true" applyBorder="true" applyAlignment="true" applyProtection="true">
      <alignment horizontal="general" vertical="top" textRotation="0" wrapText="true" indent="0" shrinkToFit="false"/>
      <protection locked="true" hidden="false"/>
    </xf>
    <xf numFmtId="176" fontId="22" fillId="0" borderId="0" xfId="0" applyFont="true" applyBorder="false" applyAlignment="true" applyProtection="true">
      <alignment horizontal="general" vertical="bottom" textRotation="0" wrapText="false" indent="0" shrinkToFit="false"/>
      <protection locked="true" hidden="false"/>
    </xf>
    <xf numFmtId="171" fontId="22" fillId="0" borderId="0" xfId="0" applyFont="true" applyBorder="false" applyAlignment="true" applyProtection="true">
      <alignment horizontal="general" vertical="bottom" textRotation="0" wrapText="false" indent="0" shrinkToFit="false"/>
      <protection locked="true" hidden="false"/>
    </xf>
    <xf numFmtId="176" fontId="35" fillId="3" borderId="0" xfId="0" applyFont="true" applyBorder="false" applyAlignment="true" applyProtection="true">
      <alignment horizontal="general" vertical="bottom" textRotation="0" wrapText="false" indent="0" shrinkToFit="false"/>
      <protection locked="true" hidden="false"/>
    </xf>
    <xf numFmtId="186" fontId="11" fillId="0" borderId="7" xfId="0" applyFont="true" applyBorder="true" applyAlignment="true" applyProtection="true">
      <alignment horizontal="general" vertical="bottom" textRotation="0" wrapText="false" indent="0" shrinkToFit="false"/>
      <protection locked="true" hidden="false"/>
    </xf>
    <xf numFmtId="166" fontId="11" fillId="0" borderId="7" xfId="0" applyFont="true" applyBorder="true" applyAlignment="true" applyProtection="true">
      <alignment horizontal="general" vertical="bottom" textRotation="0" wrapText="false" indent="0" shrinkToFit="false"/>
      <protection locked="true" hidden="false"/>
    </xf>
    <xf numFmtId="186" fontId="10" fillId="0" borderId="7" xfId="0" applyFont="true" applyBorder="true" applyAlignment="true" applyProtection="true">
      <alignment horizontal="general" vertical="bottom" textRotation="0" wrapText="false" indent="0" shrinkToFit="false"/>
      <protection locked="true" hidden="false"/>
    </xf>
    <xf numFmtId="166" fontId="9" fillId="3" borderId="9" xfId="0" applyFont="true" applyBorder="true" applyAlignment="true" applyProtection="true">
      <alignment horizontal="general" vertical="bottom" textRotation="0" wrapText="false" indent="0" shrinkToFit="false"/>
      <protection locked="true" hidden="false"/>
    </xf>
    <xf numFmtId="164" fontId="22" fillId="8" borderId="0" xfId="0" applyFont="true" applyBorder="false" applyAlignment="true" applyProtection="true">
      <alignment horizontal="general" vertical="bottom" textRotation="0" wrapText="false" indent="0" shrinkToFit="false"/>
      <protection locked="true" hidden="false"/>
    </xf>
    <xf numFmtId="164" fontId="7" fillId="7" borderId="2" xfId="0" applyFont="true" applyBorder="true" applyAlignment="true" applyProtection="true">
      <alignment horizontal="center" vertical="center" textRotation="0" wrapText="true" indent="0" shrinkToFit="false"/>
      <protection locked="true" hidden="false"/>
    </xf>
    <xf numFmtId="186" fontId="10" fillId="0" borderId="0" xfId="0" applyFont="true" applyBorder="false" applyAlignment="true" applyProtection="true">
      <alignment horizontal="general" vertical="bottom" textRotation="0" wrapText="false" indent="0" shrinkToFit="false"/>
      <protection locked="true" hidden="false"/>
    </xf>
    <xf numFmtId="169" fontId="10" fillId="0" borderId="0" xfId="0" applyFont="true" applyBorder="false" applyAlignment="true" applyProtection="true">
      <alignment horizontal="general" vertical="bottom" textRotation="0" wrapText="false" indent="0" shrinkToFit="false"/>
      <protection locked="true" hidden="false"/>
    </xf>
    <xf numFmtId="169" fontId="22" fillId="0" borderId="7" xfId="0" applyFont="true" applyBorder="true" applyAlignment="true" applyProtection="true">
      <alignment horizontal="general" vertical="bottom" textRotation="0" wrapText="false" indent="0" shrinkToFit="false"/>
      <protection locked="true" hidden="false"/>
    </xf>
    <xf numFmtId="164" fontId="10" fillId="0" borderId="8" xfId="0" applyFont="true" applyBorder="true" applyAlignment="true" applyProtection="true">
      <alignment horizontal="general" vertical="bottom" textRotation="0" wrapText="false" indent="0" shrinkToFit="false"/>
      <protection locked="true" hidden="false"/>
    </xf>
    <xf numFmtId="169" fontId="10" fillId="0" borderId="39" xfId="0" applyFont="true" applyBorder="true" applyAlignment="true" applyProtection="true">
      <alignment horizontal="general" vertical="bottom" textRotation="0" wrapText="false" indent="0" shrinkToFit="false"/>
      <protection locked="true" hidden="false"/>
    </xf>
    <xf numFmtId="169" fontId="10" fillId="0" borderId="9" xfId="0" applyFont="true" applyBorder="true" applyAlignment="true" applyProtection="true">
      <alignment horizontal="general" vertical="bottom" textRotation="0" wrapText="false" indent="0" shrinkToFit="false"/>
      <protection locked="true" hidden="false"/>
    </xf>
    <xf numFmtId="186" fontId="22" fillId="8" borderId="3" xfId="0" applyFont="true" applyBorder="true" applyAlignment="true" applyProtection="true">
      <alignment horizontal="general" vertical="bottom" textRotation="0" wrapText="false" indent="0" shrinkToFit="false"/>
      <protection locked="true" hidden="false"/>
    </xf>
    <xf numFmtId="164" fontId="25" fillId="0" borderId="6" xfId="0" applyFont="true" applyBorder="true" applyAlignment="true" applyProtection="true">
      <alignment horizontal="general" vertical="bottom" textRotation="0" wrapText="false" indent="0" shrinkToFit="false"/>
      <protection locked="true" hidden="false"/>
    </xf>
    <xf numFmtId="186" fontId="60" fillId="0" borderId="7" xfId="0" applyFont="true" applyBorder="true" applyAlignment="true" applyProtection="true">
      <alignment horizontal="general" vertical="bottom" textRotation="0" wrapText="false" indent="0" shrinkToFit="false"/>
      <protection locked="true" hidden="false"/>
    </xf>
    <xf numFmtId="174" fontId="25" fillId="3" borderId="7" xfId="0" applyFont="true" applyBorder="true" applyAlignment="true" applyProtection="true">
      <alignment horizontal="general" vertical="bottom" textRotation="0" wrapText="false" indent="0" shrinkToFit="false"/>
      <protection locked="true" hidden="false"/>
    </xf>
    <xf numFmtId="186" fontId="25" fillId="3" borderId="7" xfId="0" applyFont="true" applyBorder="true" applyAlignment="true" applyProtection="true">
      <alignment horizontal="general" vertical="bottom" textRotation="0" wrapText="false" indent="0" shrinkToFit="false"/>
      <protection locked="true" hidden="false"/>
    </xf>
    <xf numFmtId="164" fontId="25" fillId="0" borderId="8" xfId="0" applyFont="true" applyBorder="true" applyAlignment="true" applyProtection="true">
      <alignment horizontal="general" vertical="bottom" textRotation="0" wrapText="false" indent="0" shrinkToFit="false"/>
      <protection locked="true" hidden="false"/>
    </xf>
    <xf numFmtId="174" fontId="25" fillId="3" borderId="9" xfId="0" applyFont="true" applyBorder="true" applyAlignment="true" applyProtection="true">
      <alignment horizontal="general" vertical="bottom" textRotation="0" wrapText="false" indent="0" shrinkToFit="false"/>
      <protection locked="true" hidden="false"/>
    </xf>
    <xf numFmtId="164" fontId="47" fillId="0" borderId="0" xfId="0" applyFont="true" applyBorder="false" applyAlignment="true" applyProtection="true">
      <alignment horizontal="right" vertical="bottom" textRotation="0" wrapText="false" indent="0" shrinkToFit="false"/>
      <protection locked="true" hidden="false"/>
    </xf>
    <xf numFmtId="186" fontId="47" fillId="8" borderId="0" xfId="0" applyFont="true" applyBorder="false" applyAlignment="true" applyProtection="true">
      <alignment horizontal="center"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74" fontId="47" fillId="8" borderId="0" xfId="0" applyFont="true" applyBorder="false" applyAlignment="true" applyProtection="true">
      <alignment horizontal="center" vertical="bottom" textRotation="0" wrapText="false" indent="0" shrinkToFit="false"/>
      <protection locked="true" hidden="false"/>
    </xf>
    <xf numFmtId="164" fontId="7" fillId="7" borderId="0" xfId="0" applyFont="true" applyBorder="false" applyAlignment="true" applyProtection="true">
      <alignment horizontal="center" vertical="center" textRotation="0" wrapText="true" indent="0" shrinkToFit="false"/>
      <protection locked="true" hidden="false"/>
    </xf>
    <xf numFmtId="166" fontId="9" fillId="3" borderId="7" xfId="0" applyFont="true" applyBorder="true" applyAlignment="true" applyProtection="true">
      <alignment horizontal="general" vertical="bottom" textRotation="0" wrapText="false" indent="0" shrinkToFit="false"/>
      <protection locked="true" hidden="false"/>
    </xf>
    <xf numFmtId="169" fontId="11" fillId="0" borderId="0" xfId="0" applyFont="true" applyBorder="false" applyAlignment="true" applyProtection="true">
      <alignment horizontal="general" vertical="bottom" textRotation="0" wrapText="false" indent="0" shrinkToFit="false"/>
      <protection locked="true" hidden="false"/>
    </xf>
    <xf numFmtId="164" fontId="22" fillId="0" borderId="8" xfId="0" applyFont="true" applyBorder="true" applyAlignment="true" applyProtection="true">
      <alignment horizontal="general" vertical="top" textRotation="0" wrapText="true" indent="0" shrinkToFit="false"/>
      <protection locked="true" hidden="false"/>
    </xf>
    <xf numFmtId="169" fontId="22" fillId="0" borderId="39" xfId="0" applyFont="true" applyBorder="true" applyAlignment="true" applyProtection="true">
      <alignment horizontal="general" vertical="bottom" textRotation="0" wrapText="false" indent="0" shrinkToFit="false"/>
      <protection locked="true" hidden="false"/>
    </xf>
    <xf numFmtId="174" fontId="22" fillId="0" borderId="39" xfId="0" applyFont="true" applyBorder="true" applyAlignment="true" applyProtection="true">
      <alignment horizontal="general" vertical="bottom" textRotation="0" wrapText="false" indent="0" shrinkToFit="false"/>
      <protection locked="true" hidden="false"/>
    </xf>
    <xf numFmtId="166" fontId="10" fillId="0" borderId="9"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top" textRotation="0" wrapText="true" indent="0" shrinkToFit="false"/>
      <protection locked="true" hidden="false"/>
    </xf>
    <xf numFmtId="169" fontId="22" fillId="0" borderId="0" xfId="0" applyFont="true" applyBorder="false" applyAlignment="true" applyProtection="true">
      <alignment horizontal="general" vertical="bottom" textRotation="0" wrapText="false" indent="0" shrinkToFit="false"/>
      <protection locked="true" hidden="false"/>
    </xf>
    <xf numFmtId="174" fontId="22" fillId="0" borderId="0" xfId="0" applyFont="true" applyBorder="fals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false" indent="0" shrinkToFit="false"/>
      <protection locked="true" hidden="false"/>
    </xf>
    <xf numFmtId="164" fontId="10" fillId="0" borderId="49" xfId="0" applyFont="true" applyBorder="true" applyAlignment="true" applyProtection="true">
      <alignment horizontal="general" vertical="center" textRotation="0" wrapText="true" indent="0" shrinkToFit="false"/>
      <protection locked="true" hidden="false"/>
    </xf>
    <xf numFmtId="169" fontId="10" fillId="0" borderId="49" xfId="0" applyFont="true" applyBorder="true" applyAlignment="true" applyProtection="true">
      <alignment horizontal="center" vertical="center" textRotation="0" wrapText="false" indent="0" shrinkToFit="false"/>
      <protection locked="true" hidden="false"/>
    </xf>
    <xf numFmtId="164" fontId="5" fillId="0" borderId="49" xfId="0" applyFont="true" applyBorder="true" applyAlignment="true" applyProtection="true">
      <alignment horizontal="center" vertical="center" textRotation="0" wrapText="false" indent="0" shrinkToFit="false"/>
      <protection locked="true" hidden="false"/>
    </xf>
    <xf numFmtId="164" fontId="5" fillId="0" borderId="49" xfId="0" applyFont="true" applyBorder="true" applyAlignment="true" applyProtection="true">
      <alignment horizontal="center" vertical="bottom" textRotation="0" wrapText="false" indent="0" shrinkToFit="false"/>
      <protection locked="true" hidden="false"/>
    </xf>
    <xf numFmtId="166" fontId="9" fillId="3" borderId="49" xfId="0" applyFont="true" applyBorder="true" applyAlignment="true" applyProtection="true">
      <alignment horizontal="center" vertical="center" textRotation="0" wrapText="false" indent="0" shrinkToFit="false"/>
      <protection locked="true" hidden="false"/>
    </xf>
    <xf numFmtId="164" fontId="25" fillId="0" borderId="49" xfId="0" applyFont="true" applyBorder="true" applyAlignment="true" applyProtection="true">
      <alignment horizontal="center" vertical="bottom" textRotation="0" wrapText="tru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10" fillId="0" borderId="63" xfId="0" applyFont="true" applyBorder="true" applyAlignment="true" applyProtection="true">
      <alignment horizontal="general" vertical="bottom" textRotation="0" wrapText="false" indent="0" shrinkToFit="false"/>
      <protection locked="true" hidden="false"/>
    </xf>
    <xf numFmtId="169" fontId="10" fillId="0" borderId="63" xfId="0" applyFont="true" applyBorder="true" applyAlignment="true" applyProtection="true">
      <alignment horizontal="center" vertical="center" textRotation="0" wrapText="false" indent="0" shrinkToFit="false"/>
      <protection locked="true" hidden="false"/>
    </xf>
    <xf numFmtId="169" fontId="22" fillId="0" borderId="63" xfId="0" applyFont="true" applyBorder="true" applyAlignment="true" applyProtection="true">
      <alignment horizontal="center" vertical="center" textRotation="0" wrapText="false" indent="0" shrinkToFit="false"/>
      <protection locked="true" hidden="false"/>
    </xf>
    <xf numFmtId="164" fontId="25" fillId="0" borderId="64" xfId="0" applyFont="true" applyBorder="true" applyAlignment="true" applyProtection="true">
      <alignment horizontal="general" vertical="bottom" textRotation="0" wrapText="false" indent="0" shrinkToFit="false"/>
      <protection locked="true" hidden="false"/>
    </xf>
    <xf numFmtId="164" fontId="22" fillId="0" borderId="65" xfId="0" applyFont="true" applyBorder="true" applyAlignment="true" applyProtection="true">
      <alignment horizontal="general" vertical="bottom" textRotation="0" wrapText="false" indent="0" shrinkToFit="false"/>
      <protection locked="true" hidden="false"/>
    </xf>
    <xf numFmtId="169" fontId="10" fillId="0" borderId="65" xfId="0" applyFont="true" applyBorder="true" applyAlignment="true" applyProtection="true">
      <alignment horizontal="center" vertical="center" textRotation="0" wrapText="false" indent="0" shrinkToFit="false"/>
      <protection locked="true" hidden="false"/>
    </xf>
    <xf numFmtId="169" fontId="22" fillId="0" borderId="66" xfId="0" applyFont="true" applyBorder="true" applyAlignment="true" applyProtection="true">
      <alignment horizontal="center" vertical="center" textRotation="0" wrapText="false" indent="0" shrinkToFit="false"/>
      <protection locked="true" hidden="false"/>
    </xf>
    <xf numFmtId="164" fontId="25" fillId="0" borderId="67" xfId="0" applyFont="true" applyBorder="true" applyAlignment="true" applyProtection="true">
      <alignment horizontal="general" vertical="bottom" textRotation="0" wrapText="false" indent="0" shrinkToFit="false"/>
      <protection locked="true" hidden="false"/>
    </xf>
    <xf numFmtId="169" fontId="22" fillId="0" borderId="31" xfId="0" applyFont="true" applyBorder="true" applyAlignment="true" applyProtection="true">
      <alignment horizontal="center" vertical="center" textRotation="0" wrapText="false" indent="0" shrinkToFit="false"/>
      <protection locked="true" hidden="false"/>
    </xf>
    <xf numFmtId="174" fontId="22" fillId="0" borderId="32" xfId="0" applyFont="true" applyBorder="true" applyAlignment="true" applyProtection="true">
      <alignment horizontal="center" vertical="center" textRotation="0" wrapText="false" indent="0" shrinkToFit="false"/>
      <protection locked="true" hidden="false"/>
    </xf>
    <xf numFmtId="164" fontId="10" fillId="0" borderId="68" xfId="0" applyFont="true" applyBorder="true" applyAlignment="true" applyProtection="true">
      <alignment horizontal="general" vertical="bottom" textRotation="0" wrapText="false" indent="0" shrinkToFit="false"/>
      <protection locked="true" hidden="false"/>
    </xf>
    <xf numFmtId="169" fontId="10" fillId="0" borderId="69" xfId="0" applyFont="true" applyBorder="true" applyAlignment="true" applyProtection="true">
      <alignment horizontal="center" vertical="center" textRotation="0" wrapText="false" indent="0" shrinkToFit="false"/>
      <protection locked="true" hidden="false"/>
    </xf>
    <xf numFmtId="164" fontId="10" fillId="0" borderId="70" xfId="0" applyFont="true" applyBorder="true" applyAlignment="true" applyProtection="true">
      <alignment horizontal="general" vertical="bottom" textRotation="0" wrapText="false" indent="0" shrinkToFit="false"/>
      <protection locked="true" hidden="false"/>
    </xf>
    <xf numFmtId="169" fontId="10" fillId="0" borderId="9" xfId="0" applyFont="true" applyBorder="true" applyAlignment="true" applyProtection="true">
      <alignment horizontal="center" vertical="center" textRotation="0" wrapText="false" indent="0" shrinkToFit="false"/>
      <protection locked="true" hidden="false"/>
    </xf>
    <xf numFmtId="169" fontId="22" fillId="0" borderId="0" xfId="0" applyFont="true" applyBorder="false" applyAlignment="true" applyProtection="true">
      <alignment horizontal="center" vertical="center" textRotation="0" wrapText="false" indent="0" shrinkToFit="false"/>
      <protection locked="true" hidden="false"/>
    </xf>
    <xf numFmtId="169" fontId="10" fillId="19" borderId="0" xfId="0" applyFont="true" applyBorder="false" applyAlignment="true" applyProtection="true">
      <alignment horizontal="center" vertical="center" textRotation="0" wrapText="false" indent="0" shrinkToFit="false"/>
      <protection locked="true" hidden="false"/>
    </xf>
    <xf numFmtId="169" fontId="10" fillId="19" borderId="7" xfId="0" applyFont="true" applyBorder="true" applyAlignment="true" applyProtection="true">
      <alignment horizontal="center" vertical="center" textRotation="0" wrapText="false" indent="0" shrinkToFit="false"/>
      <protection locked="true" hidden="false"/>
    </xf>
    <xf numFmtId="174" fontId="22" fillId="0" borderId="0" xfId="0" applyFont="true" applyBorder="false" applyAlignment="true" applyProtection="true">
      <alignment horizontal="center" vertical="center" textRotation="0" wrapText="false" indent="0" shrinkToFit="false"/>
      <protection locked="true" hidden="false"/>
    </xf>
    <xf numFmtId="174" fontId="10" fillId="19" borderId="0" xfId="0" applyFont="true" applyBorder="false" applyAlignment="true" applyProtection="true">
      <alignment horizontal="center" vertical="center" textRotation="0" wrapText="false" indent="0" shrinkToFit="false"/>
      <protection locked="true" hidden="false"/>
    </xf>
    <xf numFmtId="174" fontId="10" fillId="19" borderId="7" xfId="0" applyFont="true" applyBorder="true" applyAlignment="true" applyProtection="true">
      <alignment horizontal="center" vertical="center" textRotation="0" wrapText="false" indent="0" shrinkToFit="false"/>
      <protection locked="true" hidden="false"/>
    </xf>
    <xf numFmtId="174" fontId="22" fillId="0" borderId="39" xfId="0" applyFont="true" applyBorder="true" applyAlignment="true" applyProtection="true">
      <alignment horizontal="center" vertical="center" textRotation="0" wrapText="false" indent="0" shrinkToFit="false"/>
      <protection locked="true" hidden="false"/>
    </xf>
    <xf numFmtId="174" fontId="10" fillId="19" borderId="39" xfId="0" applyFont="true" applyBorder="true" applyAlignment="true" applyProtection="true">
      <alignment horizontal="center" vertical="center" textRotation="0" wrapText="false" indent="0" shrinkToFit="false"/>
      <protection locked="true" hidden="false"/>
    </xf>
    <xf numFmtId="174" fontId="10" fillId="19" borderId="9" xfId="0" applyFont="true" applyBorder="true" applyAlignment="true" applyProtection="true">
      <alignment horizontal="center" vertical="center" textRotation="0" wrapText="false" indent="0" shrinkToFit="false"/>
      <protection locked="true" hidden="false"/>
    </xf>
    <xf numFmtId="164" fontId="22" fillId="0" borderId="2" xfId="0" applyFont="true" applyBorder="true" applyAlignment="true" applyProtection="true">
      <alignment horizontal="general" vertical="bottom" textRotation="0" wrapText="false" indent="0" shrinkToFit="false"/>
      <protection locked="true" hidden="false"/>
    </xf>
    <xf numFmtId="169" fontId="10" fillId="19" borderId="10" xfId="0" applyFont="true" applyBorder="true" applyAlignment="true" applyProtection="true">
      <alignment horizontal="center" vertical="center" textRotation="0" wrapText="false" indent="0" shrinkToFit="false"/>
      <protection locked="true" hidden="false"/>
    </xf>
    <xf numFmtId="192" fontId="10" fillId="0" borderId="10" xfId="0" applyFont="true" applyBorder="true" applyAlignment="true" applyProtection="true">
      <alignment horizontal="center" vertical="center" textRotation="0" wrapText="false" indent="0" shrinkToFit="false"/>
      <protection locked="true" hidden="false"/>
    </xf>
    <xf numFmtId="192" fontId="10" fillId="0" borderId="0" xfId="0" applyFont="true" applyBorder="false" applyAlignment="true" applyProtection="true">
      <alignment horizontal="center" vertical="center" textRotation="0" wrapText="false" indent="0" shrinkToFit="false"/>
      <protection locked="true" hidden="false"/>
    </xf>
    <xf numFmtId="169" fontId="10" fillId="19" borderId="39" xfId="0" applyFont="true" applyBorder="true" applyAlignment="true" applyProtection="true">
      <alignment horizontal="center" vertical="center" textRotation="0" wrapText="false" indent="0" shrinkToFit="false"/>
      <protection locked="true" hidden="false"/>
    </xf>
    <xf numFmtId="192" fontId="10" fillId="0" borderId="39" xfId="0" applyFont="true" applyBorder="true" applyAlignment="true" applyProtection="true">
      <alignment horizontal="center" vertical="center" textRotation="0" wrapText="false" indent="0" shrinkToFit="false"/>
      <protection locked="true" hidden="false"/>
    </xf>
    <xf numFmtId="179" fontId="7" fillId="7" borderId="10" xfId="0" applyFont="true" applyBorder="true" applyAlignment="true" applyProtection="true">
      <alignment horizontal="center" vertical="center" textRotation="0" wrapText="true" indent="0" shrinkToFit="false"/>
      <protection locked="true" hidden="false"/>
    </xf>
    <xf numFmtId="179" fontId="7" fillId="7" borderId="3" xfId="0" applyFont="true" applyBorder="true" applyAlignment="true" applyProtection="true">
      <alignment horizontal="center" vertical="center" textRotation="0" wrapText="true" indent="0" shrinkToFit="false"/>
      <protection locked="true" hidden="false"/>
    </xf>
    <xf numFmtId="179" fontId="7" fillId="7" borderId="6" xfId="0" applyFont="true" applyBorder="true" applyAlignment="true" applyProtection="true">
      <alignment horizontal="center" vertical="center" textRotation="0" wrapText="true" indent="0" shrinkToFit="false"/>
      <protection locked="true" hidden="false"/>
    </xf>
    <xf numFmtId="183" fontId="10" fillId="0" borderId="0" xfId="0" applyFont="true" applyBorder="false" applyAlignment="true" applyProtection="true">
      <alignment horizontal="center" vertical="center" textRotation="0" wrapText="false" indent="0" shrinkToFit="false"/>
      <protection locked="true" hidden="false"/>
    </xf>
    <xf numFmtId="183" fontId="10" fillId="0" borderId="7" xfId="0" applyFont="true" applyBorder="true" applyAlignment="true" applyProtection="true">
      <alignment horizontal="center" vertical="center" textRotation="0" wrapText="false" indent="0" shrinkToFit="false"/>
      <protection locked="true" hidden="false"/>
    </xf>
    <xf numFmtId="183" fontId="22" fillId="0" borderId="0" xfId="0" applyFont="true" applyBorder="false" applyAlignment="true" applyProtection="true">
      <alignment horizontal="center" vertical="center" textRotation="0" wrapText="false" indent="0" shrinkToFit="false"/>
      <protection locked="true" hidden="false"/>
    </xf>
    <xf numFmtId="180" fontId="10" fillId="0" borderId="39" xfId="0" applyFont="true" applyBorder="true" applyAlignment="true" applyProtection="true">
      <alignment horizontal="general" vertical="bottom" textRotation="0" wrapText="false" indent="0" shrinkToFit="false"/>
      <protection locked="true" hidden="false"/>
    </xf>
    <xf numFmtId="193" fontId="7" fillId="7" borderId="10" xfId="0" applyFont="true" applyBorder="true" applyAlignment="true" applyProtection="true">
      <alignment horizontal="center" vertical="center" textRotation="0" wrapText="true" indent="0" shrinkToFit="false"/>
      <protection locked="true" hidden="false"/>
    </xf>
    <xf numFmtId="193" fontId="7" fillId="7" borderId="3" xfId="0" applyFont="true" applyBorder="true" applyAlignment="true" applyProtection="true">
      <alignment horizontal="center" vertical="center" textRotation="0" wrapText="true" indent="0" shrinkToFit="false"/>
      <protection locked="true" hidden="false"/>
    </xf>
    <xf numFmtId="166" fontId="7" fillId="7" borderId="6" xfId="0" applyFont="true" applyBorder="true" applyAlignment="true" applyProtection="true">
      <alignment horizontal="center" vertical="center" textRotation="0" wrapText="true" indent="0" shrinkToFit="false"/>
      <protection locked="true" hidden="false"/>
    </xf>
    <xf numFmtId="179" fontId="7" fillId="7" borderId="8" xfId="0" applyFont="true" applyBorder="true" applyAlignment="true" applyProtection="true">
      <alignment horizontal="center" vertical="center" textRotation="0" wrapText="true" indent="0" shrinkToFit="false"/>
      <protection locked="true" hidden="false"/>
    </xf>
    <xf numFmtId="183" fontId="10" fillId="0" borderId="39" xfId="0" applyFont="true" applyBorder="true" applyAlignment="true" applyProtection="true">
      <alignment horizontal="center" vertical="center" textRotation="0" wrapText="false" indent="0" shrinkToFit="false"/>
      <protection locked="true" hidden="false"/>
    </xf>
    <xf numFmtId="183" fontId="10" fillId="0" borderId="9" xfId="0" applyFont="true" applyBorder="true" applyAlignment="true" applyProtection="true">
      <alignment horizontal="center" vertical="center" textRotation="0" wrapText="false" indent="0" shrinkToFit="false"/>
      <protection locked="true" hidden="false"/>
    </xf>
    <xf numFmtId="180" fontId="0" fillId="0" borderId="0" xfId="0" applyFont="false" applyBorder="false" applyAlignment="true" applyProtection="tru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Normal 2" xfId="21"/>
    <cellStyle name="Percent 2" xfId="22"/>
  </cellStyles>
  <colors>
    <indexedColors>
      <rgbColor rgb="FF000000"/>
      <rgbColor rgb="FFFFFFFF"/>
      <rgbColor rgb="FFFF0000"/>
      <rgbColor rgb="FF00FF00"/>
      <rgbColor rgb="FF0000FF"/>
      <rgbColor rgb="FFFFFF00"/>
      <rgbColor rgb="FFFF00FF"/>
      <rgbColor rgb="FF00FFFF"/>
      <rgbColor rgb="FFC00000"/>
      <rgbColor rgb="FF008000"/>
      <rgbColor rgb="FF000087"/>
      <rgbColor rgb="FF548235"/>
      <rgbColor rgb="FF800080"/>
      <rgbColor rgb="FF008080"/>
      <rgbColor rgb="FFBFBFBF"/>
      <rgbColor rgb="FF7F7F7F"/>
      <rgbColor rgb="FF8FAADC"/>
      <rgbColor rgb="FF993366"/>
      <rgbColor rgb="FFFEFBCE"/>
      <rgbColor rgb="FFDDEBF7"/>
      <rgbColor rgb="FF660066"/>
      <rgbColor rgb="FFFF8080"/>
      <rgbColor rgb="FF2F5597"/>
      <rgbColor rgb="FFDAE3F3"/>
      <rgbColor rgb="FF00008D"/>
      <rgbColor rgb="FFFF00FF"/>
      <rgbColor rgb="FFF8F8F8"/>
      <rgbColor rgb="FF00FFFF"/>
      <rgbColor rgb="FF800080"/>
      <rgbColor rgb="FF800000"/>
      <rgbColor rgb="FF008080"/>
      <rgbColor rgb="FF0000FF"/>
      <rgbColor rgb="FF00CCFF"/>
      <rgbColor rgb="FFDEEBF7"/>
      <rgbColor rgb="FFEDEDED"/>
      <rgbColor rgb="FFFFE699"/>
      <rgbColor rgb="FFB7E3E4"/>
      <rgbColor rgb="FFF3F7FD"/>
      <rgbColor rgb="FFC5E0B4"/>
      <rgbColor rgb="FFE7E6E6"/>
      <rgbColor rgb="FF3366FF"/>
      <rgbColor rgb="FF61BFB9"/>
      <rgbColor rgb="FF99CC00"/>
      <rgbColor rgb="FFFFCC00"/>
      <rgbColor rgb="FFFF9900"/>
      <rgbColor rgb="FFC55A11"/>
      <rgbColor rgb="FF666666"/>
      <rgbColor rgb="FF969696"/>
      <rgbColor rgb="FF002060"/>
      <rgbColor rgb="FF00B050"/>
      <rgbColor rgb="FF003300"/>
      <rgbColor rgb="FF1F3864"/>
      <rgbColor rgb="FF7B1E2B"/>
      <rgbColor rgb="FF993366"/>
      <rgbColor rgb="FF203864"/>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69840</xdr:colOff>
      <xdr:row>1</xdr:row>
      <xdr:rowOff>111240</xdr:rowOff>
    </xdr:from>
    <xdr:to>
      <xdr:col>2</xdr:col>
      <xdr:colOff>775080</xdr:colOff>
      <xdr:row>2</xdr:row>
      <xdr:rowOff>194760</xdr:rowOff>
    </xdr:to>
    <xdr:pic>
      <xdr:nvPicPr>
        <xdr:cNvPr id="0" name="Picture 1" descr=""/>
        <xdr:cNvPicPr/>
      </xdr:nvPicPr>
      <xdr:blipFill>
        <a:blip r:embed="rId1"/>
        <a:stretch/>
      </xdr:blipFill>
      <xdr:spPr>
        <a:xfrm>
          <a:off x="277560" y="317160"/>
          <a:ext cx="1051200" cy="289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F30"/>
  <sheetViews>
    <sheetView showFormulas="false" showGridLines="false" showRowColHeaders="true" showZeros="true" rightToLeft="false" tabSelected="false" showOutlineSymbols="true" defaultGridColor="true" view="normal" topLeftCell="A1" colorId="64" zoomScale="77" zoomScaleNormal="77" zoomScalePageLayoutView="100" workbookViewId="0">
      <selection pane="topLeft" activeCell="E30" activeCellId="0" sqref="E30"/>
    </sheetView>
  </sheetViews>
  <sheetFormatPr defaultColWidth="8.60546875" defaultRowHeight="15.6"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80"/>
    <col collapsed="false" customWidth="true" hidden="false" outlineLevel="0" max="4" min="4" style="1" width="4"/>
    <col collapsed="false" customWidth="true" hidden="false" outlineLevel="0" max="5" min="5" style="1" width="34"/>
    <col collapsed="false" customWidth="true" hidden="false" outlineLevel="0" max="6" min="6" style="1" width="70"/>
  </cols>
  <sheetData>
    <row r="1" customFormat="false" ht="15.6" hidden="false" customHeight="false" outlineLevel="0" collapsed="false">
      <c r="A1" s="2"/>
      <c r="B1" s="2"/>
      <c r="C1" s="2"/>
      <c r="D1" s="2"/>
      <c r="E1" s="2"/>
      <c r="F1" s="2"/>
    </row>
    <row r="2" customFormat="false" ht="24.45" hidden="false" customHeight="false" outlineLevel="0" collapsed="false">
      <c r="A2" s="2"/>
      <c r="B2" s="2"/>
      <c r="C2" s="3" t="s">
        <v>0</v>
      </c>
      <c r="D2" s="2"/>
      <c r="E2" s="2"/>
      <c r="F2" s="2"/>
    </row>
    <row r="3" customFormat="false" ht="15.6" hidden="false" customHeight="false" outlineLevel="0" collapsed="false">
      <c r="A3" s="2"/>
      <c r="B3" s="2"/>
      <c r="C3" s="4"/>
      <c r="D3" s="2"/>
      <c r="E3" s="2"/>
      <c r="F3" s="2"/>
    </row>
    <row r="4" customFormat="false" ht="15.6" hidden="false" customHeight="false" outlineLevel="0" collapsed="false">
      <c r="A4" s="2"/>
      <c r="B4" s="2"/>
      <c r="C4" s="2"/>
      <c r="D4" s="2"/>
      <c r="E4" s="2"/>
      <c r="F4" s="2"/>
    </row>
    <row r="5" customFormat="false" ht="15.75" hidden="false" customHeight="true" outlineLevel="0" collapsed="false">
      <c r="A5" s="2"/>
      <c r="B5" s="2"/>
      <c r="C5" s="2"/>
      <c r="D5" s="2"/>
      <c r="E5" s="2"/>
      <c r="F5" s="2"/>
    </row>
    <row r="6" customFormat="false" ht="15.75" hidden="false" customHeight="true" outlineLevel="0" collapsed="false">
      <c r="A6" s="2"/>
      <c r="B6" s="5" t="s">
        <v>1</v>
      </c>
      <c r="C6" s="6"/>
      <c r="D6" s="2"/>
      <c r="E6" s="7" t="s">
        <v>2</v>
      </c>
      <c r="F6" s="8"/>
    </row>
    <row r="7" customFormat="false" ht="15.6" hidden="false" customHeight="false" outlineLevel="0" collapsed="false">
      <c r="A7" s="2"/>
      <c r="B7" s="9" t="s">
        <v>3</v>
      </c>
      <c r="C7" s="10" t="s">
        <v>4</v>
      </c>
      <c r="D7" s="2"/>
      <c r="E7" s="11" t="s">
        <v>5</v>
      </c>
      <c r="F7" s="12" t="s">
        <v>6</v>
      </c>
    </row>
    <row r="8" customFormat="false" ht="15.6" hidden="false" customHeight="false" outlineLevel="0" collapsed="false">
      <c r="A8" s="2"/>
      <c r="B8" s="13" t="s">
        <v>7</v>
      </c>
      <c r="C8" s="14" t="s">
        <v>8</v>
      </c>
      <c r="D8" s="2"/>
      <c r="E8" s="15" t="s">
        <v>5</v>
      </c>
      <c r="F8" s="16" t="s">
        <v>9</v>
      </c>
    </row>
    <row r="9" customFormat="false" ht="15.6" hidden="false" customHeight="false" outlineLevel="0" collapsed="false">
      <c r="A9" s="2"/>
      <c r="B9" s="13" t="s">
        <v>10</v>
      </c>
      <c r="C9" s="17" t="n">
        <v>46302</v>
      </c>
      <c r="D9" s="2"/>
      <c r="E9" s="18" t="s">
        <v>5</v>
      </c>
      <c r="F9" s="16" t="s">
        <v>11</v>
      </c>
    </row>
    <row r="10" customFormat="false" ht="15" hidden="false" customHeight="true" outlineLevel="0" collapsed="false">
      <c r="A10" s="2"/>
      <c r="B10" s="13" t="s">
        <v>12</v>
      </c>
      <c r="C10" s="19" t="s">
        <v>13</v>
      </c>
      <c r="D10" s="2"/>
      <c r="E10" s="20" t="s">
        <v>5</v>
      </c>
      <c r="F10" s="16" t="s">
        <v>14</v>
      </c>
    </row>
    <row r="11" customFormat="false" ht="15.6" hidden="false" customHeight="false" outlineLevel="0" collapsed="false">
      <c r="A11" s="2"/>
      <c r="B11" s="21" t="s">
        <v>15</v>
      </c>
      <c r="C11" s="22"/>
      <c r="D11" s="2"/>
      <c r="E11" s="23"/>
      <c r="F11" s="24" t="s">
        <v>16</v>
      </c>
    </row>
    <row r="12" customFormat="false" ht="15.75" hidden="false" customHeight="true" outlineLevel="0" collapsed="false">
      <c r="A12" s="2"/>
      <c r="B12" s="25"/>
      <c r="C12" s="26"/>
      <c r="D12" s="2"/>
      <c r="E12" s="2"/>
      <c r="F12" s="2"/>
    </row>
    <row r="13" customFormat="false" ht="15.75" hidden="false" customHeight="true" outlineLevel="0" collapsed="false">
      <c r="A13" s="2"/>
      <c r="B13" s="2"/>
      <c r="C13" s="2"/>
      <c r="D13" s="2"/>
      <c r="E13" s="7" t="s">
        <v>17</v>
      </c>
      <c r="F13" s="8"/>
    </row>
    <row r="14" customFormat="false" ht="15.75" hidden="false" customHeight="true" outlineLevel="0" collapsed="false">
      <c r="A14" s="2"/>
      <c r="B14" s="7" t="s">
        <v>18</v>
      </c>
      <c r="C14" s="8"/>
      <c r="D14" s="2"/>
      <c r="E14" s="27" t="s">
        <v>19</v>
      </c>
      <c r="F14" s="28" t="s">
        <v>20</v>
      </c>
    </row>
    <row r="15" customFormat="false" ht="15.6" hidden="false" customHeight="false" outlineLevel="0" collapsed="false">
      <c r="A15" s="2"/>
      <c r="B15" s="29" t="s">
        <v>21</v>
      </c>
      <c r="C15" s="12" t="s">
        <v>22</v>
      </c>
      <c r="D15" s="2"/>
      <c r="E15" s="30" t="s">
        <v>23</v>
      </c>
      <c r="F15" s="31" t="s">
        <v>24</v>
      </c>
    </row>
    <row r="16" customFormat="false" ht="15.6" hidden="false" customHeight="false" outlineLevel="0" collapsed="false">
      <c r="A16" s="2"/>
      <c r="B16" s="32" t="s">
        <v>25</v>
      </c>
      <c r="C16" s="16" t="s">
        <v>26</v>
      </c>
      <c r="D16" s="2"/>
      <c r="E16" s="30" t="s">
        <v>27</v>
      </c>
      <c r="F16" s="31" t="s">
        <v>28</v>
      </c>
    </row>
    <row r="17" customFormat="false" ht="15.6" hidden="false" customHeight="false" outlineLevel="0" collapsed="false">
      <c r="A17" s="2"/>
      <c r="B17" s="32" t="s">
        <v>29</v>
      </c>
      <c r="C17" s="16" t="s">
        <v>30</v>
      </c>
      <c r="D17" s="2"/>
      <c r="E17" s="30" t="s">
        <v>31</v>
      </c>
      <c r="F17" s="33" t="n">
        <f aca="false">'Discount rate'!B12</f>
        <v>0.04588</v>
      </c>
    </row>
    <row r="18" customFormat="false" ht="15.6" hidden="false" customHeight="false" outlineLevel="0" collapsed="false">
      <c r="A18" s="2"/>
      <c r="B18" s="32" t="s">
        <v>32</v>
      </c>
      <c r="C18" s="16" t="s">
        <v>33</v>
      </c>
      <c r="D18" s="2"/>
      <c r="E18" s="30" t="s">
        <v>34</v>
      </c>
      <c r="F18" s="33" t="n">
        <f aca="false">'Discount rate'!E4</f>
        <v>0.141309839519679</v>
      </c>
    </row>
    <row r="19" customFormat="false" ht="15.6" hidden="false" customHeight="false" outlineLevel="0" collapsed="false">
      <c r="A19" s="2"/>
      <c r="B19" s="32" t="s">
        <v>35</v>
      </c>
      <c r="C19" s="16" t="s">
        <v>36</v>
      </c>
      <c r="D19" s="2"/>
      <c r="E19" s="30" t="s">
        <v>37</v>
      </c>
      <c r="F19" s="34" t="n">
        <f aca="false">Summary!B8</f>
        <v>26.0074983564468</v>
      </c>
    </row>
    <row r="20" customFormat="false" ht="15.6" hidden="false" customHeight="false" outlineLevel="0" collapsed="false">
      <c r="A20" s="2"/>
      <c r="B20" s="32" t="s">
        <v>38</v>
      </c>
      <c r="C20" s="16" t="s">
        <v>39</v>
      </c>
      <c r="D20" s="2"/>
      <c r="E20" s="30"/>
      <c r="F20" s="35"/>
    </row>
    <row r="21" customFormat="false" ht="15.6" hidden="false" customHeight="false" outlineLevel="0" collapsed="false">
      <c r="A21" s="2"/>
      <c r="B21" s="32" t="s">
        <v>40</v>
      </c>
      <c r="C21" s="16" t="s">
        <v>41</v>
      </c>
      <c r="D21" s="2"/>
      <c r="E21" s="36"/>
      <c r="F21" s="37"/>
    </row>
    <row r="22" customFormat="false" ht="15.6" hidden="false" customHeight="false" outlineLevel="0" collapsed="false">
      <c r="A22" s="2"/>
      <c r="B22" s="32" t="s">
        <v>42</v>
      </c>
      <c r="C22" s="16" t="s">
        <v>43</v>
      </c>
      <c r="D22" s="2"/>
      <c r="E22" s="36"/>
      <c r="F22" s="37"/>
    </row>
    <row r="23" customFormat="false" ht="15.6" hidden="false" customHeight="false" outlineLevel="0" collapsed="false">
      <c r="A23" s="2"/>
      <c r="B23" s="32" t="s">
        <v>44</v>
      </c>
      <c r="C23" s="16" t="s">
        <v>45</v>
      </c>
      <c r="D23" s="2"/>
      <c r="E23" s="36"/>
      <c r="F23" s="37"/>
    </row>
    <row r="24" customFormat="false" ht="15.6" hidden="false" customHeight="false" outlineLevel="0" collapsed="false">
      <c r="A24" s="2"/>
      <c r="B24" s="32" t="s">
        <v>46</v>
      </c>
      <c r="C24" s="16" t="s">
        <v>47</v>
      </c>
      <c r="D24" s="2"/>
      <c r="E24" s="36"/>
      <c r="F24" s="37"/>
    </row>
    <row r="25" customFormat="false" ht="15.6" hidden="false" customHeight="false" outlineLevel="0" collapsed="false">
      <c r="A25" s="2"/>
      <c r="B25" s="32" t="s">
        <v>48</v>
      </c>
      <c r="C25" s="16" t="s">
        <v>49</v>
      </c>
      <c r="D25" s="2"/>
      <c r="E25" s="36"/>
      <c r="F25" s="37"/>
    </row>
    <row r="26" customFormat="false" ht="15.6" hidden="false" customHeight="false" outlineLevel="0" collapsed="false">
      <c r="A26" s="2"/>
      <c r="B26" s="32" t="s">
        <v>50</v>
      </c>
      <c r="C26" s="16" t="s">
        <v>51</v>
      </c>
      <c r="D26" s="2"/>
      <c r="E26" s="36"/>
      <c r="F26" s="37"/>
    </row>
    <row r="27" customFormat="false" ht="15.6" hidden="false" customHeight="false" outlineLevel="0" collapsed="false">
      <c r="A27" s="2"/>
      <c r="B27" s="32" t="s">
        <v>52</v>
      </c>
      <c r="C27" s="16" t="s">
        <v>53</v>
      </c>
      <c r="D27" s="2"/>
      <c r="E27" s="36"/>
      <c r="F27" s="37"/>
    </row>
    <row r="28" customFormat="false" ht="15.6" hidden="false" customHeight="false" outlineLevel="0" collapsed="false">
      <c r="A28" s="2"/>
      <c r="B28" s="32" t="s">
        <v>54</v>
      </c>
      <c r="C28" s="16" t="s">
        <v>55</v>
      </c>
      <c r="D28" s="2"/>
      <c r="E28" s="25"/>
      <c r="F28" s="38"/>
    </row>
    <row r="29" customFormat="false" ht="15.6" hidden="false" customHeight="false" outlineLevel="0" collapsed="false">
      <c r="A29" s="2"/>
      <c r="B29" s="39" t="s">
        <v>56</v>
      </c>
      <c r="C29" s="16" t="s">
        <v>57</v>
      </c>
      <c r="D29" s="2"/>
    </row>
    <row r="30" customFormat="false" ht="15.6" hidden="false" customHeight="false" outlineLevel="0" collapsed="false">
      <c r="B30" s="1" t="s">
        <v>58</v>
      </c>
      <c r="C30" s="40"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2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E10" activeCellId="0" sqref="E10"/>
    </sheetView>
  </sheetViews>
  <sheetFormatPr defaultColWidth="8.796875" defaultRowHeight="16.2" zeroHeight="false" outlineLevelRow="0" outlineLevelCol="0"/>
  <cols>
    <col collapsed="false" customWidth="true" hidden="false" outlineLevel="0" max="1" min="1" style="41" width="2.7"/>
    <col collapsed="false" customWidth="true" hidden="false" outlineLevel="0" max="2" min="2" style="41" width="4.5"/>
    <col collapsed="false" customWidth="true" hidden="false" outlineLevel="0" max="3" min="3" style="41" width="24.4"/>
    <col collapsed="false" customWidth="true" hidden="false" outlineLevel="0" max="4" min="4" style="41" width="15.5"/>
    <col collapsed="false" customWidth="false" hidden="false" outlineLevel="0" max="9" min="5" style="41" width="8.79"/>
    <col collapsed="false" customWidth="true" hidden="false" outlineLevel="0" max="10" min="10" style="41" width="9.9"/>
    <col collapsed="false" customWidth="false" hidden="false" outlineLevel="0" max="16384" min="11" style="41" width="8.79"/>
  </cols>
  <sheetData>
    <row r="1" customFormat="false" ht="16.2" hidden="false" customHeight="false" outlineLevel="0" collapsed="false">
      <c r="A1" s="2"/>
      <c r="B1" s="2"/>
      <c r="C1" s="2"/>
      <c r="D1" s="2"/>
      <c r="E1" s="2"/>
      <c r="F1" s="2"/>
      <c r="G1" s="2"/>
      <c r="H1" s="2"/>
      <c r="I1" s="2"/>
      <c r="J1" s="2"/>
    </row>
    <row r="2" customFormat="false" ht="16.2" hidden="false" customHeight="false" outlineLevel="0" collapsed="false">
      <c r="A2" s="2"/>
      <c r="B2" s="42"/>
      <c r="C2" s="2"/>
      <c r="D2" s="2"/>
      <c r="E2" s="2"/>
      <c r="F2" s="2"/>
      <c r="G2" s="2"/>
      <c r="H2" s="2"/>
      <c r="I2" s="2"/>
      <c r="J2" s="2"/>
    </row>
    <row r="3" customFormat="false" ht="16.2" hidden="false" customHeight="false" outlineLevel="0" collapsed="false">
      <c r="A3" s="2"/>
      <c r="B3" s="42"/>
      <c r="C3" s="2"/>
      <c r="D3" s="2"/>
      <c r="E3" s="2"/>
      <c r="F3" s="2"/>
      <c r="G3" s="2"/>
      <c r="H3" s="2"/>
      <c r="I3" s="2"/>
      <c r="J3" s="2"/>
    </row>
    <row r="4" s="44" customFormat="true" ht="16.2" hidden="false" customHeight="false" outlineLevel="0" collapsed="false">
      <c r="A4" s="2"/>
      <c r="B4" s="43" t="s">
        <v>60</v>
      </c>
      <c r="C4" s="2"/>
      <c r="D4" s="2"/>
      <c r="E4" s="2"/>
      <c r="F4" s="2"/>
      <c r="G4" s="2"/>
      <c r="H4" s="2"/>
      <c r="I4" s="2"/>
      <c r="J4" s="2"/>
    </row>
    <row r="5" customFormat="false" ht="16.2" hidden="false" customHeight="false" outlineLevel="0" collapsed="false">
      <c r="A5" s="2"/>
      <c r="B5" s="2"/>
      <c r="C5" s="2"/>
      <c r="D5" s="2"/>
      <c r="E5" s="2"/>
      <c r="F5" s="2"/>
      <c r="G5" s="2"/>
      <c r="H5" s="2"/>
      <c r="I5" s="2"/>
      <c r="J5" s="2"/>
    </row>
    <row r="6" customFormat="false" ht="16.2" hidden="false" customHeight="false" outlineLevel="0" collapsed="false">
      <c r="A6" s="2"/>
      <c r="B6" s="2"/>
      <c r="C6" s="2"/>
      <c r="D6" s="2"/>
      <c r="E6" s="2"/>
      <c r="F6" s="2"/>
      <c r="G6" s="2"/>
      <c r="H6" s="2"/>
      <c r="I6" s="45" t="s">
        <v>61</v>
      </c>
      <c r="J6" s="46" t="n">
        <v>2026</v>
      </c>
    </row>
    <row r="7" s="47" customFormat="true" ht="15" hidden="false" customHeight="true" outlineLevel="0" collapsed="false">
      <c r="A7" s="2"/>
      <c r="B7" s="2"/>
      <c r="C7" s="2"/>
      <c r="D7" s="2"/>
      <c r="E7" s="2"/>
      <c r="F7" s="2"/>
      <c r="G7" s="2"/>
      <c r="H7" s="2"/>
      <c r="I7" s="2"/>
      <c r="J7" s="2"/>
    </row>
    <row r="8" s="47" customFormat="true" ht="15" hidden="false" customHeight="true" outlineLevel="0" collapsed="false">
      <c r="A8" s="2"/>
      <c r="B8" s="2"/>
      <c r="C8" s="48" t="s">
        <v>62</v>
      </c>
      <c r="D8" s="2"/>
      <c r="E8" s="2"/>
      <c r="F8" s="2"/>
      <c r="G8" s="2"/>
      <c r="H8" s="2"/>
      <c r="I8" s="2"/>
      <c r="J8" s="2"/>
    </row>
    <row r="9" s="47" customFormat="true" ht="15" hidden="false" customHeight="true" outlineLevel="0" collapsed="false">
      <c r="A9" s="2"/>
      <c r="B9" s="49" t="s">
        <v>63</v>
      </c>
      <c r="C9" s="49"/>
      <c r="D9" s="50"/>
      <c r="E9" s="50"/>
      <c r="F9" s="50"/>
      <c r="G9" s="50"/>
      <c r="H9" s="50"/>
      <c r="I9" s="50"/>
      <c r="J9" s="50"/>
    </row>
    <row r="10" s="47" customFormat="true" ht="15" hidden="false" customHeight="true" outlineLevel="0" collapsed="false">
      <c r="A10" s="2"/>
      <c r="B10" s="2"/>
      <c r="C10" s="51"/>
      <c r="D10" s="52"/>
      <c r="E10" s="52"/>
      <c r="F10" s="52"/>
      <c r="G10" s="52"/>
      <c r="H10" s="52"/>
      <c r="I10" s="52"/>
      <c r="J10" s="53"/>
    </row>
    <row r="11" s="57" customFormat="true" ht="15.75" hidden="false" customHeight="true" outlineLevel="0" collapsed="false">
      <c r="A11" s="2"/>
      <c r="B11" s="2"/>
      <c r="C11" s="54" t="s">
        <v>64</v>
      </c>
      <c r="D11" s="55" t="s">
        <v>65</v>
      </c>
      <c r="E11" s="56" t="s">
        <v>66</v>
      </c>
      <c r="F11" s="56"/>
      <c r="G11" s="56"/>
      <c r="H11" s="56"/>
      <c r="I11" s="56"/>
      <c r="J11" s="56"/>
    </row>
    <row r="12" s="57" customFormat="true" ht="15" hidden="false" customHeight="true" outlineLevel="0" collapsed="false">
      <c r="A12" s="2"/>
      <c r="B12" s="2"/>
      <c r="C12" s="54"/>
      <c r="D12" s="55"/>
      <c r="E12" s="56"/>
      <c r="F12" s="56"/>
      <c r="G12" s="56"/>
      <c r="H12" s="56"/>
      <c r="I12" s="56"/>
      <c r="J12" s="56"/>
    </row>
    <row r="13" s="57" customFormat="true" ht="15" hidden="false" customHeight="true" outlineLevel="0" collapsed="false">
      <c r="A13" s="2"/>
      <c r="B13" s="2"/>
      <c r="C13" s="58" t="s">
        <v>67</v>
      </c>
      <c r="D13" s="58"/>
      <c r="E13" s="58"/>
      <c r="F13" s="58"/>
      <c r="G13" s="58"/>
      <c r="H13" s="58"/>
      <c r="I13" s="58"/>
      <c r="J13" s="58"/>
    </row>
    <row r="14" s="47" customFormat="true" ht="15" hidden="false" customHeight="true" outlineLevel="0" collapsed="false">
      <c r="A14" s="2"/>
      <c r="B14" s="2"/>
      <c r="C14" s="59"/>
      <c r="D14" s="60"/>
      <c r="E14" s="60"/>
      <c r="F14" s="60"/>
      <c r="G14" s="60"/>
      <c r="H14" s="60"/>
      <c r="I14" s="60"/>
      <c r="J14" s="61"/>
    </row>
    <row r="15" s="47" customFormat="true" ht="15" hidden="false" customHeight="true" outlineLevel="0" collapsed="false">
      <c r="A15" s="2"/>
      <c r="B15" s="2"/>
      <c r="C15" s="2"/>
      <c r="D15" s="2"/>
      <c r="E15" s="2"/>
      <c r="F15" s="2"/>
      <c r="G15" s="2"/>
      <c r="H15" s="2"/>
      <c r="I15" s="2"/>
      <c r="J15" s="2"/>
    </row>
    <row r="16" s="47" customFormat="true" ht="15" hidden="false" customHeight="true" outlineLevel="0" collapsed="false"/>
    <row r="17" s="47" customFormat="true" ht="15" hidden="false" customHeight="true" outlineLevel="0" collapsed="false"/>
    <row r="18" s="47" customFormat="true" ht="15" hidden="false" customHeight="true" outlineLevel="0" collapsed="false"/>
    <row r="19" s="47" customFormat="true" ht="15" hidden="false" customHeight="true" outlineLevel="0" collapsed="false"/>
    <row r="20" s="47" customFormat="true" ht="15" hidden="false" customHeight="true" outlineLevel="0" collapsed="false"/>
    <row r="21" s="47" customFormat="true" ht="15" hidden="false" customHeight="true" outlineLevel="0" collapsed="false"/>
    <row r="22" s="47" customFormat="true" ht="15" hidden="false" customHeight="true" outlineLevel="0" collapsed="false"/>
  </sheetData>
  <mergeCells count="4">
    <mergeCell ref="C11:C12"/>
    <mergeCell ref="D11:D12"/>
    <mergeCell ref="E11:J12"/>
    <mergeCell ref="C13:J1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I4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I12" activeCellId="0" sqref="I12"/>
    </sheetView>
  </sheetViews>
  <sheetFormatPr defaultColWidth="8.703125" defaultRowHeight="16.2" zeroHeight="false" outlineLevelRow="0" outlineLevelCol="0"/>
  <cols>
    <col collapsed="false" customWidth="true" hidden="false" outlineLevel="0" max="1" min="1" style="62" width="19.9"/>
    <col collapsed="false" customWidth="true" hidden="false" outlineLevel="0" max="2" min="2" style="62" width="15.3"/>
    <col collapsed="false" customWidth="true" hidden="false" outlineLevel="0" max="3" min="3" style="62" width="9.9"/>
    <col collapsed="false" customWidth="true" hidden="false" outlineLevel="0" max="4" min="4" style="62" width="18.79"/>
    <col collapsed="false" customWidth="false" hidden="false" outlineLevel="0" max="6" min="5" style="62" width="8.7"/>
    <col collapsed="false" customWidth="true" hidden="true" outlineLevel="0" max="7" min="7" style="62" width="11.9"/>
    <col collapsed="false" customWidth="true" hidden="true" outlineLevel="0" max="8" min="8" style="62" width="15.4"/>
    <col collapsed="false" customWidth="false" hidden="false" outlineLevel="0" max="16384" min="9" style="62" width="8.7"/>
  </cols>
  <sheetData>
    <row r="1" customFormat="false" ht="16.2" hidden="false" customHeight="false" outlineLevel="0" collapsed="false">
      <c r="A1" s="63" t="s">
        <v>68</v>
      </c>
      <c r="B1" s="64"/>
      <c r="C1" s="64"/>
      <c r="D1" s="64"/>
      <c r="E1" s="65"/>
      <c r="F1" s="65"/>
      <c r="G1" s="65"/>
      <c r="H1" s="2"/>
      <c r="I1" s="2"/>
    </row>
    <row r="2" customFormat="false" ht="16.2" hidden="false" customHeight="false" outlineLevel="0" collapsed="false">
      <c r="A2" s="2"/>
      <c r="B2" s="2"/>
      <c r="C2" s="2"/>
      <c r="D2" s="2"/>
      <c r="E2" s="2"/>
      <c r="F2" s="2"/>
      <c r="G2" s="2"/>
      <c r="H2" s="2"/>
      <c r="I2" s="2"/>
    </row>
    <row r="3" customFormat="false" ht="30.75" hidden="false" customHeight="true" outlineLevel="0" collapsed="false">
      <c r="A3" s="66"/>
      <c r="B3" s="66" t="s">
        <v>69</v>
      </c>
      <c r="C3" s="66" t="s">
        <v>70</v>
      </c>
      <c r="D3" s="66" t="s">
        <v>71</v>
      </c>
      <c r="E3" s="66" t="s">
        <v>72</v>
      </c>
      <c r="F3" s="67" t="s">
        <v>73</v>
      </c>
      <c r="G3" s="66" t="s">
        <v>74</v>
      </c>
      <c r="H3" s="68" t="s">
        <v>75</v>
      </c>
      <c r="I3" s="2"/>
    </row>
    <row r="4" customFormat="false" ht="16.2" hidden="false" customHeight="false" outlineLevel="0" collapsed="false">
      <c r="A4" s="69"/>
      <c r="B4" s="2"/>
      <c r="C4" s="70"/>
      <c r="D4" s="71" t="n">
        <f aca="false">SUM(D5:D7)</f>
        <v>24090000</v>
      </c>
      <c r="E4" s="2"/>
      <c r="F4" s="72" t="n">
        <f aca="false">'Cash Flow Statement'!E2+1</f>
        <v>2026</v>
      </c>
      <c r="G4" s="2"/>
      <c r="H4" s="2"/>
      <c r="I4" s="2"/>
    </row>
    <row r="5" customFormat="false" ht="16.2" hidden="true" customHeight="false" outlineLevel="0" collapsed="false">
      <c r="A5" s="73" t="s">
        <v>76</v>
      </c>
      <c r="B5" s="74" t="n">
        <v>30550000</v>
      </c>
      <c r="C5" s="74" t="n">
        <v>0</v>
      </c>
      <c r="D5" s="75" t="n">
        <f aca="false">B5*C5</f>
        <v>0</v>
      </c>
      <c r="E5" s="76" t="n">
        <v>10</v>
      </c>
      <c r="F5" s="72"/>
      <c r="G5" s="77" t="n">
        <v>8</v>
      </c>
      <c r="H5" s="2"/>
      <c r="I5" s="2"/>
    </row>
    <row r="6" customFormat="false" ht="16.2" hidden="false" customHeight="false" outlineLevel="0" collapsed="false">
      <c r="A6" s="73" t="s">
        <v>77</v>
      </c>
      <c r="B6" s="74" t="n">
        <v>3600000</v>
      </c>
      <c r="C6" s="74" t="n">
        <v>5</v>
      </c>
      <c r="D6" s="75" t="n">
        <f aca="false">B6*C6</f>
        <v>18000000</v>
      </c>
      <c r="E6" s="76" t="n">
        <v>11</v>
      </c>
      <c r="F6" s="72"/>
      <c r="G6" s="77" t="n">
        <v>5</v>
      </c>
      <c r="H6" s="2"/>
      <c r="I6" s="2"/>
    </row>
    <row r="7" customFormat="false" ht="16.2" hidden="false" customHeight="false" outlineLevel="0" collapsed="false">
      <c r="A7" s="78" t="s">
        <v>78</v>
      </c>
      <c r="B7" s="79" t="n">
        <v>1218000</v>
      </c>
      <c r="C7" s="79" t="n">
        <v>5</v>
      </c>
      <c r="D7" s="80" t="n">
        <f aca="false">B7*C7</f>
        <v>6090000</v>
      </c>
      <c r="E7" s="81" t="n">
        <v>11</v>
      </c>
      <c r="F7" s="72"/>
      <c r="G7" s="82" t="n">
        <v>5</v>
      </c>
      <c r="H7" s="2"/>
      <c r="I7" s="2"/>
    </row>
    <row r="8" customFormat="false" ht="16.2" hidden="false" customHeight="false" outlineLevel="0" collapsed="false">
      <c r="A8" s="83"/>
      <c r="B8" s="84"/>
      <c r="C8" s="83"/>
      <c r="D8" s="85" t="n">
        <f aca="false">SUM(D9:D10)</f>
        <v>77100000</v>
      </c>
      <c r="E8" s="83"/>
      <c r="F8" s="86" t="n">
        <f aca="false">F4+1</f>
        <v>2027</v>
      </c>
      <c r="G8" s="83"/>
      <c r="H8" s="2"/>
      <c r="I8" s="2"/>
    </row>
    <row r="9" customFormat="false" ht="16.2" hidden="false" customHeight="false" outlineLevel="0" collapsed="false">
      <c r="A9" s="83" t="s">
        <v>76</v>
      </c>
      <c r="B9" s="87" t="n">
        <v>30550000</v>
      </c>
      <c r="C9" s="87" t="n">
        <v>2</v>
      </c>
      <c r="D9" s="88" t="n">
        <f aca="false">B9*C9</f>
        <v>61100000</v>
      </c>
      <c r="E9" s="89" t="n">
        <v>10</v>
      </c>
      <c r="F9" s="86"/>
      <c r="G9" s="90" t="n">
        <v>7</v>
      </c>
      <c r="H9" s="2"/>
      <c r="I9" s="2"/>
    </row>
    <row r="10" customFormat="false" ht="16.2" hidden="false" customHeight="false" outlineLevel="0" collapsed="false">
      <c r="A10" s="91" t="s">
        <v>79</v>
      </c>
      <c r="B10" s="92" t="n">
        <v>4000000</v>
      </c>
      <c r="C10" s="92" t="n">
        <v>4</v>
      </c>
      <c r="D10" s="93" t="n">
        <f aca="false">B10*C10</f>
        <v>16000000</v>
      </c>
      <c r="E10" s="94" t="n">
        <v>5</v>
      </c>
      <c r="F10" s="86"/>
      <c r="G10" s="95" t="n">
        <v>7</v>
      </c>
      <c r="H10" s="2"/>
      <c r="I10" s="2"/>
    </row>
    <row r="11" customFormat="false" ht="16.2" hidden="false" customHeight="false" outlineLevel="0" collapsed="false">
      <c r="A11" s="2"/>
      <c r="B11" s="96"/>
      <c r="C11" s="96"/>
      <c r="D11" s="97" t="n">
        <f aca="false">SUM(D12)</f>
        <v>22640000</v>
      </c>
      <c r="E11" s="98"/>
      <c r="F11" s="99" t="n">
        <f aca="false">F8+1</f>
        <v>2028</v>
      </c>
      <c r="G11" s="2"/>
      <c r="H11" s="2"/>
      <c r="I11" s="73" t="s">
        <v>80</v>
      </c>
    </row>
    <row r="12" customFormat="false" ht="16.2" hidden="false" customHeight="false" outlineLevel="0" collapsed="false">
      <c r="A12" s="78" t="s">
        <v>77</v>
      </c>
      <c r="B12" s="79" t="n">
        <v>5660000</v>
      </c>
      <c r="C12" s="79" t="n">
        <v>4</v>
      </c>
      <c r="D12" s="80" t="n">
        <f aca="false">B12*C12</f>
        <v>22640000</v>
      </c>
      <c r="E12" s="81" t="n">
        <v>9</v>
      </c>
      <c r="F12" s="99"/>
      <c r="G12" s="82" t="n">
        <v>5</v>
      </c>
      <c r="H12" s="2"/>
      <c r="I12" s="73" t="s">
        <v>81</v>
      </c>
    </row>
    <row r="13" customFormat="false" ht="16.2" hidden="false" customHeight="false" outlineLevel="0" collapsed="false">
      <c r="A13" s="83"/>
      <c r="B13" s="100"/>
      <c r="C13" s="100"/>
      <c r="D13" s="101" t="n">
        <f aca="false">SUM(D14)</f>
        <v>35220000</v>
      </c>
      <c r="E13" s="102"/>
      <c r="F13" s="86" t="n">
        <f aca="false">F11+1</f>
        <v>2029</v>
      </c>
      <c r="G13" s="83"/>
      <c r="H13" s="2"/>
      <c r="I13" s="2"/>
    </row>
    <row r="14" customFormat="false" ht="16.2" hidden="false" customHeight="false" outlineLevel="0" collapsed="false">
      <c r="A14" s="91" t="s">
        <v>77</v>
      </c>
      <c r="B14" s="92" t="n">
        <v>5870000</v>
      </c>
      <c r="C14" s="92" t="n">
        <v>6</v>
      </c>
      <c r="D14" s="93" t="n">
        <f aca="false">B14*C14</f>
        <v>35220000</v>
      </c>
      <c r="E14" s="94" t="n">
        <v>4</v>
      </c>
      <c r="F14" s="86"/>
      <c r="G14" s="95" t="n">
        <v>8</v>
      </c>
      <c r="H14" s="2"/>
      <c r="I14" s="2"/>
    </row>
    <row r="15" customFormat="false" ht="16.2" hidden="false" customHeight="false" outlineLevel="0" collapsed="false">
      <c r="A15" s="2"/>
      <c r="B15" s="96"/>
      <c r="C15" s="96"/>
      <c r="D15" s="97" t="n">
        <f aca="false">SUM(D16:D17)</f>
        <v>32460000</v>
      </c>
      <c r="E15" s="98"/>
      <c r="F15" s="103" t="n">
        <f aca="false">F13+1</f>
        <v>2030</v>
      </c>
      <c r="G15" s="2"/>
      <c r="H15" s="2"/>
      <c r="I15" s="2"/>
    </row>
    <row r="16" customFormat="false" ht="16.2" hidden="false" customHeight="false" outlineLevel="0" collapsed="false">
      <c r="A16" s="104" t="s">
        <v>82</v>
      </c>
      <c r="B16" s="105" t="n">
        <v>8115000</v>
      </c>
      <c r="C16" s="105" t="n">
        <v>4</v>
      </c>
      <c r="D16" s="106" t="n">
        <f aca="false">B16*C16</f>
        <v>32460000</v>
      </c>
      <c r="E16" s="107" t="n">
        <v>1</v>
      </c>
      <c r="F16" s="103"/>
      <c r="G16" s="108" t="n">
        <v>6</v>
      </c>
      <c r="H16" s="2"/>
      <c r="I16" s="2"/>
    </row>
    <row r="17" customFormat="false" ht="16.2" hidden="false" customHeight="false" outlineLevel="0" collapsed="false">
      <c r="A17" s="2"/>
      <c r="B17" s="109"/>
      <c r="C17" s="96"/>
      <c r="D17" s="96"/>
      <c r="E17" s="98"/>
      <c r="F17" s="98"/>
      <c r="G17" s="2"/>
      <c r="H17" s="2"/>
      <c r="I17" s="2"/>
    </row>
    <row r="18" customFormat="false" ht="16.2" hidden="false" customHeight="false" outlineLevel="0" collapsed="false">
      <c r="A18" s="110"/>
      <c r="B18" s="110"/>
      <c r="C18" s="110"/>
      <c r="D18" s="111"/>
      <c r="E18" s="98"/>
      <c r="F18" s="98"/>
      <c r="G18" s="2"/>
      <c r="H18" s="2"/>
      <c r="I18" s="2"/>
    </row>
    <row r="19" customFormat="false" ht="16.2" hidden="false" customHeight="false" outlineLevel="0" collapsed="false">
      <c r="A19" s="2"/>
      <c r="B19" s="109"/>
      <c r="C19" s="96"/>
      <c r="D19" s="109"/>
      <c r="E19" s="98"/>
      <c r="F19" s="98"/>
      <c r="G19" s="2"/>
      <c r="H19" s="2"/>
      <c r="I19" s="2"/>
    </row>
    <row r="20" customFormat="false" ht="16.2" hidden="false" customHeight="false" outlineLevel="0" collapsed="false">
      <c r="A20" s="2"/>
      <c r="B20" s="112"/>
      <c r="C20" s="96"/>
      <c r="D20" s="109"/>
      <c r="E20" s="98"/>
      <c r="F20" s="98"/>
      <c r="G20" s="2"/>
      <c r="H20" s="2"/>
      <c r="I20" s="2"/>
    </row>
    <row r="21" customFormat="false" ht="16.2" hidden="false" customHeight="false" outlineLevel="0" collapsed="false">
      <c r="A21" s="2"/>
      <c r="B21" s="109"/>
      <c r="C21" s="96"/>
      <c r="D21" s="109"/>
      <c r="E21" s="98"/>
      <c r="F21" s="98"/>
      <c r="G21" s="2"/>
      <c r="H21" s="2"/>
      <c r="I21" s="2"/>
    </row>
    <row r="22" customFormat="false" ht="16.2" hidden="false" customHeight="false" outlineLevel="0" collapsed="false">
      <c r="A22" s="2"/>
      <c r="B22" s="109"/>
      <c r="C22" s="96"/>
      <c r="D22" s="109"/>
      <c r="E22" s="98"/>
      <c r="F22" s="98"/>
      <c r="G22" s="2"/>
      <c r="H22" s="2"/>
      <c r="I22" s="2"/>
    </row>
    <row r="23" customFormat="false" ht="16.2" hidden="false" customHeight="false" outlineLevel="0" collapsed="false">
      <c r="A23" s="2"/>
      <c r="B23" s="109"/>
      <c r="C23" s="96"/>
      <c r="D23" s="109"/>
      <c r="E23" s="98"/>
      <c r="F23" s="98"/>
      <c r="G23" s="2"/>
      <c r="H23" s="2"/>
      <c r="I23" s="2"/>
    </row>
    <row r="24" customFormat="false" ht="16.2" hidden="false" customHeight="false" outlineLevel="0" collapsed="false">
      <c r="A24" s="2"/>
      <c r="B24" s="109"/>
      <c r="C24" s="96"/>
      <c r="D24" s="109"/>
      <c r="E24" s="2"/>
      <c r="F24" s="2"/>
      <c r="G24" s="2"/>
      <c r="H24" s="2"/>
      <c r="I24" s="2"/>
    </row>
    <row r="25" customFormat="false" ht="16.2" hidden="false" customHeight="false" outlineLevel="0" collapsed="false">
      <c r="A25" s="2"/>
      <c r="B25" s="109"/>
      <c r="C25" s="96"/>
      <c r="D25" s="109"/>
      <c r="E25" s="2"/>
      <c r="F25" s="2"/>
      <c r="G25" s="2"/>
      <c r="H25" s="2"/>
      <c r="I25" s="2"/>
    </row>
    <row r="26" customFormat="false" ht="16.2" hidden="false" customHeight="false" outlineLevel="0" collapsed="false">
      <c r="A26" s="2"/>
      <c r="B26" s="109"/>
      <c r="C26" s="96"/>
      <c r="D26" s="109"/>
      <c r="E26" s="2"/>
      <c r="F26" s="2"/>
      <c r="G26" s="2"/>
      <c r="H26" s="2"/>
      <c r="I26" s="2"/>
    </row>
    <row r="27" customFormat="false" ht="16.2" hidden="false" customHeight="false" outlineLevel="0" collapsed="false">
      <c r="A27" s="2"/>
      <c r="B27" s="109"/>
      <c r="C27" s="96"/>
      <c r="D27" s="109"/>
      <c r="E27" s="2"/>
      <c r="F27" s="2"/>
      <c r="G27" s="2"/>
      <c r="H27" s="2"/>
      <c r="I27" s="2"/>
    </row>
    <row r="28" customFormat="false" ht="16.2" hidden="false" customHeight="false" outlineLevel="0" collapsed="false">
      <c r="A28" s="2"/>
      <c r="B28" s="109"/>
      <c r="C28" s="96"/>
      <c r="D28" s="109"/>
      <c r="E28" s="2"/>
      <c r="F28" s="2"/>
      <c r="G28" s="2"/>
      <c r="H28" s="2"/>
      <c r="I28" s="2"/>
    </row>
    <row r="29" customFormat="false" ht="16.2" hidden="false" customHeight="false" outlineLevel="0" collapsed="false">
      <c r="A29" s="2"/>
      <c r="B29" s="109"/>
      <c r="C29" s="96"/>
      <c r="D29" s="109"/>
      <c r="E29" s="2"/>
      <c r="F29" s="2"/>
      <c r="G29" s="2"/>
      <c r="H29" s="2"/>
      <c r="I29" s="2"/>
    </row>
    <row r="30" customFormat="false" ht="16.2" hidden="false" customHeight="false" outlineLevel="0" collapsed="false">
      <c r="A30" s="2"/>
      <c r="B30" s="109"/>
      <c r="C30" s="96"/>
      <c r="D30" s="109"/>
      <c r="E30" s="2"/>
      <c r="F30" s="2"/>
      <c r="G30" s="2"/>
      <c r="H30" s="2"/>
      <c r="I30" s="2"/>
    </row>
    <row r="31" customFormat="false" ht="16.2" hidden="false" customHeight="false" outlineLevel="0" collapsed="false">
      <c r="A31" s="2"/>
      <c r="B31" s="109"/>
      <c r="C31" s="96"/>
      <c r="D31" s="109"/>
      <c r="E31" s="2"/>
      <c r="F31" s="2"/>
      <c r="G31" s="2"/>
      <c r="H31" s="2"/>
      <c r="I31" s="2"/>
    </row>
    <row r="32" customFormat="false" ht="16.2" hidden="false" customHeight="false" outlineLevel="0" collapsed="false">
      <c r="A32" s="2"/>
      <c r="B32" s="109"/>
      <c r="C32" s="96"/>
      <c r="D32" s="109"/>
      <c r="E32" s="2"/>
      <c r="F32" s="2"/>
      <c r="G32" s="2"/>
      <c r="H32" s="2"/>
      <c r="I32" s="2"/>
    </row>
    <row r="33" customFormat="false" ht="16.2" hidden="false" customHeight="false" outlineLevel="0" collapsed="false">
      <c r="A33" s="2"/>
      <c r="B33" s="109"/>
      <c r="C33" s="96"/>
      <c r="D33" s="109"/>
      <c r="E33" s="2"/>
      <c r="F33" s="2"/>
      <c r="G33" s="2"/>
      <c r="H33" s="2"/>
      <c r="I33" s="2"/>
    </row>
    <row r="34" customFormat="false" ht="16.2" hidden="false" customHeight="false" outlineLevel="0" collapsed="false">
      <c r="A34" s="2"/>
      <c r="B34" s="109"/>
      <c r="C34" s="96"/>
      <c r="D34" s="109"/>
      <c r="E34" s="2"/>
      <c r="F34" s="2"/>
      <c r="G34" s="2"/>
      <c r="H34" s="2"/>
      <c r="I34" s="2"/>
    </row>
    <row r="35" customFormat="false" ht="16.2" hidden="false" customHeight="false" outlineLevel="0" collapsed="false">
      <c r="A35" s="2"/>
      <c r="B35" s="109"/>
      <c r="C35" s="96"/>
      <c r="D35" s="109"/>
      <c r="E35" s="2"/>
      <c r="F35" s="2"/>
      <c r="G35" s="2"/>
      <c r="H35" s="2"/>
      <c r="I35" s="2"/>
    </row>
    <row r="36" customFormat="false" ht="16.2" hidden="false" customHeight="false" outlineLevel="0" collapsed="false">
      <c r="A36" s="2"/>
      <c r="B36" s="109"/>
      <c r="C36" s="96"/>
      <c r="D36" s="109"/>
      <c r="E36" s="2"/>
      <c r="F36" s="2"/>
      <c r="G36" s="2"/>
      <c r="H36" s="2"/>
      <c r="I36" s="2"/>
    </row>
    <row r="37" customFormat="false" ht="16.2" hidden="false" customHeight="false" outlineLevel="0" collapsed="false">
      <c r="A37" s="2"/>
      <c r="B37" s="109"/>
      <c r="C37" s="109"/>
      <c r="D37" s="109"/>
      <c r="E37" s="2"/>
      <c r="F37" s="2"/>
      <c r="G37" s="2"/>
      <c r="H37" s="2"/>
      <c r="I37" s="2"/>
    </row>
    <row r="38" customFormat="false" ht="16.2" hidden="false" customHeight="false" outlineLevel="0" collapsed="false">
      <c r="A38" s="2"/>
      <c r="B38" s="109"/>
      <c r="C38" s="109"/>
      <c r="D38" s="109"/>
      <c r="E38" s="2"/>
      <c r="F38" s="2"/>
      <c r="G38" s="2"/>
      <c r="H38" s="2"/>
      <c r="I38" s="2"/>
    </row>
    <row r="39" customFormat="false" ht="16.2" hidden="false" customHeight="false" outlineLevel="0" collapsed="false">
      <c r="A39" s="2"/>
      <c r="B39" s="109"/>
      <c r="C39" s="109"/>
      <c r="D39" s="109"/>
      <c r="E39" s="2"/>
      <c r="F39" s="2"/>
      <c r="G39" s="2"/>
      <c r="H39" s="2"/>
      <c r="I39" s="2"/>
    </row>
    <row r="40" customFormat="false" ht="16.2" hidden="false" customHeight="false" outlineLevel="0" collapsed="false">
      <c r="A40" s="2"/>
      <c r="B40" s="109"/>
      <c r="C40" s="109"/>
      <c r="D40" s="109"/>
      <c r="E40" s="2"/>
      <c r="F40" s="2"/>
      <c r="G40" s="2"/>
      <c r="H40" s="2"/>
      <c r="I40" s="2"/>
    </row>
    <row r="41" customFormat="false" ht="16.2" hidden="false" customHeight="false" outlineLevel="0" collapsed="false">
      <c r="A41" s="2"/>
      <c r="B41" s="109"/>
      <c r="C41" s="109"/>
      <c r="D41" s="109"/>
      <c r="E41" s="2"/>
      <c r="F41" s="2"/>
      <c r="G41" s="2"/>
      <c r="H41" s="2"/>
      <c r="I41" s="2"/>
    </row>
    <row r="42" customFormat="false" ht="16.2" hidden="false" customHeight="false" outlineLevel="0" collapsed="false">
      <c r="A42" s="2"/>
      <c r="B42" s="109"/>
      <c r="C42" s="109"/>
      <c r="D42" s="109"/>
      <c r="E42" s="2"/>
      <c r="F42" s="2"/>
      <c r="G42" s="2"/>
      <c r="H42" s="2"/>
      <c r="I42" s="2"/>
    </row>
    <row r="43" customFormat="false" ht="16.2" hidden="false" customHeight="false" outlineLevel="0" collapsed="false">
      <c r="A43" s="2"/>
      <c r="B43" s="109"/>
      <c r="C43" s="109"/>
      <c r="D43" s="109"/>
      <c r="E43" s="2"/>
      <c r="F43" s="2"/>
      <c r="G43" s="2"/>
      <c r="H43" s="2"/>
      <c r="I43" s="2"/>
    </row>
    <row r="44" customFormat="false" ht="16.2" hidden="false" customHeight="false" outlineLevel="0" collapsed="false">
      <c r="A44" s="2"/>
      <c r="B44" s="109"/>
      <c r="C44" s="109"/>
      <c r="D44" s="109"/>
      <c r="E44" s="2"/>
      <c r="F44" s="2"/>
      <c r="G44" s="2"/>
      <c r="H44" s="2"/>
      <c r="I44" s="2"/>
    </row>
    <row r="45" customFormat="false" ht="16.2" hidden="false" customHeight="false" outlineLevel="0" collapsed="false">
      <c r="A45" s="2"/>
      <c r="B45" s="109"/>
      <c r="C45" s="109"/>
      <c r="D45" s="109"/>
      <c r="E45" s="2"/>
      <c r="F45" s="2"/>
      <c r="G45" s="2"/>
      <c r="H45" s="2"/>
      <c r="I45" s="2"/>
    </row>
  </sheetData>
  <mergeCells count="6">
    <mergeCell ref="F4:F7"/>
    <mergeCell ref="F8:F10"/>
    <mergeCell ref="F11:F12"/>
    <mergeCell ref="F13:F14"/>
    <mergeCell ref="F15:F16"/>
    <mergeCell ref="A18:C1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P27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2" topLeftCell="B139" activePane="bottomRight" state="frozen"/>
      <selection pane="topLeft" activeCell="A1" activeCellId="0" sqref="A1"/>
      <selection pane="topRight" activeCell="B1" activeCellId="0" sqref="B1"/>
      <selection pane="bottomLeft" activeCell="A139" activeCellId="0" sqref="A139"/>
      <selection pane="bottomRight" activeCell="O84" activeCellId="0" sqref="O84"/>
    </sheetView>
  </sheetViews>
  <sheetFormatPr defaultColWidth="11.19921875" defaultRowHeight="15.6" zeroHeight="false" outlineLevelRow="0" outlineLevelCol="0"/>
  <cols>
    <col collapsed="false" customWidth="true" hidden="false" outlineLevel="0" max="1" min="1" style="2" width="58.1"/>
    <col collapsed="false" customWidth="true" hidden="false" outlineLevel="0" max="4" min="2" style="2" width="18"/>
    <col collapsed="false" customWidth="true" hidden="true" outlineLevel="0" max="5" min="5" style="113" width="16"/>
    <col collapsed="false" customWidth="true" hidden="true" outlineLevel="0" max="13" min="6" style="2" width="16"/>
    <col collapsed="false" customWidth="true" hidden="true" outlineLevel="0" max="14" min="14" style="2" width="10.4"/>
    <col collapsed="false" customWidth="true" hidden="false" outlineLevel="0" max="26" min="15" style="2" width="11.5"/>
    <col collapsed="false" customWidth="false" hidden="false" outlineLevel="0" max="16384" min="27" style="2" width="11.2"/>
  </cols>
  <sheetData>
    <row r="1" customFormat="false" ht="15.6" hidden="false" customHeight="false" outlineLevel="0" collapsed="false">
      <c r="A1" s="114" t="s">
        <v>32</v>
      </c>
      <c r="B1" s="115"/>
      <c r="C1" s="116"/>
      <c r="D1" s="117" t="s">
        <v>83</v>
      </c>
      <c r="E1" s="118"/>
      <c r="F1" s="119"/>
      <c r="G1" s="119"/>
      <c r="H1" s="119"/>
      <c r="I1" s="119"/>
      <c r="J1" s="119"/>
      <c r="K1" s="119"/>
      <c r="L1" s="119"/>
      <c r="M1" s="119"/>
    </row>
    <row r="2" s="128" customFormat="true" ht="15.6" hidden="false" customHeight="false" outlineLevel="0" collapsed="false">
      <c r="A2" s="120"/>
      <c r="B2" s="121" t="n">
        <f aca="false">'Hướng dẫn'!J6-3</f>
        <v>2023</v>
      </c>
      <c r="C2" s="121" t="n">
        <f aca="false">B2+1</f>
        <v>2024</v>
      </c>
      <c r="D2" s="122" t="n">
        <f aca="false">C2+1</f>
        <v>2025</v>
      </c>
      <c r="E2" s="123" t="n">
        <f aca="false">D2+1</f>
        <v>2026</v>
      </c>
      <c r="F2" s="124" t="n">
        <f aca="false">E2+1</f>
        <v>2027</v>
      </c>
      <c r="G2" s="124" t="n">
        <f aca="false">F2+1</f>
        <v>2028</v>
      </c>
      <c r="H2" s="124" t="n">
        <f aca="false">G2+1</f>
        <v>2029</v>
      </c>
      <c r="I2" s="124" t="n">
        <f aca="false">H2+1</f>
        <v>2030</v>
      </c>
      <c r="J2" s="125" t="s">
        <v>84</v>
      </c>
      <c r="K2" s="126"/>
      <c r="L2" s="126"/>
      <c r="M2" s="126"/>
      <c r="N2" s="127"/>
      <c r="O2" s="2"/>
      <c r="P2" s="2"/>
    </row>
    <row r="3" s="128" customFormat="true" ht="15.6" hidden="false" customHeight="false" outlineLevel="0" collapsed="false">
      <c r="A3" s="129" t="s">
        <v>85</v>
      </c>
      <c r="B3" s="113"/>
      <c r="C3" s="113"/>
      <c r="D3" s="130"/>
      <c r="E3" s="113"/>
      <c r="F3" s="131"/>
      <c r="G3" s="131"/>
      <c r="H3" s="131"/>
      <c r="I3" s="131"/>
      <c r="J3" s="131"/>
      <c r="K3" s="131"/>
      <c r="L3" s="131"/>
      <c r="M3" s="131"/>
      <c r="N3" s="131"/>
      <c r="O3" s="2"/>
      <c r="P3" s="2"/>
    </row>
    <row r="4" s="128" customFormat="true" ht="15.6" hidden="false" customHeight="false" outlineLevel="0" collapsed="false">
      <c r="A4" s="132" t="s">
        <v>86</v>
      </c>
      <c r="B4" s="133" t="n">
        <v>15055000</v>
      </c>
      <c r="C4" s="133" t="n">
        <v>24088000</v>
      </c>
      <c r="D4" s="134" t="n">
        <v>38059040</v>
      </c>
      <c r="E4" s="135" t="n">
        <f aca="false">Drivers!F14</f>
        <v>51242691.456</v>
      </c>
      <c r="F4" s="136" t="n">
        <f aca="false">Drivers!G14</f>
        <v>65334431.6064</v>
      </c>
      <c r="G4" s="136" t="n">
        <f aca="false">Drivers!H14</f>
        <v>79969344.2862336</v>
      </c>
      <c r="H4" s="136" t="n">
        <f aca="false">Drivers!I14</f>
        <v>110117787.082144</v>
      </c>
      <c r="I4" s="136" t="n">
        <f aca="false">Drivers!J14</f>
        <v>140400178.529733</v>
      </c>
      <c r="J4" s="137"/>
      <c r="K4" s="137"/>
      <c r="L4" s="137"/>
      <c r="M4" s="137"/>
      <c r="N4" s="138"/>
      <c r="O4" s="2"/>
      <c r="P4" s="2"/>
    </row>
    <row r="5" s="128" customFormat="true" ht="15.6" hidden="false" customHeight="false" outlineLevel="0" collapsed="false">
      <c r="A5" s="132" t="s">
        <v>87</v>
      </c>
      <c r="B5" s="133" t="n">
        <v>3020000</v>
      </c>
      <c r="C5" s="133" t="n">
        <v>4228000</v>
      </c>
      <c r="D5" s="134" t="n">
        <v>5898060</v>
      </c>
      <c r="E5" s="135" t="n">
        <f aca="false">Drivers!F21</f>
        <v>7339545.864</v>
      </c>
      <c r="F5" s="136" t="n">
        <f aca="false">Drivers!G21</f>
        <v>8983604.137536</v>
      </c>
      <c r="G5" s="136" t="n">
        <f aca="false">Drivers!H21</f>
        <v>10629400.4155326</v>
      </c>
      <c r="H5" s="136" t="n">
        <f aca="false">Drivers!I21</f>
        <v>13877745.1825194</v>
      </c>
      <c r="I5" s="136" t="n">
        <f aca="false">Drivers!J21</f>
        <v>16986360.1034037</v>
      </c>
      <c r="J5" s="137"/>
      <c r="K5" s="137"/>
      <c r="L5" s="137"/>
      <c r="M5" s="137"/>
      <c r="N5" s="138"/>
      <c r="O5" s="2"/>
      <c r="P5" s="2"/>
    </row>
    <row r="6" s="128" customFormat="true" ht="15.6" hidden="false" customHeight="false" outlineLevel="0" collapsed="false">
      <c r="A6" s="132" t="s">
        <v>88</v>
      </c>
      <c r="B6" s="133" t="n">
        <v>1520000</v>
      </c>
      <c r="C6" s="133" t="n">
        <v>2280000</v>
      </c>
      <c r="D6" s="134" t="n">
        <v>2736000</v>
      </c>
      <c r="E6" s="135" t="n">
        <f aca="false">Drivers!F28</f>
        <v>3610152</v>
      </c>
      <c r="F6" s="136" t="n">
        <f aca="false">Drivers!G28</f>
        <v>4763595.564</v>
      </c>
      <c r="G6" s="136" t="n">
        <f aca="false">Drivers!H28</f>
        <v>6188863.3567488</v>
      </c>
      <c r="H6" s="136" t="n">
        <f aca="false">Drivers!I28</f>
        <v>8794374.82994004</v>
      </c>
      <c r="I6" s="136" t="n">
        <f aca="false">Drivers!J28</f>
        <v>11782703.3971537</v>
      </c>
      <c r="J6" s="137"/>
      <c r="K6" s="137"/>
      <c r="L6" s="137"/>
      <c r="M6" s="137"/>
      <c r="N6" s="138"/>
      <c r="O6" s="2"/>
      <c r="P6" s="2"/>
    </row>
    <row r="7" s="128" customFormat="true" ht="15.6" hidden="false" customHeight="false" outlineLevel="0" collapsed="false">
      <c r="A7" s="132" t="s">
        <v>89</v>
      </c>
      <c r="B7" s="133" t="n">
        <v>0</v>
      </c>
      <c r="C7" s="133" t="n">
        <v>566000</v>
      </c>
      <c r="D7" s="134" t="n">
        <v>1188600</v>
      </c>
      <c r="E7" s="135" t="n">
        <f aca="false">Drivers!F35</f>
        <v>1930286.4</v>
      </c>
      <c r="F7" s="136" t="n">
        <f aca="false">Drivers!G35</f>
        <v>2938861.044</v>
      </c>
      <c r="G7" s="136" t="n">
        <f aca="false">Drivers!H35</f>
        <v>4325268.741507</v>
      </c>
      <c r="H7" s="136" t="n">
        <f aca="false">Drivers!I35</f>
        <v>7463251.21347033</v>
      </c>
      <c r="I7" s="136" t="n">
        <f aca="false">Drivers!J35</f>
        <v>10984039.973425</v>
      </c>
      <c r="J7" s="137"/>
      <c r="K7" s="137"/>
      <c r="L7" s="137"/>
      <c r="M7" s="137"/>
      <c r="N7" s="138"/>
      <c r="O7" s="2"/>
      <c r="P7" s="2"/>
    </row>
    <row r="8" s="128" customFormat="true" ht="15.6" hidden="false" customHeight="false" outlineLevel="0" collapsed="false">
      <c r="A8" s="139"/>
      <c r="B8" s="140"/>
      <c r="C8" s="140"/>
      <c r="D8" s="141"/>
      <c r="E8" s="140"/>
      <c r="F8" s="137"/>
      <c r="G8" s="137"/>
      <c r="H8" s="137"/>
      <c r="I8" s="137"/>
      <c r="J8" s="137"/>
      <c r="K8" s="137"/>
      <c r="L8" s="137"/>
      <c r="M8" s="137"/>
      <c r="N8" s="138"/>
      <c r="O8" s="2"/>
      <c r="P8" s="2"/>
    </row>
    <row r="9" s="128" customFormat="true" ht="15.6" hidden="false" customHeight="false" outlineLevel="0" collapsed="false">
      <c r="A9" s="139" t="s">
        <v>90</v>
      </c>
      <c r="B9" s="133" t="n">
        <v>-156760</v>
      </c>
      <c r="C9" s="133" t="n">
        <v>-233715</v>
      </c>
      <c r="D9" s="134" t="n">
        <v>-335171.9</v>
      </c>
      <c r="E9" s="135" t="n">
        <f aca="false">-SUM(E4:E7)*Drivers!F38</f>
        <v>-448858.73004</v>
      </c>
      <c r="F9" s="136" t="n">
        <f aca="false">-SUM(F4:F7)*Drivers!G38</f>
        <v>-574143.446463552</v>
      </c>
      <c r="G9" s="136" t="n">
        <f aca="false">-SUM(G4:G7)*Drivers!H38</f>
        <v>-707790.137600154</v>
      </c>
      <c r="H9" s="136" t="n">
        <f aca="false">-SUM(H4:H7)*Drivers!I38</f>
        <v>-981772.108156514</v>
      </c>
      <c r="I9" s="136" t="n">
        <f aca="false">-SUM(I4:I7)*Drivers!J38</f>
        <v>-1261072.97402601</v>
      </c>
      <c r="J9" s="137"/>
      <c r="K9" s="137"/>
      <c r="L9" s="137"/>
      <c r="M9" s="137"/>
      <c r="N9" s="138"/>
      <c r="O9" s="2"/>
      <c r="P9" s="2"/>
    </row>
    <row r="10" s="128" customFormat="true" ht="15.6" hidden="false" customHeight="false" outlineLevel="0" collapsed="false">
      <c r="A10" s="142"/>
      <c r="B10" s="143"/>
      <c r="C10" s="143"/>
      <c r="D10" s="144"/>
      <c r="E10" s="143"/>
      <c r="F10" s="145"/>
      <c r="G10" s="145"/>
      <c r="H10" s="145"/>
      <c r="I10" s="145"/>
      <c r="J10" s="145"/>
      <c r="K10" s="145"/>
      <c r="L10" s="145"/>
      <c r="M10" s="145"/>
      <c r="N10" s="138"/>
      <c r="O10" s="2"/>
      <c r="P10" s="2"/>
    </row>
    <row r="11" s="128" customFormat="true" ht="15.6" hidden="false" customHeight="false" outlineLevel="0" collapsed="false">
      <c r="A11" s="146" t="s">
        <v>91</v>
      </c>
      <c r="B11" s="147" t="n">
        <v>19438240</v>
      </c>
      <c r="C11" s="147" t="n">
        <v>30928285</v>
      </c>
      <c r="D11" s="148" t="n">
        <v>47546528.1</v>
      </c>
      <c r="E11" s="149" t="n">
        <f aca="false">SUM(E4:E10)</f>
        <v>63673816.98996</v>
      </c>
      <c r="F11" s="150" t="n">
        <f aca="false">SUM(F4:F10)</f>
        <v>81446348.9054724</v>
      </c>
      <c r="G11" s="150" t="n">
        <f aca="false">SUM(G4:G10)</f>
        <v>100405086.662422</v>
      </c>
      <c r="H11" s="150" t="n">
        <f aca="false">SUM(H4:H10)</f>
        <v>139271386.199917</v>
      </c>
      <c r="I11" s="150" t="n">
        <f aca="false">SUM(I4:I10)</f>
        <v>178892209.02969</v>
      </c>
      <c r="J11" s="151"/>
      <c r="K11" s="151"/>
      <c r="L11" s="151"/>
      <c r="M11" s="151"/>
      <c r="N11" s="131"/>
      <c r="O11" s="2"/>
      <c r="P11" s="152"/>
    </row>
    <row r="12" s="128" customFormat="true" ht="15.6" hidden="false" customHeight="false" outlineLevel="0" collapsed="false">
      <c r="A12" s="139"/>
      <c r="B12" s="143"/>
      <c r="C12" s="143"/>
      <c r="D12" s="144"/>
      <c r="E12" s="143"/>
      <c r="F12" s="145"/>
      <c r="G12" s="145"/>
      <c r="H12" s="145"/>
      <c r="I12" s="145"/>
      <c r="J12" s="145"/>
      <c r="K12" s="145"/>
      <c r="L12" s="145"/>
      <c r="M12" s="145"/>
      <c r="N12" s="131"/>
      <c r="O12" s="2"/>
      <c r="P12" s="2"/>
    </row>
    <row r="13" s="128" customFormat="true" ht="15.6" hidden="false" customHeight="false" outlineLevel="0" collapsed="false">
      <c r="A13" s="139" t="s">
        <v>92</v>
      </c>
      <c r="B13" s="143"/>
      <c r="C13" s="143"/>
      <c r="D13" s="144"/>
      <c r="E13" s="143"/>
      <c r="F13" s="145"/>
      <c r="G13" s="145"/>
      <c r="H13" s="145"/>
      <c r="I13" s="145"/>
      <c r="J13" s="145"/>
      <c r="K13" s="145"/>
      <c r="L13" s="145"/>
      <c r="M13" s="145"/>
      <c r="N13" s="138"/>
      <c r="O13" s="2"/>
      <c r="P13" s="2"/>
    </row>
    <row r="14" s="128" customFormat="true" ht="15.6" hidden="false" customHeight="false" outlineLevel="0" collapsed="false">
      <c r="A14" s="139" t="s">
        <v>93</v>
      </c>
      <c r="B14" s="133" t="n">
        <v>4956751.2</v>
      </c>
      <c r="C14" s="133" t="n">
        <v>7732071.25</v>
      </c>
      <c r="D14" s="134" t="n">
        <v>11648899.3845</v>
      </c>
      <c r="E14" s="135" t="n">
        <f aca="false">Drivers!F56</f>
        <v>15918454.24749</v>
      </c>
      <c r="F14" s="136" t="n">
        <f aca="false">Drivers!G56</f>
        <v>20361587.2263681</v>
      </c>
      <c r="G14" s="136" t="n">
        <f aca="false">Drivers!H56</f>
        <v>25603297.0989176</v>
      </c>
      <c r="H14" s="136" t="n">
        <f aca="false">Drivers!I56</f>
        <v>37603274.2739776</v>
      </c>
      <c r="I14" s="136" t="n">
        <f aca="false">Drivers!J56</f>
        <v>47406435.3928677</v>
      </c>
      <c r="J14" s="137"/>
      <c r="K14" s="137"/>
      <c r="L14" s="137"/>
      <c r="M14" s="137"/>
      <c r="N14" s="138"/>
      <c r="O14" s="2"/>
      <c r="P14" s="2"/>
    </row>
    <row r="15" s="128" customFormat="true" ht="15.6" hidden="false" customHeight="false" outlineLevel="0" collapsed="false">
      <c r="A15" s="142" t="s">
        <v>94</v>
      </c>
      <c r="B15" s="133" t="n">
        <v>1055000</v>
      </c>
      <c r="C15" s="133" t="n">
        <v>1160500</v>
      </c>
      <c r="D15" s="134" t="n">
        <v>1276550</v>
      </c>
      <c r="E15" s="135" t="n">
        <f aca="false">Drivers!F57</f>
        <v>1404205</v>
      </c>
      <c r="F15" s="135" t="n">
        <f aca="false">Drivers!G57</f>
        <v>1544625.5</v>
      </c>
      <c r="G15" s="135" t="n">
        <f aca="false">Drivers!H57</f>
        <v>1699088.05</v>
      </c>
      <c r="H15" s="135" t="n">
        <f aca="false">Drivers!I57</f>
        <v>2768996.855</v>
      </c>
      <c r="I15" s="135" t="n">
        <f aca="false">Drivers!J57</f>
        <v>3045896.5405</v>
      </c>
      <c r="J15" s="140"/>
      <c r="K15" s="140"/>
      <c r="L15" s="140"/>
      <c r="M15" s="140"/>
      <c r="N15" s="140"/>
      <c r="O15" s="2"/>
      <c r="P15" s="2"/>
    </row>
    <row r="16" s="157" customFormat="true" ht="15.6" hidden="false" customHeight="false" outlineLevel="0" collapsed="false">
      <c r="A16" s="153" t="s">
        <v>95</v>
      </c>
      <c r="B16" s="154" t="n">
        <f aca="false">Drivers!$C$167*B53</f>
        <v>4894400</v>
      </c>
      <c r="C16" s="154" t="n">
        <f aca="false">Drivers!$C$167*C53</f>
        <v>5383840</v>
      </c>
      <c r="D16" s="155" t="n">
        <f aca="false">Drivers!$C$167*D53</f>
        <v>7537376</v>
      </c>
      <c r="E16" s="149" t="n">
        <f aca="false">Drivers!$C$167*E53</f>
        <v>10028626.1759187</v>
      </c>
      <c r="F16" s="150" t="n">
        <f aca="false">Drivers!$C$167*F53</f>
        <v>12827799.9526119</v>
      </c>
      <c r="G16" s="150" t="n">
        <f aca="false">Drivers!$C$167*G53</f>
        <v>16165218.9526499</v>
      </c>
      <c r="H16" s="150" t="n">
        <f aca="false">Drivers!$C$167*H53</f>
        <v>22910143.0298863</v>
      </c>
      <c r="I16" s="150" t="n">
        <f aca="false">Drivers!$C$167*I53</f>
        <v>28801645.65378</v>
      </c>
      <c r="J16" s="151"/>
      <c r="K16" s="151"/>
      <c r="L16" s="151"/>
      <c r="M16" s="151"/>
      <c r="N16" s="156"/>
      <c r="O16" s="2"/>
      <c r="P16" s="2"/>
    </row>
    <row r="17" s="128" customFormat="true" ht="15.75" hidden="false" customHeight="true" outlineLevel="0" collapsed="false">
      <c r="A17" s="158" t="s">
        <v>96</v>
      </c>
      <c r="B17" s="159" t="n">
        <f aca="false">Drivers!$C$168*B69</f>
        <v>1288980</v>
      </c>
      <c r="C17" s="159" t="n">
        <f aca="false">Drivers!$C$168*C69</f>
        <v>2137752</v>
      </c>
      <c r="D17" s="160" t="n">
        <f aca="false">Drivers!$C$168*D69</f>
        <v>2818756.8</v>
      </c>
      <c r="E17" s="159" t="n">
        <f aca="false">Drivers!$C$168*E69</f>
        <v>3367884.96</v>
      </c>
      <c r="F17" s="161" t="n">
        <f aca="false">Drivers!$C$168*F69</f>
        <v>4743239.40698314</v>
      </c>
      <c r="G17" s="161" t="n">
        <f aca="false">Drivers!$C$168*G69</f>
        <v>6062670.25925179</v>
      </c>
      <c r="H17" s="161" t="n">
        <f aca="false">Drivers!$C$168*H69</f>
        <v>13111107.3429538</v>
      </c>
      <c r="I17" s="161" t="n">
        <f aca="false">Drivers!$C$168*I69</f>
        <v>14916064.5081047</v>
      </c>
      <c r="J17" s="145"/>
      <c r="K17" s="145"/>
      <c r="L17" s="145"/>
      <c r="M17" s="145"/>
      <c r="N17" s="138"/>
      <c r="O17" s="2"/>
      <c r="P17" s="2"/>
    </row>
    <row r="18" s="128" customFormat="true" ht="15.75" hidden="false" customHeight="true" outlineLevel="0" collapsed="false">
      <c r="A18" s="162" t="s">
        <v>97</v>
      </c>
      <c r="B18" s="163" t="n">
        <f aca="false">SUM(B14:B17)</f>
        <v>12195131.2</v>
      </c>
      <c r="C18" s="163" t="n">
        <f aca="false">SUM(C14:C17)</f>
        <v>16414163.25</v>
      </c>
      <c r="D18" s="164" t="n">
        <f aca="false">SUM(D14:D17)</f>
        <v>23281582.1845</v>
      </c>
      <c r="E18" s="165" t="n">
        <f aca="false">SUM(E14:E17)</f>
        <v>30719170.3834087</v>
      </c>
      <c r="F18" s="166" t="n">
        <f aca="false">SUM(F14:F17)</f>
        <v>39477252.0859632</v>
      </c>
      <c r="G18" s="166" t="n">
        <f aca="false">SUM(G14:G17)</f>
        <v>49530274.3608193</v>
      </c>
      <c r="H18" s="166" t="n">
        <f aca="false">SUM(H14:H17)</f>
        <v>76393521.5018177</v>
      </c>
      <c r="I18" s="166" t="n">
        <f aca="false">SUM(I14:I17)</f>
        <v>94170042.0952525</v>
      </c>
      <c r="J18" s="167"/>
      <c r="K18" s="167"/>
      <c r="L18" s="167"/>
      <c r="M18" s="167"/>
      <c r="N18" s="138"/>
      <c r="O18" s="2"/>
      <c r="P18" s="2"/>
    </row>
    <row r="19" s="128" customFormat="true" ht="15.6" hidden="false" customHeight="false" outlineLevel="0" collapsed="false">
      <c r="A19" s="168" t="s">
        <v>98</v>
      </c>
      <c r="B19" s="169" t="n">
        <f aca="false">B11-B18</f>
        <v>7243108.8</v>
      </c>
      <c r="C19" s="169" t="n">
        <f aca="false">C11-C18</f>
        <v>14514121.75</v>
      </c>
      <c r="D19" s="170" t="n">
        <f aca="false">D11-D18</f>
        <v>24264945.9155</v>
      </c>
      <c r="E19" s="169" t="n">
        <f aca="false">E11-E18</f>
        <v>32954646.6065513</v>
      </c>
      <c r="F19" s="171" t="n">
        <f aca="false">F11-F18</f>
        <v>41969096.8195093</v>
      </c>
      <c r="G19" s="171" t="n">
        <f aca="false">G11-G18</f>
        <v>50874812.3016026</v>
      </c>
      <c r="H19" s="171" t="n">
        <f aca="false">H11-H18</f>
        <v>62877864.6980992</v>
      </c>
      <c r="I19" s="171" t="n">
        <f aca="false">I11-I18</f>
        <v>84722166.9344371</v>
      </c>
      <c r="J19" s="172"/>
      <c r="K19" s="172"/>
      <c r="L19" s="172"/>
      <c r="M19" s="172"/>
      <c r="N19" s="138"/>
      <c r="O19" s="2"/>
      <c r="P19" s="2"/>
    </row>
    <row r="20" s="128" customFormat="true" ht="15.6" hidden="false" customHeight="false" outlineLevel="0" collapsed="false">
      <c r="A20" s="173" t="s">
        <v>99</v>
      </c>
      <c r="B20" s="174" t="n">
        <f aca="false">B19/B11</f>
        <v>0.372621636526764</v>
      </c>
      <c r="C20" s="174" t="n">
        <f aca="false">C19/C11</f>
        <v>0.469283109296232</v>
      </c>
      <c r="D20" s="175" t="n">
        <f aca="false">D19/D11</f>
        <v>0.510341067689861</v>
      </c>
      <c r="E20" s="174" t="n">
        <f aca="false">E19/E11</f>
        <v>0.517554124511611</v>
      </c>
      <c r="F20" s="176" t="n">
        <f aca="false">F19/F11</f>
        <v>0.515297461255373</v>
      </c>
      <c r="G20" s="176" t="n">
        <f aca="false">G19/G11</f>
        <v>0.506695566855611</v>
      </c>
      <c r="H20" s="176" t="n">
        <f aca="false">H19/H11</f>
        <v>0.451477266176135</v>
      </c>
      <c r="I20" s="176" t="n">
        <f aca="false">I19/I11</f>
        <v>0.473593385614554</v>
      </c>
      <c r="J20" s="145"/>
      <c r="K20" s="145"/>
      <c r="L20" s="145"/>
      <c r="M20" s="145"/>
      <c r="N20" s="138"/>
      <c r="O20" s="2"/>
      <c r="P20" s="2"/>
    </row>
    <row r="21" s="128" customFormat="true" ht="15.6" hidden="false" customHeight="false" outlineLevel="0" collapsed="false">
      <c r="A21" s="129" t="s">
        <v>100</v>
      </c>
      <c r="B21" s="143"/>
      <c r="C21" s="143"/>
      <c r="D21" s="144"/>
      <c r="E21" s="143"/>
      <c r="F21" s="145"/>
      <c r="G21" s="145"/>
      <c r="H21" s="145"/>
      <c r="I21" s="145"/>
      <c r="J21" s="145"/>
      <c r="K21" s="145"/>
      <c r="L21" s="145"/>
      <c r="M21" s="145"/>
      <c r="N21" s="138"/>
      <c r="O21" s="2"/>
      <c r="P21" s="2"/>
    </row>
    <row r="22" s="128" customFormat="true" ht="15.6" hidden="false" customHeight="false" outlineLevel="0" collapsed="false">
      <c r="A22" s="142" t="s">
        <v>101</v>
      </c>
      <c r="B22" s="177"/>
      <c r="C22" s="177"/>
      <c r="D22" s="178"/>
      <c r="E22" s="177"/>
      <c r="F22" s="179"/>
      <c r="G22" s="179"/>
      <c r="H22" s="179"/>
      <c r="I22" s="179"/>
      <c r="J22" s="179"/>
      <c r="K22" s="179"/>
      <c r="L22" s="179"/>
      <c r="M22" s="179"/>
      <c r="N22" s="138"/>
      <c r="O22" s="2"/>
      <c r="P22" s="2"/>
    </row>
    <row r="23" s="128" customFormat="true" ht="15.6" hidden="false" customHeight="false" outlineLevel="0" collapsed="false">
      <c r="A23" s="173" t="s">
        <v>102</v>
      </c>
      <c r="B23" s="135" t="n">
        <f aca="false">(1-Drivers!$C$167)*B53</f>
        <v>2097600</v>
      </c>
      <c r="C23" s="135" t="n">
        <f aca="false">(1-Drivers!$C$167)*C53</f>
        <v>2307360</v>
      </c>
      <c r="D23" s="180" t="n">
        <f aca="false">(1-Drivers!$C$167)*D53</f>
        <v>3230304</v>
      </c>
      <c r="E23" s="135" t="n">
        <f aca="false">(1-Drivers!$C$167)*E53</f>
        <v>4297982.6468223</v>
      </c>
      <c r="F23" s="136" t="n">
        <f aca="false">(1-Drivers!$C$167)*F53</f>
        <v>5497628.55111939</v>
      </c>
      <c r="G23" s="136" t="n">
        <f aca="false">(1-Drivers!$C$167)*G53</f>
        <v>6927950.97970711</v>
      </c>
      <c r="H23" s="136" t="n">
        <f aca="false">(1-Drivers!$C$167)*H53</f>
        <v>9818632.72709414</v>
      </c>
      <c r="I23" s="136" t="n">
        <f aca="false">(1-Drivers!$C$167)*I53</f>
        <v>12343562.4230486</v>
      </c>
      <c r="J23" s="137"/>
      <c r="K23" s="137"/>
      <c r="L23" s="137"/>
      <c r="M23" s="137"/>
      <c r="N23" s="138"/>
      <c r="O23" s="2"/>
      <c r="P23" s="2"/>
    </row>
    <row r="24" s="128" customFormat="true" ht="15.6" hidden="false" customHeight="false" outlineLevel="0" collapsed="false">
      <c r="A24" s="139" t="s">
        <v>103</v>
      </c>
      <c r="B24" s="133" t="n">
        <v>3977000</v>
      </c>
      <c r="C24" s="133" t="n">
        <v>5368950</v>
      </c>
      <c r="D24" s="134" t="n">
        <v>7570219.5</v>
      </c>
      <c r="E24" s="135" t="n">
        <f aca="false">Drivers!F67</f>
        <v>8478645.84</v>
      </c>
      <c r="F24" s="136" t="n">
        <f aca="false">Drivers!G67</f>
        <v>9496083.3408</v>
      </c>
      <c r="G24" s="136" t="n">
        <f aca="false">Drivers!H67</f>
        <v>10920495.84192</v>
      </c>
      <c r="H24" s="136" t="n">
        <f aca="false">Drivers!I67</f>
        <v>14196644.594496</v>
      </c>
      <c r="I24" s="136" t="n">
        <f aca="false">Drivers!J67</f>
        <v>15900241.9458355</v>
      </c>
      <c r="J24" s="137"/>
      <c r="K24" s="137"/>
      <c r="L24" s="137"/>
      <c r="M24" s="137"/>
      <c r="N24" s="138"/>
      <c r="O24" s="2"/>
      <c r="P24" s="2"/>
    </row>
    <row r="25" s="128" customFormat="true" ht="15.6" hidden="false" customHeight="false" outlineLevel="0" collapsed="false">
      <c r="A25" s="173" t="s">
        <v>104</v>
      </c>
      <c r="B25" s="135" t="n">
        <f aca="false">(1-Drivers!$C$168)*B69</f>
        <v>143220</v>
      </c>
      <c r="C25" s="135" t="n">
        <f aca="false">(1-Drivers!$C$168)*C69</f>
        <v>237528</v>
      </c>
      <c r="D25" s="180" t="n">
        <f aca="false">(1-Drivers!$C$168)*D69</f>
        <v>313195.2</v>
      </c>
      <c r="E25" s="135" t="n">
        <f aca="false">(1-Drivers!$C$168)*E69</f>
        <v>374209.44</v>
      </c>
      <c r="F25" s="136" t="n">
        <f aca="false">(1-Drivers!$C$168)*F69</f>
        <v>527026.600775904</v>
      </c>
      <c r="G25" s="136" t="n">
        <f aca="false">(1-Drivers!$C$168)*G69</f>
        <v>673630.028805754</v>
      </c>
      <c r="H25" s="136" t="n">
        <f aca="false">(1-Drivers!$C$168)*H69</f>
        <v>1456789.70477264</v>
      </c>
      <c r="I25" s="136" t="n">
        <f aca="false">(1-Drivers!$C$168)*I69</f>
        <v>1657340.50090053</v>
      </c>
      <c r="J25" s="137"/>
      <c r="K25" s="137"/>
      <c r="L25" s="137"/>
      <c r="M25" s="137"/>
      <c r="N25" s="138"/>
      <c r="O25" s="2"/>
      <c r="P25" s="2"/>
    </row>
    <row r="26" s="128" customFormat="true" ht="15.6" hidden="false" customHeight="false" outlineLevel="0" collapsed="false">
      <c r="A26" s="139" t="s">
        <v>105</v>
      </c>
      <c r="B26" s="133" t="n">
        <v>950000</v>
      </c>
      <c r="C26" s="133" t="n">
        <v>1615000</v>
      </c>
      <c r="D26" s="134" t="n">
        <v>2083350</v>
      </c>
      <c r="E26" s="135" t="n">
        <f aca="false">Drivers!F69</f>
        <v>2801647.94755824</v>
      </c>
      <c r="F26" s="136" t="n">
        <f aca="false">Drivers!G69</f>
        <v>3583639.35184079</v>
      </c>
      <c r="G26" s="136" t="n">
        <f aca="false">Drivers!H69</f>
        <v>4417823.81314656</v>
      </c>
      <c r="H26" s="136" t="n">
        <f aca="false">Drivers!I69</f>
        <v>6127940.99279634</v>
      </c>
      <c r="I26" s="136" t="n">
        <f aca="false">Drivers!J69</f>
        <v>7871257.19730634</v>
      </c>
      <c r="J26" s="137"/>
      <c r="K26" s="137"/>
      <c r="L26" s="137"/>
      <c r="M26" s="137"/>
      <c r="N26" s="138"/>
      <c r="O26" s="2"/>
      <c r="P26" s="2"/>
    </row>
    <row r="27" s="128" customFormat="true" ht="15.6" hidden="false" customHeight="false" outlineLevel="0" collapsed="false">
      <c r="A27" s="139" t="s">
        <v>106</v>
      </c>
      <c r="B27" s="133" t="n">
        <v>0</v>
      </c>
      <c r="C27" s="133" t="n">
        <v>0</v>
      </c>
      <c r="D27" s="134" t="n">
        <v>0</v>
      </c>
      <c r="E27" s="87" t="n">
        <v>0</v>
      </c>
      <c r="F27" s="181" t="n">
        <v>0</v>
      </c>
      <c r="G27" s="181" t="n">
        <v>0</v>
      </c>
      <c r="H27" s="181" t="n">
        <v>0</v>
      </c>
      <c r="I27" s="181" t="n">
        <v>0</v>
      </c>
      <c r="J27" s="137"/>
      <c r="K27" s="137"/>
      <c r="L27" s="137"/>
      <c r="M27" s="137"/>
      <c r="N27" s="138"/>
      <c r="O27" s="2"/>
      <c r="P27" s="2"/>
    </row>
    <row r="28" s="128" customFormat="true" ht="15.6" hidden="false" customHeight="false" outlineLevel="0" collapsed="false">
      <c r="A28" s="139" t="s">
        <v>107</v>
      </c>
      <c r="B28" s="133" t="n">
        <v>1200000</v>
      </c>
      <c r="C28" s="133" t="n">
        <v>1800000</v>
      </c>
      <c r="D28" s="134" t="n">
        <v>2250000</v>
      </c>
      <c r="E28" s="135" t="n">
        <f aca="false">Drivers!F71</f>
        <v>3183690.849498</v>
      </c>
      <c r="F28" s="136" t="n">
        <f aca="false">Drivers!G71</f>
        <v>4072317.44527362</v>
      </c>
      <c r="G28" s="136" t="n">
        <f aca="false">Drivers!H71</f>
        <v>5020254.33312109</v>
      </c>
      <c r="H28" s="136" t="n">
        <f aca="false">Drivers!I71</f>
        <v>6963569.30999585</v>
      </c>
      <c r="I28" s="136" t="n">
        <f aca="false">Drivers!J71</f>
        <v>8944610.45148448</v>
      </c>
      <c r="J28" s="137"/>
      <c r="K28" s="137"/>
      <c r="L28" s="137"/>
      <c r="M28" s="137"/>
      <c r="N28" s="138"/>
      <c r="O28" s="2"/>
      <c r="P28" s="2"/>
    </row>
    <row r="29" s="128" customFormat="true" ht="15.6" hidden="false" customHeight="false" outlineLevel="0" collapsed="false">
      <c r="A29" s="139" t="s">
        <v>108</v>
      </c>
      <c r="B29" s="133" t="n">
        <v>0</v>
      </c>
      <c r="C29" s="133" t="n">
        <v>0</v>
      </c>
      <c r="D29" s="134" t="n">
        <v>0</v>
      </c>
      <c r="E29" s="87" t="n">
        <v>0</v>
      </c>
      <c r="F29" s="181" t="n">
        <v>0</v>
      </c>
      <c r="G29" s="181" t="n">
        <v>0</v>
      </c>
      <c r="H29" s="181" t="n">
        <v>0</v>
      </c>
      <c r="I29" s="181" t="n">
        <v>0</v>
      </c>
      <c r="J29" s="137"/>
      <c r="K29" s="137"/>
      <c r="L29" s="137"/>
      <c r="M29" s="137"/>
      <c r="N29" s="138"/>
      <c r="O29" s="2"/>
      <c r="P29" s="2"/>
    </row>
    <row r="30" s="128" customFormat="true" ht="15.6" hidden="false" customHeight="false" outlineLevel="0" collapsed="false">
      <c r="A30" s="139" t="s">
        <v>109</v>
      </c>
      <c r="B30" s="133" t="n">
        <v>0</v>
      </c>
      <c r="C30" s="133" t="n">
        <v>0</v>
      </c>
      <c r="D30" s="134" t="n">
        <v>0</v>
      </c>
      <c r="E30" s="87" t="n">
        <v>0</v>
      </c>
      <c r="F30" s="181" t="n">
        <v>0</v>
      </c>
      <c r="G30" s="181" t="n">
        <v>0</v>
      </c>
      <c r="H30" s="181" t="n">
        <v>0</v>
      </c>
      <c r="I30" s="181" t="n">
        <v>0</v>
      </c>
      <c r="J30" s="137"/>
      <c r="K30" s="137"/>
      <c r="L30" s="137"/>
      <c r="M30" s="137"/>
      <c r="N30" s="138"/>
      <c r="O30" s="2"/>
      <c r="P30" s="2"/>
    </row>
    <row r="31" s="128" customFormat="true" ht="15.6" hidden="false" customHeight="false" outlineLevel="0" collapsed="false">
      <c r="A31" s="139" t="s">
        <v>110</v>
      </c>
      <c r="B31" s="133" t="n">
        <v>0</v>
      </c>
      <c r="C31" s="133" t="n">
        <v>0</v>
      </c>
      <c r="D31" s="134" t="n">
        <v>0</v>
      </c>
      <c r="E31" s="87" t="n">
        <v>0</v>
      </c>
      <c r="F31" s="181" t="n">
        <v>0</v>
      </c>
      <c r="G31" s="181" t="n">
        <v>0</v>
      </c>
      <c r="H31" s="181" t="n">
        <v>0</v>
      </c>
      <c r="I31" s="181" t="n">
        <v>0</v>
      </c>
      <c r="J31" s="137"/>
      <c r="K31" s="137"/>
      <c r="L31" s="137"/>
      <c r="M31" s="137"/>
      <c r="N31" s="138"/>
      <c r="O31" s="2"/>
      <c r="P31" s="2"/>
    </row>
    <row r="32" s="128" customFormat="true" ht="15.6" hidden="false" customHeight="false" outlineLevel="0" collapsed="false">
      <c r="A32" s="139" t="s">
        <v>111</v>
      </c>
      <c r="B32" s="133" t="n">
        <v>0</v>
      </c>
      <c r="C32" s="133" t="n">
        <v>0</v>
      </c>
      <c r="D32" s="134" t="n">
        <v>0</v>
      </c>
      <c r="E32" s="87" t="n">
        <v>0</v>
      </c>
      <c r="F32" s="181" t="n">
        <v>0</v>
      </c>
      <c r="G32" s="181" t="n">
        <v>0</v>
      </c>
      <c r="H32" s="181" t="n">
        <v>0</v>
      </c>
      <c r="I32" s="181" t="n">
        <v>0</v>
      </c>
      <c r="J32" s="137"/>
      <c r="K32" s="137"/>
      <c r="L32" s="137"/>
      <c r="M32" s="137"/>
      <c r="N32" s="138"/>
      <c r="O32" s="2"/>
      <c r="P32" s="2"/>
    </row>
    <row r="33" s="128" customFormat="true" ht="15.6" hidden="false" customHeight="false" outlineLevel="0" collapsed="false">
      <c r="A33" s="139" t="s">
        <v>112</v>
      </c>
      <c r="B33" s="133" t="n">
        <v>0</v>
      </c>
      <c r="C33" s="133" t="n">
        <v>0</v>
      </c>
      <c r="D33" s="134" t="n">
        <v>0</v>
      </c>
      <c r="E33" s="87" t="n">
        <v>0</v>
      </c>
      <c r="F33" s="181" t="n">
        <v>0</v>
      </c>
      <c r="G33" s="181" t="n">
        <v>0</v>
      </c>
      <c r="H33" s="181" t="n">
        <v>0</v>
      </c>
      <c r="I33" s="181" t="n">
        <v>0</v>
      </c>
      <c r="J33" s="137"/>
      <c r="K33" s="137"/>
      <c r="L33" s="137"/>
      <c r="M33" s="137"/>
      <c r="N33" s="138"/>
      <c r="O33" s="2"/>
      <c r="P33" s="2"/>
    </row>
    <row r="34" s="128" customFormat="true" ht="15.6" hidden="false" customHeight="false" outlineLevel="0" collapsed="false">
      <c r="A34" s="139" t="s">
        <v>113</v>
      </c>
      <c r="B34" s="133" t="n">
        <v>0</v>
      </c>
      <c r="C34" s="133" t="n">
        <v>0</v>
      </c>
      <c r="D34" s="134" t="n">
        <v>0</v>
      </c>
      <c r="E34" s="87" t="n">
        <v>0</v>
      </c>
      <c r="F34" s="181" t="n">
        <v>0</v>
      </c>
      <c r="G34" s="181" t="n">
        <v>0</v>
      </c>
      <c r="H34" s="181" t="n">
        <v>0</v>
      </c>
      <c r="I34" s="181" t="n">
        <v>0</v>
      </c>
      <c r="J34" s="137"/>
      <c r="K34" s="137"/>
      <c r="L34" s="137"/>
      <c r="M34" s="137"/>
      <c r="N34" s="138"/>
      <c r="O34" s="2"/>
      <c r="P34" s="2"/>
    </row>
    <row r="35" s="128" customFormat="true" ht="15.6" hidden="false" customHeight="false" outlineLevel="0" collapsed="false">
      <c r="A35" s="139" t="s">
        <v>114</v>
      </c>
      <c r="B35" s="133" t="n">
        <v>0</v>
      </c>
      <c r="C35" s="133" t="n">
        <v>0</v>
      </c>
      <c r="D35" s="134" t="n">
        <v>0</v>
      </c>
      <c r="E35" s="87" t="n">
        <v>0</v>
      </c>
      <c r="F35" s="181" t="n">
        <v>0</v>
      </c>
      <c r="G35" s="181" t="n">
        <v>0</v>
      </c>
      <c r="H35" s="181" t="n">
        <v>0</v>
      </c>
      <c r="I35" s="181" t="n">
        <v>0</v>
      </c>
      <c r="J35" s="137"/>
      <c r="K35" s="137"/>
      <c r="L35" s="137"/>
      <c r="M35" s="137"/>
      <c r="N35" s="138"/>
      <c r="O35" s="2"/>
      <c r="P35" s="2"/>
    </row>
    <row r="36" s="128" customFormat="true" ht="15.6" hidden="false" customHeight="false" outlineLevel="0" collapsed="false">
      <c r="A36" s="139" t="s">
        <v>115</v>
      </c>
      <c r="B36" s="133" t="n">
        <v>0</v>
      </c>
      <c r="C36" s="133" t="n">
        <v>0</v>
      </c>
      <c r="D36" s="134" t="n">
        <v>0</v>
      </c>
      <c r="E36" s="87" t="n">
        <v>0</v>
      </c>
      <c r="F36" s="181" t="n">
        <v>0</v>
      </c>
      <c r="G36" s="181" t="n">
        <v>0</v>
      </c>
      <c r="H36" s="181" t="n">
        <v>0</v>
      </c>
      <c r="I36" s="181" t="n">
        <v>0</v>
      </c>
      <c r="J36" s="137"/>
      <c r="K36" s="137"/>
      <c r="L36" s="137"/>
      <c r="M36" s="137"/>
      <c r="N36" s="138"/>
      <c r="O36" s="2"/>
      <c r="P36" s="2"/>
    </row>
    <row r="37" s="128" customFormat="true" ht="15.6" hidden="false" customHeight="false" outlineLevel="0" collapsed="false">
      <c r="A37" s="139" t="s">
        <v>116</v>
      </c>
      <c r="B37" s="133" t="n">
        <v>0</v>
      </c>
      <c r="C37" s="133" t="n">
        <v>0</v>
      </c>
      <c r="D37" s="134" t="n">
        <v>0</v>
      </c>
      <c r="E37" s="87" t="n">
        <v>0</v>
      </c>
      <c r="F37" s="181" t="n">
        <v>0</v>
      </c>
      <c r="G37" s="181" t="n">
        <v>0</v>
      </c>
      <c r="H37" s="181" t="n">
        <v>0</v>
      </c>
      <c r="I37" s="181" t="n">
        <v>0</v>
      </c>
      <c r="J37" s="137"/>
      <c r="K37" s="137"/>
      <c r="L37" s="137"/>
      <c r="M37" s="137"/>
      <c r="N37" s="138"/>
      <c r="O37" s="2"/>
      <c r="P37" s="2"/>
    </row>
    <row r="38" s="128" customFormat="true" ht="15.6" hidden="false" customHeight="false" outlineLevel="0" collapsed="false">
      <c r="A38" s="139" t="s">
        <v>117</v>
      </c>
      <c r="B38" s="133" t="n">
        <v>0</v>
      </c>
      <c r="C38" s="133" t="n">
        <v>0</v>
      </c>
      <c r="D38" s="134" t="n">
        <v>0</v>
      </c>
      <c r="E38" s="87" t="n">
        <v>0</v>
      </c>
      <c r="F38" s="181" t="n">
        <v>0</v>
      </c>
      <c r="G38" s="181" t="n">
        <v>0</v>
      </c>
      <c r="H38" s="181" t="n">
        <v>0</v>
      </c>
      <c r="I38" s="181" t="n">
        <v>0</v>
      </c>
      <c r="J38" s="137"/>
      <c r="K38" s="137"/>
      <c r="L38" s="137"/>
      <c r="M38" s="137"/>
      <c r="N38" s="138"/>
      <c r="O38" s="2"/>
      <c r="P38" s="2"/>
    </row>
    <row r="39" s="128" customFormat="true" ht="15.6" hidden="false" customHeight="false" outlineLevel="0" collapsed="false">
      <c r="A39" s="139" t="s">
        <v>118</v>
      </c>
      <c r="B39" s="133" t="n">
        <v>0</v>
      </c>
      <c r="C39" s="133" t="n">
        <v>0</v>
      </c>
      <c r="D39" s="134" t="n">
        <v>0</v>
      </c>
      <c r="E39" s="87" t="n">
        <v>0</v>
      </c>
      <c r="F39" s="181" t="n">
        <v>0</v>
      </c>
      <c r="G39" s="181" t="n">
        <v>0</v>
      </c>
      <c r="H39" s="181" t="n">
        <v>0</v>
      </c>
      <c r="I39" s="181" t="n">
        <v>0</v>
      </c>
      <c r="J39" s="137"/>
      <c r="K39" s="137"/>
      <c r="L39" s="137"/>
      <c r="M39" s="137"/>
      <c r="N39" s="138"/>
      <c r="O39" s="2"/>
      <c r="P39" s="2"/>
    </row>
    <row r="40" s="128" customFormat="true" ht="15.6" hidden="false" customHeight="false" outlineLevel="0" collapsed="false">
      <c r="A40" s="139" t="s">
        <v>119</v>
      </c>
      <c r="B40" s="133" t="n">
        <v>2150000</v>
      </c>
      <c r="C40" s="133" t="n">
        <v>2580000</v>
      </c>
      <c r="D40" s="134" t="n">
        <v>3096000</v>
      </c>
      <c r="E40" s="135" t="n">
        <f aca="false">Drivers!F65</f>
        <v>4011450.47036748</v>
      </c>
      <c r="F40" s="136" t="n">
        <f aca="false">Drivers!G65</f>
        <v>5131119.98104477</v>
      </c>
      <c r="G40" s="136" t="n">
        <f aca="false">Drivers!H65</f>
        <v>6466087.58105997</v>
      </c>
      <c r="H40" s="136" t="n">
        <f aca="false">Drivers!I65</f>
        <v>9164057.21195453</v>
      </c>
      <c r="I40" s="136" t="n">
        <f aca="false">Drivers!J65</f>
        <v>11520658.261512</v>
      </c>
      <c r="J40" s="137"/>
      <c r="K40" s="137"/>
      <c r="L40" s="137"/>
      <c r="M40" s="137"/>
      <c r="N40" s="138"/>
      <c r="O40" s="2"/>
      <c r="P40" s="2"/>
    </row>
    <row r="41" s="128" customFormat="true" ht="15.6" hidden="false" customHeight="false" outlineLevel="0" collapsed="false">
      <c r="A41" s="139" t="s">
        <v>120</v>
      </c>
      <c r="B41" s="133" t="n">
        <v>0</v>
      </c>
      <c r="C41" s="133" t="n">
        <v>0</v>
      </c>
      <c r="D41" s="134" t="n">
        <v>0</v>
      </c>
      <c r="E41" s="87" t="n">
        <v>0</v>
      </c>
      <c r="F41" s="181" t="n">
        <v>0</v>
      </c>
      <c r="G41" s="181" t="n">
        <v>0</v>
      </c>
      <c r="H41" s="181" t="n">
        <v>0</v>
      </c>
      <c r="I41" s="181" t="n">
        <v>0</v>
      </c>
      <c r="J41" s="137"/>
      <c r="K41" s="137"/>
      <c r="L41" s="137"/>
      <c r="M41" s="137"/>
      <c r="N41" s="138"/>
      <c r="O41" s="2"/>
      <c r="P41" s="2"/>
    </row>
    <row r="42" s="128" customFormat="true" ht="15.6" hidden="false" customHeight="false" outlineLevel="0" collapsed="false">
      <c r="A42" s="139" t="s">
        <v>121</v>
      </c>
      <c r="B42" s="133" t="n">
        <v>0</v>
      </c>
      <c r="C42" s="133" t="n">
        <v>0</v>
      </c>
      <c r="D42" s="134" t="n">
        <v>0</v>
      </c>
      <c r="E42" s="87" t="n">
        <v>0</v>
      </c>
      <c r="F42" s="181" t="n">
        <v>0</v>
      </c>
      <c r="G42" s="181" t="n">
        <v>0</v>
      </c>
      <c r="H42" s="181" t="n">
        <v>0</v>
      </c>
      <c r="I42" s="181" t="n">
        <v>0</v>
      </c>
      <c r="J42" s="137"/>
      <c r="K42" s="137"/>
      <c r="L42" s="137"/>
      <c r="M42" s="137"/>
      <c r="N42" s="138"/>
      <c r="O42" s="2"/>
      <c r="P42" s="2"/>
    </row>
    <row r="43" s="128" customFormat="true" ht="30.75" hidden="false" customHeight="true" outlineLevel="0" collapsed="false">
      <c r="A43" s="182" t="s">
        <v>122</v>
      </c>
      <c r="B43" s="133" t="n">
        <v>0</v>
      </c>
      <c r="C43" s="133" t="n">
        <v>0</v>
      </c>
      <c r="D43" s="134" t="n">
        <v>0</v>
      </c>
      <c r="E43" s="135" t="n">
        <f aca="false">Drivers!F75</f>
        <v>382042.90193976</v>
      </c>
      <c r="F43" s="136" t="n">
        <f aca="false">Drivers!G75</f>
        <v>488678.093432835</v>
      </c>
      <c r="G43" s="136" t="n">
        <f aca="false">Drivers!H75</f>
        <v>602430.519974531</v>
      </c>
      <c r="H43" s="136" t="n">
        <f aca="false">Drivers!I75</f>
        <v>835628.317199501</v>
      </c>
      <c r="I43" s="136" t="n">
        <f aca="false">Drivers!J75</f>
        <v>1073353.25417814</v>
      </c>
      <c r="J43" s="137"/>
      <c r="K43" s="137"/>
      <c r="L43" s="137"/>
      <c r="M43" s="137"/>
      <c r="N43" s="138"/>
      <c r="O43" s="2"/>
      <c r="P43" s="2"/>
    </row>
    <row r="44" s="128" customFormat="true" ht="15.6" hidden="false" customHeight="false" outlineLevel="0" collapsed="false">
      <c r="A44" s="139" t="s">
        <v>123</v>
      </c>
      <c r="B44" s="133" t="n">
        <v>0</v>
      </c>
      <c r="C44" s="133" t="n">
        <v>0</v>
      </c>
      <c r="D44" s="134" t="n">
        <v>0</v>
      </c>
      <c r="E44" s="87" t="n">
        <v>0</v>
      </c>
      <c r="F44" s="181" t="n">
        <v>0</v>
      </c>
      <c r="G44" s="181" t="n">
        <v>0</v>
      </c>
      <c r="H44" s="181" t="n">
        <v>0</v>
      </c>
      <c r="I44" s="181" t="n">
        <v>0</v>
      </c>
      <c r="J44" s="137"/>
      <c r="K44" s="137"/>
      <c r="L44" s="137"/>
      <c r="M44" s="137"/>
      <c r="N44" s="138"/>
      <c r="O44" s="2"/>
      <c r="P44" s="2"/>
    </row>
    <row r="45" s="128" customFormat="true" ht="15.6" hidden="false" customHeight="false" outlineLevel="0" collapsed="false">
      <c r="A45" s="139" t="s">
        <v>124</v>
      </c>
      <c r="B45" s="133" t="n">
        <v>0</v>
      </c>
      <c r="C45" s="133" t="n">
        <v>0</v>
      </c>
      <c r="D45" s="134" t="n">
        <v>0</v>
      </c>
      <c r="E45" s="87" t="n">
        <v>0</v>
      </c>
      <c r="F45" s="181" t="n">
        <v>0</v>
      </c>
      <c r="G45" s="181" t="n">
        <v>0</v>
      </c>
      <c r="H45" s="181" t="n">
        <v>0</v>
      </c>
      <c r="I45" s="181" t="n">
        <v>0</v>
      </c>
      <c r="J45" s="137"/>
      <c r="K45" s="137"/>
      <c r="L45" s="137"/>
      <c r="M45" s="137"/>
      <c r="N45" s="138"/>
      <c r="O45" s="2"/>
      <c r="P45" s="2"/>
    </row>
    <row r="46" s="128" customFormat="true" ht="15.6" hidden="false" customHeight="false" outlineLevel="0" collapsed="false">
      <c r="A46" s="139" t="s">
        <v>125</v>
      </c>
      <c r="B46" s="133" t="n">
        <v>0</v>
      </c>
      <c r="C46" s="133" t="n">
        <v>0</v>
      </c>
      <c r="D46" s="134" t="n">
        <v>0</v>
      </c>
      <c r="E46" s="87" t="n">
        <v>0</v>
      </c>
      <c r="F46" s="181" t="n">
        <v>0</v>
      </c>
      <c r="G46" s="181" t="n">
        <v>0</v>
      </c>
      <c r="H46" s="181" t="n">
        <v>0</v>
      </c>
      <c r="I46" s="181" t="n">
        <v>0</v>
      </c>
      <c r="J46" s="137"/>
      <c r="K46" s="137"/>
      <c r="L46" s="137"/>
      <c r="M46" s="137"/>
      <c r="N46" s="138"/>
      <c r="O46" s="2"/>
      <c r="P46" s="2"/>
    </row>
    <row r="47" s="128" customFormat="true" ht="15.6" hidden="false" customHeight="false" outlineLevel="0" collapsed="false">
      <c r="A47" s="139" t="s">
        <v>126</v>
      </c>
      <c r="B47" s="133" t="n">
        <v>0</v>
      </c>
      <c r="C47" s="133" t="n">
        <v>0</v>
      </c>
      <c r="D47" s="134" t="n">
        <v>0</v>
      </c>
      <c r="E47" s="87" t="n">
        <v>0</v>
      </c>
      <c r="F47" s="181" t="n">
        <v>0</v>
      </c>
      <c r="G47" s="181" t="n">
        <v>0</v>
      </c>
      <c r="H47" s="181" t="n">
        <v>0</v>
      </c>
      <c r="I47" s="181" t="n">
        <v>0</v>
      </c>
      <c r="J47" s="137"/>
      <c r="K47" s="137"/>
      <c r="L47" s="137"/>
      <c r="M47" s="137"/>
      <c r="N47" s="138"/>
      <c r="O47" s="2"/>
      <c r="P47" s="2"/>
    </row>
    <row r="48" s="128" customFormat="true" ht="15.6" hidden="false" customHeight="false" outlineLevel="0" collapsed="false">
      <c r="A48" s="139" t="s">
        <v>127</v>
      </c>
      <c r="B48" s="133" t="n">
        <v>920000</v>
      </c>
      <c r="C48" s="133" t="n">
        <v>966000</v>
      </c>
      <c r="D48" s="134" t="n">
        <v>1159200</v>
      </c>
      <c r="E48" s="135" t="n">
        <f aca="false">Drivers!F73</f>
        <v>1782866.87571888</v>
      </c>
      <c r="F48" s="136" t="n">
        <f aca="false">Drivers!G73</f>
        <v>2443390.46716417</v>
      </c>
      <c r="G48" s="136" t="n">
        <f aca="false">Drivers!H73</f>
        <v>3012152.59987266</v>
      </c>
      <c r="H48" s="136" t="n">
        <f aca="false">Drivers!I73</f>
        <v>4178141.58599751</v>
      </c>
      <c r="I48" s="136" t="n">
        <f aca="false">Drivers!J73</f>
        <v>5008981.85283131</v>
      </c>
      <c r="J48" s="137"/>
      <c r="K48" s="137"/>
      <c r="L48" s="137"/>
      <c r="M48" s="137"/>
      <c r="N48" s="138"/>
      <c r="O48" s="2"/>
      <c r="P48" s="2"/>
    </row>
    <row r="49" s="128" customFormat="true" ht="15.6" hidden="false" customHeight="false" outlineLevel="0" collapsed="false">
      <c r="A49" s="183" t="s">
        <v>128</v>
      </c>
      <c r="B49" s="184" t="n">
        <v>0</v>
      </c>
      <c r="C49" s="184" t="n">
        <v>0</v>
      </c>
      <c r="D49" s="185" t="n">
        <v>0</v>
      </c>
      <c r="E49" s="87" t="n">
        <v>0</v>
      </c>
      <c r="F49" s="181" t="n">
        <v>0</v>
      </c>
      <c r="G49" s="181" t="n">
        <v>0</v>
      </c>
      <c r="H49" s="181" t="n">
        <v>0</v>
      </c>
      <c r="I49" s="181" t="n">
        <v>0</v>
      </c>
      <c r="J49" s="137"/>
      <c r="K49" s="137"/>
      <c r="L49" s="137"/>
      <c r="M49" s="137"/>
      <c r="N49" s="138"/>
      <c r="O49" s="2"/>
      <c r="P49" s="2"/>
    </row>
    <row r="50" s="157" customFormat="true" ht="15.6" hidden="false" customHeight="false" outlineLevel="0" collapsed="false">
      <c r="A50" s="186" t="s">
        <v>129</v>
      </c>
      <c r="B50" s="149" t="n">
        <f aca="false">SUM(B23:B49)</f>
        <v>11437820</v>
      </c>
      <c r="C50" s="149" t="n">
        <f aca="false">SUM(C23:C49)</f>
        <v>14874838</v>
      </c>
      <c r="D50" s="187" t="n">
        <f aca="false">SUM(D23:D49)</f>
        <v>19702268.7</v>
      </c>
      <c r="E50" s="149" t="n">
        <f aca="false">SUM(E23:E49)</f>
        <v>25312536.9719047</v>
      </c>
      <c r="F50" s="150" t="n">
        <f aca="false">SUM(F23:F49)</f>
        <v>31239883.8314515</v>
      </c>
      <c r="G50" s="150" t="n">
        <f aca="false">SUM(G23:G49)</f>
        <v>38040825.6976077</v>
      </c>
      <c r="H50" s="150" t="n">
        <f aca="false">SUM(H23:H49)</f>
        <v>52741404.4443065</v>
      </c>
      <c r="I50" s="150" t="n">
        <f aca="false">SUM(I23:I49)</f>
        <v>64320005.8870969</v>
      </c>
      <c r="J50" s="151"/>
      <c r="K50" s="151"/>
      <c r="L50" s="151"/>
      <c r="M50" s="151"/>
      <c r="N50" s="188"/>
      <c r="O50" s="2"/>
      <c r="P50" s="2"/>
    </row>
    <row r="51" s="128" customFormat="true" ht="15.6" hidden="false" customHeight="false" outlineLevel="0" collapsed="false">
      <c r="A51" s="139"/>
      <c r="B51" s="143"/>
      <c r="C51" s="143"/>
      <c r="D51" s="144"/>
      <c r="E51" s="143"/>
      <c r="F51" s="145"/>
      <c r="G51" s="145"/>
      <c r="H51" s="145"/>
      <c r="I51" s="145"/>
      <c r="J51" s="145"/>
      <c r="K51" s="145"/>
      <c r="L51" s="145"/>
      <c r="M51" s="145"/>
      <c r="N51" s="131"/>
      <c r="O51" s="2"/>
      <c r="P51" s="2"/>
    </row>
    <row r="52" s="128" customFormat="true" ht="15.6" hidden="false" customHeight="false" outlineLevel="0" collapsed="false">
      <c r="A52" s="142" t="s">
        <v>130</v>
      </c>
      <c r="B52" s="177"/>
      <c r="C52" s="177"/>
      <c r="D52" s="178"/>
      <c r="E52" s="177"/>
      <c r="F52" s="179"/>
      <c r="G52" s="179"/>
      <c r="H52" s="179"/>
      <c r="I52" s="179"/>
      <c r="J52" s="179"/>
      <c r="K52" s="179"/>
      <c r="L52" s="179"/>
      <c r="M52" s="179"/>
      <c r="N52" s="131"/>
      <c r="O52" s="2"/>
      <c r="P52" s="2"/>
    </row>
    <row r="53" s="128" customFormat="true" ht="15.6" hidden="false" customHeight="false" outlineLevel="0" collapsed="false">
      <c r="A53" s="189" t="s">
        <v>131</v>
      </c>
      <c r="B53" s="184" t="n">
        <v>6992000</v>
      </c>
      <c r="C53" s="184" t="n">
        <v>7691200</v>
      </c>
      <c r="D53" s="185" t="n">
        <v>10767680</v>
      </c>
      <c r="E53" s="135" t="n">
        <f aca="false">Drivers!F63</f>
        <v>14326608.822741</v>
      </c>
      <c r="F53" s="136" t="n">
        <f aca="false">Drivers!G63</f>
        <v>18325428.5037313</v>
      </c>
      <c r="G53" s="136" t="n">
        <f aca="false">Drivers!H63</f>
        <v>23093169.932357</v>
      </c>
      <c r="H53" s="136" t="n">
        <f aca="false">Drivers!I63</f>
        <v>32728775.7569805</v>
      </c>
      <c r="I53" s="136" t="n">
        <f aca="false">Drivers!J63</f>
        <v>41145208.0768286</v>
      </c>
      <c r="J53" s="137"/>
      <c r="K53" s="137"/>
      <c r="L53" s="137"/>
      <c r="M53" s="137"/>
      <c r="N53" s="138"/>
      <c r="O53" s="2"/>
      <c r="P53" s="2"/>
    </row>
    <row r="54" s="128" customFormat="true" ht="15.6" hidden="false" customHeight="false" outlineLevel="0" collapsed="false">
      <c r="A54" s="173" t="s">
        <v>132</v>
      </c>
      <c r="B54" s="135" t="n">
        <f aca="false">-B16</f>
        <v>-4894400</v>
      </c>
      <c r="C54" s="135" t="n">
        <f aca="false">-C16</f>
        <v>-5383840</v>
      </c>
      <c r="D54" s="180" t="n">
        <f aca="false">-D16</f>
        <v>-7537376</v>
      </c>
      <c r="E54" s="135" t="n">
        <f aca="false">-E16</f>
        <v>-10028626.1759187</v>
      </c>
      <c r="F54" s="136" t="n">
        <f aca="false">-F16</f>
        <v>-12827799.9526119</v>
      </c>
      <c r="G54" s="136" t="n">
        <f aca="false">-G16</f>
        <v>-16165218.9526499</v>
      </c>
      <c r="H54" s="136" t="n">
        <f aca="false">-H16</f>
        <v>-22910143.0298863</v>
      </c>
      <c r="I54" s="136" t="n">
        <f aca="false">-I16</f>
        <v>-28801645.65378</v>
      </c>
      <c r="J54" s="137"/>
      <c r="K54" s="137"/>
      <c r="L54" s="137"/>
      <c r="M54" s="137"/>
      <c r="N54" s="138"/>
      <c r="O54" s="2"/>
      <c r="P54" s="2"/>
    </row>
    <row r="55" s="128" customFormat="true" ht="15.6" hidden="false" customHeight="false" outlineLevel="0" collapsed="false">
      <c r="A55" s="173" t="s">
        <v>133</v>
      </c>
      <c r="B55" s="135" t="n">
        <f aca="false">-B23</f>
        <v>-2097600</v>
      </c>
      <c r="C55" s="135" t="n">
        <f aca="false">-C23</f>
        <v>-2307360</v>
      </c>
      <c r="D55" s="180" t="n">
        <f aca="false">-D23</f>
        <v>-3230304</v>
      </c>
      <c r="E55" s="135" t="n">
        <f aca="false">-E23</f>
        <v>-4297982.6468223</v>
      </c>
      <c r="F55" s="136" t="n">
        <f aca="false">-F23</f>
        <v>-5497628.55111939</v>
      </c>
      <c r="G55" s="136" t="n">
        <f aca="false">-G23</f>
        <v>-6927950.97970711</v>
      </c>
      <c r="H55" s="136" t="n">
        <f aca="false">-H23</f>
        <v>-9818632.72709414</v>
      </c>
      <c r="I55" s="136" t="n">
        <f aca="false">-I23</f>
        <v>-12343562.4230486</v>
      </c>
      <c r="J55" s="137"/>
      <c r="K55" s="137"/>
      <c r="L55" s="137"/>
      <c r="M55" s="137"/>
      <c r="N55" s="138"/>
      <c r="O55" s="2"/>
      <c r="P55" s="2"/>
    </row>
    <row r="56" s="128" customFormat="true" ht="15.6" hidden="false" customHeight="false" outlineLevel="0" collapsed="false">
      <c r="A56" s="139" t="s">
        <v>134</v>
      </c>
      <c r="B56" s="133" t="n">
        <v>0</v>
      </c>
      <c r="C56" s="133" t="n">
        <v>0</v>
      </c>
      <c r="D56" s="134" t="n">
        <v>0</v>
      </c>
      <c r="E56" s="87" t="n">
        <v>0</v>
      </c>
      <c r="F56" s="181" t="n">
        <v>0</v>
      </c>
      <c r="G56" s="181" t="n">
        <v>0</v>
      </c>
      <c r="H56" s="181" t="n">
        <v>0</v>
      </c>
      <c r="I56" s="181" t="n">
        <v>0</v>
      </c>
      <c r="J56" s="137"/>
      <c r="K56" s="137"/>
      <c r="L56" s="137"/>
      <c r="M56" s="137"/>
      <c r="N56" s="138"/>
      <c r="O56" s="2"/>
      <c r="P56" s="2"/>
    </row>
    <row r="57" s="128" customFormat="true" ht="15.6" hidden="false" customHeight="false" outlineLevel="0" collapsed="false">
      <c r="A57" s="139" t="s">
        <v>135</v>
      </c>
      <c r="B57" s="133" t="n">
        <v>0</v>
      </c>
      <c r="C57" s="133" t="n">
        <v>0</v>
      </c>
      <c r="D57" s="134" t="n">
        <v>0</v>
      </c>
      <c r="E57" s="87" t="n">
        <v>0</v>
      </c>
      <c r="F57" s="181" t="n">
        <v>0</v>
      </c>
      <c r="G57" s="181" t="n">
        <v>0</v>
      </c>
      <c r="H57" s="181" t="n">
        <v>0</v>
      </c>
      <c r="I57" s="181" t="n">
        <v>0</v>
      </c>
      <c r="J57" s="137"/>
      <c r="K57" s="137"/>
      <c r="L57" s="137"/>
      <c r="M57" s="137"/>
      <c r="N57" s="138"/>
      <c r="O57" s="2"/>
      <c r="P57" s="2"/>
    </row>
    <row r="58" s="128" customFormat="true" ht="15.6" hidden="false" customHeight="false" outlineLevel="0" collapsed="false">
      <c r="A58" s="139" t="s">
        <v>136</v>
      </c>
      <c r="B58" s="133" t="n">
        <v>0</v>
      </c>
      <c r="C58" s="133" t="n">
        <v>0</v>
      </c>
      <c r="D58" s="134" t="n">
        <v>0</v>
      </c>
      <c r="E58" s="87" t="n">
        <v>0</v>
      </c>
      <c r="F58" s="181" t="n">
        <v>0</v>
      </c>
      <c r="G58" s="181" t="n">
        <v>0</v>
      </c>
      <c r="H58" s="181" t="n">
        <v>0</v>
      </c>
      <c r="I58" s="181" t="n">
        <v>0</v>
      </c>
      <c r="J58" s="137"/>
      <c r="K58" s="137"/>
      <c r="L58" s="137"/>
      <c r="M58" s="137"/>
      <c r="N58" s="138"/>
      <c r="O58" s="2"/>
      <c r="P58" s="2"/>
    </row>
    <row r="59" s="157" customFormat="true" ht="15.6" hidden="false" customHeight="false" outlineLevel="0" collapsed="false">
      <c r="A59" s="190" t="s">
        <v>137</v>
      </c>
      <c r="B59" s="149" t="n">
        <f aca="false">SUM(B53:B58)</f>
        <v>0</v>
      </c>
      <c r="C59" s="149" t="n">
        <f aca="false">SUM(C53:C58)</f>
        <v>0</v>
      </c>
      <c r="D59" s="187" t="n">
        <f aca="false">SUM(D53:D58)</f>
        <v>0</v>
      </c>
      <c r="E59" s="149" t="n">
        <f aca="false">SUM(E53:E58)</f>
        <v>0</v>
      </c>
      <c r="F59" s="150" t="n">
        <f aca="false">SUM(F53:F58)</f>
        <v>0</v>
      </c>
      <c r="G59" s="150" t="n">
        <f aca="false">SUM(G53:G58)</f>
        <v>0</v>
      </c>
      <c r="H59" s="150" t="n">
        <f aca="false">SUM(H53:H58)</f>
        <v>0</v>
      </c>
      <c r="I59" s="150" t="n">
        <f aca="false">SUM(I53:I58)</f>
        <v>0</v>
      </c>
      <c r="J59" s="151"/>
      <c r="K59" s="151"/>
      <c r="L59" s="151"/>
      <c r="M59" s="151"/>
      <c r="N59" s="156"/>
      <c r="O59" s="2"/>
      <c r="P59" s="2"/>
    </row>
    <row r="60" s="157" customFormat="true" ht="15.6" hidden="false" customHeight="false" outlineLevel="0" collapsed="false">
      <c r="A60" s="129"/>
      <c r="B60" s="191"/>
      <c r="C60" s="191"/>
      <c r="D60" s="192"/>
      <c r="E60" s="191"/>
      <c r="F60" s="193"/>
      <c r="G60" s="193"/>
      <c r="H60" s="193"/>
      <c r="I60" s="193"/>
      <c r="J60" s="193"/>
      <c r="K60" s="193"/>
      <c r="L60" s="193"/>
      <c r="M60" s="193"/>
      <c r="N60" s="156"/>
      <c r="O60" s="2"/>
      <c r="P60" s="2"/>
    </row>
    <row r="61" s="157" customFormat="true" ht="15.6" hidden="false" customHeight="false" outlineLevel="0" collapsed="false">
      <c r="A61" s="194" t="s">
        <v>138</v>
      </c>
      <c r="B61" s="149" t="n">
        <f aca="false">SUM(B50,B59)</f>
        <v>11437820</v>
      </c>
      <c r="C61" s="149" t="n">
        <f aca="false">SUM(C50,C59)</f>
        <v>14874838</v>
      </c>
      <c r="D61" s="187" t="n">
        <f aca="false">SUM(D50,D59)</f>
        <v>19702268.7</v>
      </c>
      <c r="E61" s="149" t="n">
        <f aca="false">SUM(E50,E59)</f>
        <v>25312536.9719047</v>
      </c>
      <c r="F61" s="150" t="n">
        <f aca="false">SUM(F50,F59)</f>
        <v>31239883.8314515</v>
      </c>
      <c r="G61" s="150" t="n">
        <f aca="false">SUM(G50,G59)</f>
        <v>38040825.6976077</v>
      </c>
      <c r="H61" s="150" t="n">
        <f aca="false">SUM(H50,H59)</f>
        <v>52741404.4443065</v>
      </c>
      <c r="I61" s="150" t="n">
        <f aca="false">SUM(I50,I59)</f>
        <v>64320005.8870969</v>
      </c>
      <c r="J61" s="151"/>
      <c r="K61" s="151"/>
      <c r="L61" s="151"/>
      <c r="M61" s="151"/>
      <c r="N61" s="156"/>
      <c r="O61" s="2"/>
      <c r="P61" s="2"/>
    </row>
    <row r="62" s="128" customFormat="true" ht="15.6" hidden="false" customHeight="false" outlineLevel="0" collapsed="false">
      <c r="A62" s="139"/>
      <c r="B62" s="143"/>
      <c r="C62" s="143"/>
      <c r="D62" s="144"/>
      <c r="E62" s="143"/>
      <c r="F62" s="145"/>
      <c r="G62" s="145"/>
      <c r="H62" s="145"/>
      <c r="I62" s="145"/>
      <c r="J62" s="145"/>
      <c r="K62" s="145"/>
      <c r="L62" s="145"/>
      <c r="M62" s="145"/>
      <c r="N62" s="138"/>
      <c r="O62" s="2"/>
      <c r="P62" s="2"/>
    </row>
    <row r="63" s="128" customFormat="true" ht="15.6" hidden="false" customHeight="false" outlineLevel="0" collapsed="false">
      <c r="A63" s="195" t="s">
        <v>139</v>
      </c>
      <c r="B63" s="196" t="n">
        <f aca="false">B19-B61</f>
        <v>-4194711.2</v>
      </c>
      <c r="C63" s="196" t="n">
        <f aca="false">C19-C61</f>
        <v>-360716.25</v>
      </c>
      <c r="D63" s="197" t="n">
        <f aca="false">D19-D61</f>
        <v>4562677.2155</v>
      </c>
      <c r="E63" s="198" t="n">
        <f aca="false">E19-E61</f>
        <v>7642109.63464664</v>
      </c>
      <c r="F63" s="199" t="n">
        <f aca="false">F19-F61</f>
        <v>10729212.9880578</v>
      </c>
      <c r="G63" s="199" t="n">
        <f aca="false">G19-G61</f>
        <v>12833986.6039949</v>
      </c>
      <c r="H63" s="199" t="n">
        <f aca="false">H19-H61</f>
        <v>10136460.2537927</v>
      </c>
      <c r="I63" s="199" t="n">
        <f aca="false">I19-I61</f>
        <v>20402161.0473402</v>
      </c>
      <c r="J63" s="200"/>
      <c r="K63" s="200"/>
      <c r="L63" s="200"/>
      <c r="M63" s="200"/>
      <c r="N63" s="138"/>
      <c r="O63" s="2"/>
      <c r="P63" s="2"/>
    </row>
    <row r="64" s="128" customFormat="true" ht="15.6" hidden="false" customHeight="false" outlineLevel="0" collapsed="false">
      <c r="A64" s="139" t="s">
        <v>140</v>
      </c>
      <c r="B64" s="143"/>
      <c r="C64" s="143"/>
      <c r="D64" s="144"/>
      <c r="E64" s="143"/>
      <c r="F64" s="145"/>
      <c r="G64" s="145"/>
      <c r="H64" s="145"/>
      <c r="I64" s="145"/>
      <c r="J64" s="145"/>
      <c r="K64" s="145"/>
      <c r="L64" s="145"/>
      <c r="M64" s="145"/>
      <c r="N64" s="138"/>
      <c r="O64" s="2"/>
      <c r="P64" s="2"/>
    </row>
    <row r="65" s="128" customFormat="true" ht="15.6" hidden="false" customHeight="false" outlineLevel="0" collapsed="false">
      <c r="A65" s="139" t="s">
        <v>141</v>
      </c>
      <c r="B65" s="133" t="n">
        <v>0</v>
      </c>
      <c r="C65" s="133" t="n">
        <v>0</v>
      </c>
      <c r="D65" s="134" t="n">
        <v>0</v>
      </c>
      <c r="E65" s="87" t="n">
        <v>0</v>
      </c>
      <c r="F65" s="181" t="n">
        <v>0</v>
      </c>
      <c r="G65" s="181" t="n">
        <v>0</v>
      </c>
      <c r="H65" s="181" t="n">
        <v>0</v>
      </c>
      <c r="I65" s="181" t="n">
        <v>0</v>
      </c>
      <c r="J65" s="137"/>
      <c r="K65" s="137"/>
      <c r="L65" s="137"/>
      <c r="M65" s="137"/>
      <c r="N65" s="138"/>
      <c r="O65" s="2"/>
      <c r="P65" s="2"/>
    </row>
    <row r="66" s="128" customFormat="true" ht="15.6" hidden="false" customHeight="false" outlineLevel="0" collapsed="false">
      <c r="A66" s="139" t="s">
        <v>142</v>
      </c>
      <c r="B66" s="133" t="n">
        <v>0</v>
      </c>
      <c r="C66" s="133" t="n">
        <v>0</v>
      </c>
      <c r="D66" s="134" t="n">
        <v>0</v>
      </c>
      <c r="E66" s="87" t="n">
        <v>0</v>
      </c>
      <c r="F66" s="181" t="n">
        <v>0</v>
      </c>
      <c r="G66" s="181" t="n">
        <v>0</v>
      </c>
      <c r="H66" s="181" t="n">
        <v>0</v>
      </c>
      <c r="I66" s="181" t="n">
        <v>0</v>
      </c>
      <c r="J66" s="137"/>
      <c r="K66" s="137"/>
      <c r="L66" s="137"/>
      <c r="M66" s="137"/>
      <c r="N66" s="138"/>
      <c r="O66" s="2"/>
      <c r="P66" s="2"/>
    </row>
    <row r="67" s="128" customFormat="true" ht="15.6" hidden="false" customHeight="false" outlineLevel="0" collapsed="false">
      <c r="A67" s="139" t="s">
        <v>143</v>
      </c>
      <c r="B67" s="133" t="n">
        <v>114300</v>
      </c>
      <c r="C67" s="133" t="n">
        <v>142560</v>
      </c>
      <c r="D67" s="134" t="n">
        <v>142182</v>
      </c>
      <c r="E67" s="135" t="n">
        <f aca="false">Drivers!F130</f>
        <v>160260</v>
      </c>
      <c r="F67" s="136" t="n">
        <f aca="false">Drivers!G130</f>
        <v>160260</v>
      </c>
      <c r="G67" s="136" t="n">
        <f aca="false">Drivers!H130</f>
        <v>2118159.18991723</v>
      </c>
      <c r="H67" s="136" t="n">
        <f aca="false">Drivers!I130</f>
        <v>4076058.37983445</v>
      </c>
      <c r="I67" s="136" t="n">
        <f aca="false">Drivers!J130</f>
        <v>3684478.54185101</v>
      </c>
      <c r="J67" s="137"/>
      <c r="K67" s="137"/>
      <c r="L67" s="137"/>
      <c r="M67" s="137"/>
      <c r="N67" s="138"/>
      <c r="O67" s="201"/>
      <c r="P67" s="2"/>
    </row>
    <row r="68" s="128" customFormat="true" ht="15.6" hidden="false" customHeight="false" outlineLevel="0" collapsed="false">
      <c r="A68" s="139" t="s">
        <v>144</v>
      </c>
      <c r="B68" s="133" t="n">
        <v>0</v>
      </c>
      <c r="C68" s="133" t="n">
        <v>0</v>
      </c>
      <c r="D68" s="134" t="n">
        <v>0</v>
      </c>
      <c r="E68" s="87" t="n">
        <v>0</v>
      </c>
      <c r="F68" s="181" t="n">
        <v>0</v>
      </c>
      <c r="G68" s="181" t="n">
        <v>0</v>
      </c>
      <c r="H68" s="181" t="n">
        <v>0</v>
      </c>
      <c r="I68" s="181" t="n">
        <v>0</v>
      </c>
      <c r="J68" s="137"/>
      <c r="K68" s="137"/>
      <c r="L68" s="137"/>
      <c r="M68" s="137"/>
      <c r="N68" s="138"/>
      <c r="O68" s="2"/>
      <c r="P68" s="2"/>
    </row>
    <row r="69" s="128" customFormat="true" ht="30.75" hidden="false" customHeight="true" outlineLevel="0" collapsed="false">
      <c r="A69" s="202" t="s">
        <v>145</v>
      </c>
      <c r="B69" s="133" t="n">
        <v>1432200</v>
      </c>
      <c r="C69" s="133" t="n">
        <v>2375280</v>
      </c>
      <c r="D69" s="134" t="n">
        <v>3131952</v>
      </c>
      <c r="E69" s="135" t="n">
        <f aca="false">Drivers!F99</f>
        <v>3742094.4</v>
      </c>
      <c r="F69" s="136" t="n">
        <f aca="false">Drivers!G99</f>
        <v>5270266.00775904</v>
      </c>
      <c r="G69" s="136" t="n">
        <f aca="false">Drivers!H99</f>
        <v>6736300.28805754</v>
      </c>
      <c r="H69" s="136" t="n">
        <f aca="false">Drivers!I99</f>
        <v>14567897.0477264</v>
      </c>
      <c r="I69" s="136" t="n">
        <f aca="false">Drivers!J99</f>
        <v>16573405.0090053</v>
      </c>
      <c r="J69" s="137"/>
      <c r="K69" s="137"/>
      <c r="L69" s="137"/>
      <c r="M69" s="137"/>
      <c r="N69" s="138"/>
      <c r="O69" s="2"/>
      <c r="P69" s="2"/>
    </row>
    <row r="70" s="128" customFormat="true" ht="15.6" hidden="false" customHeight="false" outlineLevel="0" collapsed="false">
      <c r="A70" s="139" t="s">
        <v>146</v>
      </c>
      <c r="B70" s="133" t="n">
        <v>0</v>
      </c>
      <c r="C70" s="133" t="n">
        <v>0</v>
      </c>
      <c r="D70" s="134" t="n">
        <v>0</v>
      </c>
      <c r="E70" s="87" t="n">
        <v>0</v>
      </c>
      <c r="F70" s="181" t="n">
        <v>0</v>
      </c>
      <c r="G70" s="181" t="n">
        <v>0</v>
      </c>
      <c r="H70" s="181" t="n">
        <v>0</v>
      </c>
      <c r="I70" s="181" t="n">
        <v>0</v>
      </c>
      <c r="J70" s="137"/>
      <c r="K70" s="137"/>
      <c r="L70" s="137"/>
      <c r="M70" s="137"/>
      <c r="N70" s="138"/>
      <c r="O70" s="2"/>
      <c r="P70" s="2"/>
    </row>
    <row r="71" s="128" customFormat="true" ht="15.6" hidden="false" customHeight="false" outlineLevel="0" collapsed="false">
      <c r="A71" s="142"/>
      <c r="B71" s="143"/>
      <c r="C71" s="143"/>
      <c r="D71" s="144"/>
      <c r="E71" s="143"/>
      <c r="F71" s="145"/>
      <c r="G71" s="145"/>
      <c r="H71" s="145"/>
      <c r="I71" s="145"/>
      <c r="J71" s="145"/>
      <c r="K71" s="145"/>
      <c r="L71" s="145"/>
      <c r="M71" s="145"/>
      <c r="N71" s="138"/>
      <c r="O71" s="2"/>
      <c r="P71" s="2"/>
    </row>
    <row r="72" s="157" customFormat="true" ht="30.75" hidden="false" customHeight="true" outlineLevel="0" collapsed="false">
      <c r="A72" s="203" t="s">
        <v>147</v>
      </c>
      <c r="B72" s="149" t="n">
        <f aca="false">SUM(B65:B68,B70:B71)</f>
        <v>114300</v>
      </c>
      <c r="C72" s="149" t="n">
        <f aca="false">SUM(C65:C68,C70:C71)</f>
        <v>142560</v>
      </c>
      <c r="D72" s="187" t="n">
        <f aca="false">SUM(D65:D68,D70:D71)</f>
        <v>142182</v>
      </c>
      <c r="E72" s="149" t="n">
        <f aca="false">SUM(E65:E68,E70:E71)</f>
        <v>160260</v>
      </c>
      <c r="F72" s="150" t="n">
        <f aca="false">SUM(F65:F68,F70:F71)</f>
        <v>160260</v>
      </c>
      <c r="G72" s="150" t="n">
        <f aca="false">SUM(G65:G68,G70:G71)</f>
        <v>2118159.18991723</v>
      </c>
      <c r="H72" s="150" t="n">
        <f aca="false">SUM(H65:H68,H70:H71)</f>
        <v>4076058.37983445</v>
      </c>
      <c r="I72" s="150" t="n">
        <f aca="false">SUM(I65:I68,I70:I71)</f>
        <v>3684478.54185101</v>
      </c>
      <c r="J72" s="151"/>
      <c r="K72" s="151"/>
      <c r="L72" s="151"/>
      <c r="M72" s="151"/>
      <c r="N72" s="156"/>
      <c r="O72" s="2"/>
      <c r="P72" s="2"/>
    </row>
    <row r="73" s="128" customFormat="true" ht="15.6" hidden="false" customHeight="false" outlineLevel="0" collapsed="false">
      <c r="A73" s="142"/>
      <c r="B73" s="143"/>
      <c r="C73" s="143"/>
      <c r="D73" s="144"/>
      <c r="E73" s="143"/>
      <c r="F73" s="145"/>
      <c r="G73" s="145"/>
      <c r="H73" s="145"/>
      <c r="I73" s="145"/>
      <c r="J73" s="145"/>
      <c r="K73" s="145"/>
      <c r="L73" s="145"/>
      <c r="M73" s="145"/>
      <c r="N73" s="138"/>
      <c r="O73" s="2"/>
      <c r="P73" s="2"/>
    </row>
    <row r="74" s="128" customFormat="true" ht="15.6" hidden="false" customHeight="false" outlineLevel="0" collapsed="false">
      <c r="A74" s="146" t="s">
        <v>148</v>
      </c>
      <c r="B74" s="198" t="n">
        <f aca="false">B63-B72</f>
        <v>-4309011.2</v>
      </c>
      <c r="C74" s="198" t="n">
        <f aca="false">C63-C72</f>
        <v>-503276.25</v>
      </c>
      <c r="D74" s="204" t="n">
        <f aca="false">D63-D72</f>
        <v>4420495.2155</v>
      </c>
      <c r="E74" s="198" t="n">
        <f aca="false">E63-E72</f>
        <v>7481849.63464664</v>
      </c>
      <c r="F74" s="199" t="n">
        <f aca="false">F63-F72</f>
        <v>10568952.9880578</v>
      </c>
      <c r="G74" s="199" t="n">
        <f aca="false">G63-G72</f>
        <v>10715827.4140777</v>
      </c>
      <c r="H74" s="199" t="n">
        <f aca="false">H63-H72</f>
        <v>6060401.87395824</v>
      </c>
      <c r="I74" s="199" t="n">
        <f aca="false">I63-I72</f>
        <v>16717682.5054892</v>
      </c>
      <c r="J74" s="200"/>
      <c r="K74" s="200"/>
      <c r="L74" s="200"/>
      <c r="M74" s="200"/>
      <c r="N74" s="138"/>
      <c r="O74" s="2"/>
      <c r="P74" s="2"/>
    </row>
    <row r="75" s="128" customFormat="true" ht="15.6" hidden="false" customHeight="false" outlineLevel="0" collapsed="false">
      <c r="A75" s="139" t="s">
        <v>149</v>
      </c>
      <c r="B75" s="143"/>
      <c r="C75" s="143"/>
      <c r="D75" s="144"/>
      <c r="E75" s="143"/>
      <c r="F75" s="145"/>
      <c r="G75" s="145"/>
      <c r="H75" s="145"/>
      <c r="I75" s="145"/>
      <c r="J75" s="145"/>
      <c r="K75" s="145"/>
      <c r="L75" s="145"/>
      <c r="M75" s="145"/>
      <c r="N75" s="138"/>
      <c r="O75" s="2"/>
      <c r="P75" s="2"/>
    </row>
    <row r="76" s="128" customFormat="true" ht="15.6" hidden="false" customHeight="false" outlineLevel="0" collapsed="false">
      <c r="A76" s="139" t="s">
        <v>150</v>
      </c>
      <c r="B76" s="205" t="n">
        <v>0</v>
      </c>
      <c r="C76" s="205" t="n">
        <v>0</v>
      </c>
      <c r="D76" s="206" t="n">
        <v>0</v>
      </c>
      <c r="E76" s="159" t="n">
        <f aca="false">Drivers!F138</f>
        <v>902709.758024928</v>
      </c>
      <c r="F76" s="161" t="n">
        <f aca="false">Drivers!G138</f>
        <v>2113790.59761156</v>
      </c>
      <c r="G76" s="161" t="n">
        <f aca="false">Drivers!H138</f>
        <v>2143165.48281554</v>
      </c>
      <c r="H76" s="161" t="n">
        <f aca="false">Drivers!I138</f>
        <v>1212080.37479165</v>
      </c>
      <c r="I76" s="161" t="n">
        <f aca="false">Drivers!J138</f>
        <v>3343536.50109784</v>
      </c>
      <c r="J76" s="145"/>
      <c r="K76" s="145"/>
      <c r="L76" s="145"/>
      <c r="M76" s="145"/>
      <c r="N76" s="138"/>
      <c r="O76" s="2"/>
      <c r="P76" s="2"/>
    </row>
    <row r="77" s="128" customFormat="true" ht="15.75" hidden="false" customHeight="true" outlineLevel="0" collapsed="false">
      <c r="A77" s="207"/>
      <c r="B77" s="143"/>
      <c r="C77" s="143"/>
      <c r="D77" s="144"/>
      <c r="E77" s="143"/>
      <c r="F77" s="145"/>
      <c r="G77" s="145"/>
      <c r="H77" s="145"/>
      <c r="I77" s="145"/>
      <c r="J77" s="145"/>
      <c r="K77" s="145"/>
      <c r="L77" s="145"/>
      <c r="M77" s="145"/>
      <c r="N77" s="138"/>
      <c r="O77" s="2"/>
      <c r="P77" s="2"/>
    </row>
    <row r="78" s="128" customFormat="true" ht="15.75" hidden="false" customHeight="true" outlineLevel="0" collapsed="false">
      <c r="A78" s="146" t="s">
        <v>151</v>
      </c>
      <c r="B78" s="163" t="n">
        <f aca="false">B74-B76</f>
        <v>-4309011.2</v>
      </c>
      <c r="C78" s="163" t="n">
        <f aca="false">C74-C76</f>
        <v>-503276.25</v>
      </c>
      <c r="D78" s="164" t="n">
        <f aca="false">D74-D76</f>
        <v>4420495.2155</v>
      </c>
      <c r="E78" s="163" t="n">
        <f aca="false">E74-E76</f>
        <v>6579139.87662171</v>
      </c>
      <c r="F78" s="208" t="n">
        <f aca="false">F74-F76</f>
        <v>8455162.39044624</v>
      </c>
      <c r="G78" s="208" t="n">
        <f aca="false">G74-G76</f>
        <v>8572661.93126214</v>
      </c>
      <c r="H78" s="208" t="n">
        <f aca="false">H74-H76</f>
        <v>4848321.49916659</v>
      </c>
      <c r="I78" s="208" t="n">
        <f aca="false">I74-I76</f>
        <v>13374146.0043913</v>
      </c>
      <c r="J78" s="167"/>
      <c r="K78" s="167"/>
      <c r="L78" s="167"/>
      <c r="M78" s="167"/>
      <c r="N78" s="138"/>
      <c r="O78" s="2"/>
      <c r="P78" s="2"/>
    </row>
    <row r="79" customFormat="false" ht="15.6" hidden="false" customHeight="false" outlineLevel="0" collapsed="false">
      <c r="A79" s="209"/>
      <c r="B79" s="131"/>
      <c r="C79" s="188"/>
      <c r="D79" s="210"/>
      <c r="E79" s="211"/>
      <c r="F79" s="188"/>
      <c r="G79" s="188"/>
      <c r="H79" s="188"/>
      <c r="I79" s="188"/>
      <c r="J79" s="188"/>
      <c r="K79" s="188"/>
      <c r="L79" s="188"/>
      <c r="M79" s="188"/>
      <c r="N79" s="138"/>
    </row>
    <row r="80" customFormat="false" ht="15.6" hidden="false" customHeight="false" outlineLevel="0" collapsed="false">
      <c r="A80" s="212" t="s">
        <v>152</v>
      </c>
      <c r="B80" s="213" t="n">
        <f aca="false">SUM(B63,B69)</f>
        <v>-2762511.2</v>
      </c>
      <c r="C80" s="213" t="n">
        <f aca="false">SUM(C63,C69)</f>
        <v>2014563.75</v>
      </c>
      <c r="D80" s="214" t="n">
        <f aca="false">SUM(D63,D69)</f>
        <v>7694629.2155</v>
      </c>
      <c r="E80" s="213" t="n">
        <f aca="false">SUM(E63,E69)</f>
        <v>11384204.0346466</v>
      </c>
      <c r="F80" s="213" t="n">
        <f aca="false">SUM(F63,F69)</f>
        <v>15999478.9958168</v>
      </c>
      <c r="G80" s="213" t="n">
        <f aca="false">SUM(G63,G69)</f>
        <v>19570286.8920524</v>
      </c>
      <c r="H80" s="213" t="n">
        <f aca="false">SUM(H63,H69)</f>
        <v>24704357.3015191</v>
      </c>
      <c r="I80" s="213" t="n">
        <f aca="false">SUM(I63,I69)</f>
        <v>36975566.0563454</v>
      </c>
      <c r="J80" s="131"/>
      <c r="K80" s="131"/>
      <c r="L80" s="131"/>
      <c r="M80" s="131"/>
      <c r="N80" s="138"/>
    </row>
    <row r="81" customFormat="false" ht="15.75" hidden="false" customHeight="true" outlineLevel="0" collapsed="false">
      <c r="A81" s="215" t="s">
        <v>153</v>
      </c>
      <c r="B81" s="216" t="n">
        <f aca="false">B80/B11</f>
        <v>-0.142117352188264</v>
      </c>
      <c r="C81" s="217" t="n">
        <f aca="false">C80/C11</f>
        <v>0.0651366136208328</v>
      </c>
      <c r="D81" s="218" t="n">
        <f aca="false">D80/D11</f>
        <v>0.161833671626173</v>
      </c>
      <c r="E81" s="219" t="n">
        <f aca="false">E80/E11</f>
        <v>0.178789407841557</v>
      </c>
      <c r="F81" s="220" t="n">
        <f aca="false">F80/F11</f>
        <v>0.196441942589545</v>
      </c>
      <c r="G81" s="220" t="n">
        <f aca="false">G80/G11</f>
        <v>0.194913301134343</v>
      </c>
      <c r="H81" s="220" t="n">
        <f aca="false">H80/H11</f>
        <v>0.177382863598825</v>
      </c>
      <c r="I81" s="220" t="n">
        <f aca="false">I80/I11</f>
        <v>0.20669187471551</v>
      </c>
      <c r="J81" s="188"/>
      <c r="K81" s="188"/>
      <c r="L81" s="188"/>
      <c r="M81" s="188"/>
      <c r="N81" s="138"/>
    </row>
    <row r="82" s="2" customFormat="true" ht="15.6" hidden="false" customHeight="false" outlineLevel="0" collapsed="false">
      <c r="A82" s="131"/>
      <c r="B82" s="131"/>
      <c r="C82" s="131"/>
      <c r="D82" s="131"/>
      <c r="F82" s="131"/>
      <c r="G82" s="131"/>
      <c r="H82" s="131"/>
      <c r="I82" s="131"/>
      <c r="J82" s="131"/>
      <c r="K82" s="131"/>
      <c r="L82" s="131"/>
      <c r="M82" s="131"/>
      <c r="N82" s="131"/>
    </row>
    <row r="83" s="2" customFormat="true" ht="15.6" hidden="false" customHeight="false" outlineLevel="0" collapsed="false">
      <c r="A83" s="131"/>
      <c r="B83" s="131"/>
      <c r="C83" s="131"/>
      <c r="D83" s="131"/>
      <c r="F83" s="131"/>
      <c r="G83" s="131"/>
      <c r="H83" s="131"/>
      <c r="I83" s="131"/>
      <c r="J83" s="131"/>
      <c r="K83" s="131"/>
      <c r="L83" s="131"/>
      <c r="M83" s="131"/>
      <c r="N83" s="131"/>
    </row>
    <row r="84" s="2" customFormat="true" ht="15.6" hidden="false" customHeight="false" outlineLevel="0" collapsed="false">
      <c r="A84" s="131"/>
      <c r="B84" s="131"/>
      <c r="C84" s="131"/>
      <c r="D84" s="131"/>
      <c r="F84" s="131"/>
      <c r="G84" s="131"/>
      <c r="H84" s="131"/>
      <c r="I84" s="131"/>
      <c r="J84" s="131"/>
      <c r="K84" s="131"/>
      <c r="L84" s="131"/>
      <c r="M84" s="131"/>
      <c r="N84" s="131"/>
    </row>
    <row r="85" s="2" customFormat="true" ht="15.6" hidden="false" customHeight="false" outlineLevel="0" collapsed="false">
      <c r="A85" s="131"/>
      <c r="B85" s="131"/>
      <c r="C85" s="131"/>
      <c r="D85" s="131"/>
      <c r="F85" s="131"/>
      <c r="G85" s="131"/>
      <c r="H85" s="131"/>
      <c r="I85" s="131"/>
      <c r="J85" s="131"/>
      <c r="K85" s="131"/>
      <c r="L85" s="131"/>
      <c r="M85" s="131"/>
      <c r="N85" s="131"/>
    </row>
    <row r="86" customFormat="false" ht="15.6" hidden="false" customHeight="false" outlineLevel="0" collapsed="false">
      <c r="A86" s="131"/>
      <c r="B86" s="138"/>
      <c r="C86" s="138"/>
      <c r="D86" s="138"/>
      <c r="E86" s="205"/>
      <c r="F86" s="138"/>
      <c r="G86" s="138"/>
      <c r="H86" s="138"/>
      <c r="I86" s="138"/>
      <c r="J86" s="138"/>
      <c r="K86" s="138"/>
      <c r="L86" s="138"/>
      <c r="M86" s="138"/>
      <c r="N86" s="138"/>
    </row>
    <row r="87" customFormat="false" ht="15.6" hidden="false" customHeight="false" outlineLevel="0" collapsed="false">
      <c r="A87" s="131"/>
      <c r="B87" s="138"/>
      <c r="C87" s="138"/>
      <c r="D87" s="138"/>
      <c r="E87" s="205"/>
      <c r="F87" s="138"/>
      <c r="G87" s="138"/>
      <c r="H87" s="138"/>
      <c r="I87" s="138"/>
      <c r="J87" s="138"/>
      <c r="K87" s="138"/>
      <c r="L87" s="138"/>
      <c r="M87" s="138"/>
      <c r="N87" s="138"/>
    </row>
    <row r="88" customFormat="false" ht="15.6" hidden="false" customHeight="false" outlineLevel="0" collapsed="false">
      <c r="A88" s="131"/>
      <c r="B88" s="138"/>
      <c r="C88" s="138"/>
      <c r="D88" s="138"/>
      <c r="E88" s="205"/>
      <c r="F88" s="138"/>
      <c r="G88" s="138"/>
      <c r="H88" s="138"/>
      <c r="I88" s="138"/>
      <c r="J88" s="138"/>
      <c r="K88" s="138"/>
      <c r="L88" s="138"/>
      <c r="M88" s="138"/>
      <c r="N88" s="138"/>
    </row>
    <row r="89" customFormat="false" ht="15.6" hidden="false" customHeight="false" outlineLevel="0" collapsed="false">
      <c r="A89" s="131"/>
      <c r="B89" s="138"/>
      <c r="C89" s="138"/>
      <c r="D89" s="138"/>
      <c r="E89" s="205"/>
      <c r="F89" s="138"/>
      <c r="G89" s="138"/>
      <c r="H89" s="138"/>
      <c r="I89" s="138"/>
      <c r="J89" s="138"/>
      <c r="K89" s="138"/>
      <c r="L89" s="138"/>
      <c r="M89" s="138"/>
      <c r="N89" s="138"/>
    </row>
    <row r="90" customFormat="false" ht="15.6" hidden="false" customHeight="false" outlineLevel="0" collapsed="false">
      <c r="A90" s="131"/>
      <c r="B90" s="138"/>
      <c r="C90" s="138"/>
      <c r="D90" s="138"/>
      <c r="E90" s="205"/>
      <c r="F90" s="138"/>
      <c r="G90" s="138"/>
      <c r="H90" s="138"/>
      <c r="I90" s="138"/>
      <c r="J90" s="138"/>
      <c r="K90" s="138"/>
      <c r="L90" s="138"/>
      <c r="M90" s="138"/>
      <c r="N90" s="138"/>
    </row>
    <row r="91" customFormat="false" ht="15.6" hidden="false" customHeight="false" outlineLevel="0" collapsed="false">
      <c r="A91" s="131"/>
      <c r="B91" s="138"/>
      <c r="C91" s="138"/>
      <c r="D91" s="138"/>
      <c r="E91" s="205"/>
      <c r="F91" s="138"/>
      <c r="G91" s="138"/>
      <c r="H91" s="138"/>
      <c r="I91" s="138"/>
      <c r="J91" s="138"/>
      <c r="K91" s="138"/>
      <c r="L91" s="138"/>
      <c r="M91" s="138"/>
      <c r="N91" s="138"/>
    </row>
    <row r="92" customFormat="false" ht="15.6" hidden="false" customHeight="false" outlineLevel="0" collapsed="false">
      <c r="A92" s="131"/>
      <c r="B92" s="138"/>
      <c r="C92" s="138"/>
      <c r="D92" s="138"/>
      <c r="E92" s="205"/>
      <c r="F92" s="138"/>
      <c r="G92" s="138"/>
      <c r="H92" s="138"/>
      <c r="I92" s="138"/>
      <c r="J92" s="138"/>
      <c r="K92" s="138"/>
      <c r="L92" s="138"/>
      <c r="M92" s="138"/>
      <c r="N92" s="138"/>
    </row>
    <row r="93" customFormat="false" ht="15.6" hidden="false" customHeight="false" outlineLevel="0" collapsed="false">
      <c r="A93" s="131"/>
      <c r="B93" s="138"/>
      <c r="C93" s="138"/>
      <c r="D93" s="138"/>
      <c r="E93" s="205"/>
      <c r="F93" s="138"/>
      <c r="G93" s="138"/>
      <c r="H93" s="138"/>
      <c r="I93" s="138"/>
      <c r="J93" s="138"/>
      <c r="K93" s="138"/>
      <c r="L93" s="138"/>
      <c r="M93" s="138"/>
      <c r="N93" s="138"/>
    </row>
    <row r="94" customFormat="false" ht="15.6" hidden="false" customHeight="false" outlineLevel="0" collapsed="false">
      <c r="A94" s="131"/>
      <c r="B94" s="138"/>
      <c r="C94" s="138"/>
      <c r="D94" s="138"/>
      <c r="E94" s="205"/>
      <c r="F94" s="138"/>
      <c r="G94" s="138"/>
      <c r="H94" s="138"/>
      <c r="I94" s="138"/>
      <c r="J94" s="138"/>
      <c r="K94" s="138"/>
      <c r="L94" s="138"/>
      <c r="M94" s="138"/>
      <c r="N94" s="138"/>
    </row>
    <row r="95" customFormat="false" ht="15.6" hidden="false" customHeight="false" outlineLevel="0" collapsed="false">
      <c r="A95" s="131"/>
      <c r="B95" s="138"/>
      <c r="C95" s="138"/>
      <c r="D95" s="138"/>
      <c r="E95" s="205"/>
      <c r="F95" s="138"/>
      <c r="G95" s="138"/>
      <c r="H95" s="138"/>
      <c r="I95" s="138"/>
      <c r="J95" s="138"/>
      <c r="K95" s="138"/>
      <c r="L95" s="138"/>
      <c r="M95" s="138"/>
      <c r="N95" s="138"/>
    </row>
    <row r="96" customFormat="false" ht="15.6" hidden="false" customHeight="false" outlineLevel="0" collapsed="false">
      <c r="A96" s="131"/>
      <c r="B96" s="138"/>
      <c r="C96" s="138"/>
      <c r="D96" s="138"/>
      <c r="E96" s="205"/>
      <c r="F96" s="138"/>
      <c r="G96" s="138"/>
      <c r="H96" s="138"/>
      <c r="I96" s="138"/>
      <c r="J96" s="138"/>
      <c r="K96" s="138"/>
      <c r="L96" s="138"/>
      <c r="M96" s="138"/>
      <c r="N96" s="138"/>
    </row>
    <row r="97" customFormat="false" ht="15.6" hidden="false" customHeight="false" outlineLevel="0" collapsed="false">
      <c r="A97" s="131"/>
      <c r="B97" s="138"/>
      <c r="C97" s="138"/>
      <c r="D97" s="138"/>
      <c r="E97" s="205"/>
      <c r="F97" s="138"/>
      <c r="G97" s="138"/>
      <c r="H97" s="138"/>
      <c r="I97" s="138"/>
      <c r="J97" s="138"/>
      <c r="K97" s="138"/>
      <c r="L97" s="138"/>
      <c r="M97" s="138"/>
      <c r="N97" s="138"/>
    </row>
    <row r="98" customFormat="false" ht="15.6" hidden="false" customHeight="false" outlineLevel="0" collapsed="false">
      <c r="A98" s="131"/>
      <c r="B98" s="138"/>
      <c r="C98" s="138"/>
      <c r="D98" s="138"/>
      <c r="E98" s="205"/>
      <c r="F98" s="138"/>
      <c r="G98" s="138"/>
      <c r="H98" s="138"/>
      <c r="I98" s="138"/>
      <c r="J98" s="138"/>
      <c r="K98" s="138"/>
      <c r="L98" s="138"/>
      <c r="M98" s="138"/>
      <c r="N98" s="138"/>
    </row>
    <row r="99" customFormat="false" ht="15.6" hidden="false" customHeight="false" outlineLevel="0" collapsed="false">
      <c r="A99" s="131"/>
      <c r="B99" s="138"/>
      <c r="C99" s="138"/>
      <c r="D99" s="138"/>
      <c r="E99" s="205"/>
      <c r="F99" s="138"/>
      <c r="G99" s="138"/>
      <c r="H99" s="138"/>
      <c r="I99" s="138"/>
      <c r="J99" s="138"/>
      <c r="K99" s="138"/>
      <c r="L99" s="138"/>
      <c r="M99" s="138"/>
      <c r="N99" s="138"/>
    </row>
    <row r="100" customFormat="false" ht="15.6" hidden="false" customHeight="false" outlineLevel="0" collapsed="false">
      <c r="A100" s="131"/>
      <c r="B100" s="138"/>
      <c r="C100" s="138"/>
      <c r="D100" s="138"/>
      <c r="E100" s="205"/>
      <c r="F100" s="138"/>
      <c r="G100" s="138"/>
      <c r="H100" s="138"/>
      <c r="I100" s="138"/>
      <c r="J100" s="138"/>
      <c r="K100" s="138"/>
      <c r="L100" s="138"/>
      <c r="M100" s="138"/>
      <c r="N100" s="138"/>
    </row>
    <row r="101" customFormat="false" ht="15.6" hidden="false" customHeight="false" outlineLevel="0" collapsed="false">
      <c r="A101" s="131"/>
      <c r="B101" s="138"/>
      <c r="C101" s="138"/>
      <c r="D101" s="138"/>
      <c r="E101" s="205"/>
      <c r="F101" s="138"/>
      <c r="G101" s="138"/>
      <c r="H101" s="138"/>
      <c r="I101" s="138"/>
      <c r="J101" s="138"/>
      <c r="K101" s="138"/>
      <c r="L101" s="138"/>
      <c r="M101" s="138"/>
      <c r="N101" s="138"/>
    </row>
    <row r="102" customFormat="false" ht="15.6" hidden="false" customHeight="false" outlineLevel="0" collapsed="false">
      <c r="A102" s="131"/>
      <c r="B102" s="138"/>
      <c r="C102" s="138"/>
      <c r="D102" s="138"/>
      <c r="E102" s="205"/>
      <c r="F102" s="138"/>
      <c r="G102" s="138"/>
      <c r="H102" s="138"/>
      <c r="I102" s="138"/>
      <c r="J102" s="138"/>
      <c r="K102" s="138"/>
      <c r="L102" s="138"/>
      <c r="M102" s="138"/>
      <c r="N102" s="138"/>
    </row>
    <row r="103" customFormat="false" ht="15.6" hidden="false" customHeight="false" outlineLevel="0" collapsed="false">
      <c r="A103" s="131"/>
      <c r="B103" s="138"/>
      <c r="C103" s="138"/>
      <c r="D103" s="138"/>
      <c r="E103" s="205"/>
      <c r="F103" s="138"/>
      <c r="G103" s="138"/>
      <c r="H103" s="138"/>
      <c r="I103" s="138"/>
      <c r="J103" s="138"/>
      <c r="K103" s="138"/>
      <c r="L103" s="138"/>
      <c r="M103" s="138"/>
      <c r="N103" s="138"/>
    </row>
    <row r="104" customFormat="false" ht="15.6" hidden="false" customHeight="false" outlineLevel="0" collapsed="false">
      <c r="A104" s="131"/>
      <c r="B104" s="138"/>
      <c r="C104" s="138"/>
      <c r="D104" s="138"/>
      <c r="E104" s="205"/>
      <c r="F104" s="138"/>
      <c r="G104" s="138"/>
      <c r="H104" s="138"/>
      <c r="I104" s="138"/>
      <c r="J104" s="138"/>
      <c r="K104" s="138"/>
      <c r="L104" s="138"/>
      <c r="M104" s="138"/>
      <c r="N104" s="138"/>
    </row>
    <row r="105" customFormat="false" ht="15.6" hidden="false" customHeight="false" outlineLevel="0" collapsed="false">
      <c r="A105" s="131"/>
      <c r="B105" s="138"/>
      <c r="C105" s="138"/>
      <c r="D105" s="138"/>
      <c r="E105" s="205"/>
      <c r="F105" s="138"/>
      <c r="G105" s="138"/>
      <c r="H105" s="138"/>
      <c r="I105" s="138"/>
      <c r="J105" s="138"/>
      <c r="K105" s="138"/>
      <c r="L105" s="138"/>
      <c r="M105" s="138"/>
      <c r="N105" s="138"/>
    </row>
    <row r="106" customFormat="false" ht="15.6" hidden="false" customHeight="false" outlineLevel="0" collapsed="false">
      <c r="A106" s="131"/>
      <c r="B106" s="138"/>
      <c r="C106" s="138"/>
      <c r="D106" s="138"/>
      <c r="E106" s="205"/>
      <c r="F106" s="138"/>
      <c r="G106" s="138"/>
      <c r="H106" s="138"/>
      <c r="I106" s="138"/>
      <c r="J106" s="138"/>
      <c r="K106" s="138"/>
      <c r="L106" s="138"/>
      <c r="M106" s="138"/>
      <c r="N106" s="138"/>
    </row>
    <row r="107" customFormat="false" ht="15.6" hidden="false" customHeight="false" outlineLevel="0" collapsed="false">
      <c r="A107" s="131"/>
      <c r="B107" s="138"/>
      <c r="C107" s="138"/>
      <c r="D107" s="138"/>
      <c r="E107" s="205"/>
      <c r="F107" s="138"/>
      <c r="G107" s="138"/>
      <c r="H107" s="138"/>
      <c r="I107" s="138"/>
      <c r="J107" s="138"/>
      <c r="K107" s="138"/>
      <c r="L107" s="138"/>
      <c r="M107" s="138"/>
      <c r="N107" s="138"/>
    </row>
    <row r="108" customFormat="false" ht="15.6" hidden="false" customHeight="false" outlineLevel="0" collapsed="false">
      <c r="A108" s="131"/>
      <c r="B108" s="138"/>
      <c r="C108" s="138"/>
      <c r="D108" s="138"/>
      <c r="E108" s="205"/>
      <c r="F108" s="138"/>
      <c r="G108" s="138"/>
      <c r="H108" s="138"/>
      <c r="I108" s="138"/>
      <c r="J108" s="138"/>
      <c r="K108" s="138"/>
      <c r="L108" s="138"/>
      <c r="M108" s="138"/>
      <c r="N108" s="138"/>
    </row>
    <row r="109" customFormat="false" ht="15.6" hidden="false" customHeight="false" outlineLevel="0" collapsed="false">
      <c r="A109" s="131"/>
      <c r="B109" s="138"/>
      <c r="C109" s="138"/>
      <c r="D109" s="138"/>
      <c r="E109" s="205"/>
      <c r="F109" s="138"/>
      <c r="G109" s="138"/>
      <c r="H109" s="138"/>
      <c r="I109" s="138"/>
      <c r="J109" s="138"/>
      <c r="K109" s="138"/>
      <c r="L109" s="138"/>
      <c r="M109" s="138"/>
      <c r="N109" s="138"/>
    </row>
    <row r="110" customFormat="false" ht="15.6" hidden="false" customHeight="false" outlineLevel="0" collapsed="false">
      <c r="A110" s="131"/>
      <c r="B110" s="138"/>
      <c r="C110" s="138"/>
      <c r="D110" s="138"/>
      <c r="E110" s="205"/>
      <c r="F110" s="138"/>
      <c r="G110" s="138"/>
      <c r="H110" s="138"/>
      <c r="I110" s="138"/>
      <c r="J110" s="138"/>
      <c r="K110" s="138"/>
      <c r="L110" s="138"/>
      <c r="M110" s="138"/>
      <c r="N110" s="138"/>
    </row>
    <row r="111" customFormat="false" ht="15.6" hidden="false" customHeight="false" outlineLevel="0" collapsed="false">
      <c r="A111" s="131"/>
      <c r="B111" s="138"/>
      <c r="C111" s="138"/>
      <c r="D111" s="138"/>
      <c r="E111" s="205"/>
      <c r="F111" s="138"/>
      <c r="G111" s="138"/>
      <c r="H111" s="138"/>
      <c r="I111" s="138"/>
      <c r="J111" s="138"/>
      <c r="K111" s="138"/>
      <c r="L111" s="138"/>
      <c r="M111" s="138"/>
      <c r="N111" s="138"/>
    </row>
    <row r="112" customFormat="false" ht="15.6" hidden="false" customHeight="false" outlineLevel="0" collapsed="false">
      <c r="A112" s="131"/>
      <c r="B112" s="138"/>
      <c r="C112" s="138"/>
      <c r="D112" s="138"/>
      <c r="E112" s="205"/>
      <c r="F112" s="138"/>
      <c r="G112" s="138"/>
      <c r="H112" s="138"/>
      <c r="I112" s="138"/>
      <c r="J112" s="138"/>
      <c r="K112" s="138"/>
      <c r="L112" s="138"/>
      <c r="M112" s="138"/>
      <c r="N112" s="138"/>
    </row>
    <row r="113" s="2" customFormat="true" ht="15.6" hidden="false" customHeight="false" outlineLevel="0" collapsed="false">
      <c r="A113" s="131"/>
      <c r="B113" s="131"/>
      <c r="C113" s="131"/>
      <c r="D113" s="131"/>
      <c r="F113" s="131"/>
      <c r="G113" s="131"/>
      <c r="H113" s="131"/>
      <c r="I113" s="131"/>
      <c r="J113" s="131"/>
      <c r="K113" s="131"/>
      <c r="L113" s="131"/>
      <c r="M113" s="131"/>
      <c r="N113" s="131"/>
    </row>
    <row r="114" s="2" customFormat="true" ht="15.6" hidden="false" customHeight="false" outlineLevel="0" collapsed="false">
      <c r="A114" s="131"/>
      <c r="B114" s="131"/>
      <c r="C114" s="131"/>
      <c r="D114" s="131"/>
      <c r="F114" s="131"/>
      <c r="G114" s="131"/>
      <c r="H114" s="131"/>
      <c r="I114" s="131"/>
      <c r="J114" s="131"/>
      <c r="K114" s="131"/>
      <c r="L114" s="131"/>
      <c r="M114" s="131"/>
      <c r="N114" s="131"/>
    </row>
    <row r="115" s="2" customFormat="true" ht="15.6" hidden="false" customHeight="false" outlineLevel="0" collapsed="false">
      <c r="A115" s="131"/>
      <c r="B115" s="131"/>
      <c r="C115" s="131"/>
      <c r="D115" s="131"/>
      <c r="F115" s="131"/>
      <c r="G115" s="131"/>
      <c r="H115" s="131"/>
      <c r="I115" s="131"/>
      <c r="J115" s="131"/>
      <c r="K115" s="131"/>
      <c r="L115" s="131"/>
      <c r="M115" s="131"/>
      <c r="N115" s="131"/>
    </row>
    <row r="116" s="2" customFormat="true" ht="15.6" hidden="false" customHeight="false" outlineLevel="0" collapsed="false">
      <c r="A116" s="131"/>
      <c r="B116" s="131"/>
      <c r="C116" s="131"/>
      <c r="D116" s="131"/>
      <c r="F116" s="131"/>
      <c r="G116" s="131"/>
      <c r="H116" s="131"/>
      <c r="I116" s="131"/>
      <c r="J116" s="131"/>
      <c r="K116" s="131"/>
      <c r="L116" s="131"/>
      <c r="M116" s="131"/>
      <c r="N116" s="131"/>
    </row>
    <row r="117" s="2" customFormat="true" ht="15.6" hidden="false" customHeight="false" outlineLevel="0" collapsed="false">
      <c r="A117" s="131"/>
      <c r="B117" s="131"/>
      <c r="C117" s="131"/>
      <c r="D117" s="131"/>
      <c r="F117" s="131"/>
      <c r="G117" s="131"/>
      <c r="H117" s="131"/>
      <c r="I117" s="131"/>
      <c r="J117" s="131"/>
      <c r="K117" s="131"/>
      <c r="L117" s="131"/>
      <c r="M117" s="131"/>
      <c r="N117" s="131"/>
    </row>
    <row r="118" s="2" customFormat="true" ht="15.6" hidden="false" customHeight="false" outlineLevel="0" collapsed="false">
      <c r="A118" s="131"/>
      <c r="B118" s="131"/>
      <c r="C118" s="131"/>
      <c r="D118" s="131"/>
      <c r="F118" s="131"/>
      <c r="G118" s="131"/>
      <c r="H118" s="131"/>
      <c r="I118" s="131"/>
      <c r="J118" s="131"/>
      <c r="K118" s="131"/>
      <c r="L118" s="131"/>
      <c r="M118" s="131"/>
      <c r="N118" s="131"/>
    </row>
    <row r="119" s="2" customFormat="true" ht="15.6" hidden="false" customHeight="false" outlineLevel="0" collapsed="false">
      <c r="A119" s="131"/>
      <c r="B119" s="131"/>
      <c r="C119" s="131"/>
      <c r="D119" s="131"/>
      <c r="F119" s="131"/>
      <c r="G119" s="131"/>
      <c r="H119" s="131"/>
      <c r="I119" s="131"/>
      <c r="J119" s="131"/>
      <c r="K119" s="131"/>
      <c r="L119" s="131"/>
      <c r="M119" s="131"/>
      <c r="N119" s="131"/>
    </row>
    <row r="120" s="2" customFormat="true" ht="15.6" hidden="false" customHeight="false" outlineLevel="0" collapsed="false">
      <c r="A120" s="131"/>
      <c r="B120" s="131"/>
      <c r="C120" s="131"/>
      <c r="D120" s="131"/>
      <c r="F120" s="131"/>
      <c r="G120" s="131"/>
      <c r="H120" s="131"/>
      <c r="I120" s="131"/>
      <c r="J120" s="131"/>
      <c r="K120" s="131"/>
      <c r="L120" s="131"/>
      <c r="M120" s="131"/>
      <c r="N120" s="131"/>
    </row>
    <row r="121" s="2" customFormat="true" ht="15.6" hidden="false" customHeight="false" outlineLevel="0" collapsed="false">
      <c r="A121" s="131"/>
      <c r="B121" s="131"/>
      <c r="C121" s="131"/>
      <c r="D121" s="131"/>
      <c r="F121" s="131"/>
      <c r="G121" s="131"/>
      <c r="H121" s="131"/>
      <c r="I121" s="131"/>
      <c r="J121" s="131"/>
      <c r="K121" s="131"/>
      <c r="L121" s="131"/>
      <c r="M121" s="131"/>
      <c r="N121" s="131"/>
    </row>
    <row r="122" s="2" customFormat="true" ht="15.6" hidden="false" customHeight="false" outlineLevel="0" collapsed="false">
      <c r="A122" s="131"/>
      <c r="B122" s="131"/>
      <c r="C122" s="131"/>
      <c r="D122" s="131"/>
      <c r="F122" s="131"/>
      <c r="G122" s="131"/>
      <c r="H122" s="131"/>
      <c r="I122" s="131"/>
      <c r="J122" s="131"/>
      <c r="K122" s="131"/>
      <c r="L122" s="131"/>
      <c r="M122" s="131"/>
      <c r="N122" s="131"/>
    </row>
    <row r="123" s="2" customFormat="true" ht="15.6" hidden="false" customHeight="false" outlineLevel="0" collapsed="false">
      <c r="A123" s="131"/>
      <c r="B123" s="131"/>
      <c r="C123" s="131"/>
      <c r="D123" s="131"/>
      <c r="F123" s="131"/>
      <c r="G123" s="131"/>
      <c r="H123" s="131"/>
      <c r="I123" s="131"/>
      <c r="J123" s="131"/>
      <c r="K123" s="131"/>
      <c r="L123" s="131"/>
      <c r="M123" s="131"/>
      <c r="N123" s="131"/>
    </row>
    <row r="124" s="2" customFormat="true" ht="15.6" hidden="false" customHeight="false" outlineLevel="0" collapsed="false">
      <c r="A124" s="131"/>
      <c r="B124" s="131"/>
      <c r="C124" s="131"/>
      <c r="D124" s="131"/>
      <c r="F124" s="131"/>
      <c r="G124" s="131"/>
      <c r="H124" s="131"/>
      <c r="I124" s="131"/>
      <c r="J124" s="131"/>
      <c r="K124" s="131"/>
      <c r="L124" s="131"/>
      <c r="M124" s="131"/>
      <c r="N124" s="131"/>
    </row>
    <row r="125" s="2" customFormat="true" ht="15.6" hidden="false" customHeight="false" outlineLevel="0" collapsed="false">
      <c r="A125" s="131"/>
      <c r="B125" s="131"/>
      <c r="C125" s="131"/>
      <c r="D125" s="131"/>
      <c r="F125" s="131"/>
      <c r="G125" s="131"/>
      <c r="H125" s="131"/>
      <c r="I125" s="131"/>
      <c r="J125" s="131"/>
      <c r="K125" s="131"/>
      <c r="L125" s="131"/>
      <c r="M125" s="131"/>
      <c r="N125" s="131"/>
    </row>
    <row r="126" s="2" customFormat="true" ht="15.6" hidden="false" customHeight="false" outlineLevel="0" collapsed="false">
      <c r="A126" s="131"/>
      <c r="B126" s="131"/>
      <c r="C126" s="131"/>
      <c r="D126" s="131"/>
      <c r="F126" s="131"/>
      <c r="G126" s="131"/>
      <c r="H126" s="131"/>
      <c r="I126" s="131"/>
      <c r="J126" s="131"/>
      <c r="K126" s="131"/>
      <c r="L126" s="131"/>
      <c r="M126" s="131"/>
      <c r="N126" s="131"/>
    </row>
    <row r="127" s="2" customFormat="true" ht="15.6" hidden="false" customHeight="false" outlineLevel="0" collapsed="false">
      <c r="A127" s="131"/>
      <c r="B127" s="131"/>
      <c r="C127" s="131"/>
      <c r="D127" s="131"/>
      <c r="F127" s="131"/>
      <c r="G127" s="131"/>
      <c r="H127" s="131"/>
      <c r="I127" s="131"/>
      <c r="J127" s="131"/>
      <c r="K127" s="131"/>
      <c r="L127" s="131"/>
      <c r="M127" s="131"/>
      <c r="N127" s="131"/>
    </row>
    <row r="128" s="2" customFormat="true" ht="15.6" hidden="false" customHeight="false" outlineLevel="0" collapsed="false">
      <c r="A128" s="131"/>
      <c r="B128" s="131"/>
      <c r="C128" s="131"/>
      <c r="D128" s="131"/>
      <c r="F128" s="131"/>
      <c r="G128" s="131"/>
      <c r="H128" s="131"/>
      <c r="I128" s="131"/>
      <c r="J128" s="131"/>
      <c r="K128" s="131"/>
      <c r="L128" s="131"/>
      <c r="M128" s="131"/>
      <c r="N128" s="131"/>
    </row>
    <row r="129" s="2" customFormat="true" ht="15.6" hidden="false" customHeight="false" outlineLevel="0" collapsed="false">
      <c r="A129" s="131"/>
      <c r="B129" s="131"/>
      <c r="C129" s="131"/>
      <c r="D129" s="131"/>
      <c r="F129" s="131"/>
      <c r="G129" s="131"/>
      <c r="H129" s="131"/>
      <c r="I129" s="131"/>
      <c r="J129" s="131"/>
      <c r="K129" s="131"/>
      <c r="L129" s="131"/>
      <c r="M129" s="131"/>
      <c r="N129" s="131"/>
    </row>
    <row r="130" s="2" customFormat="true" ht="15.6" hidden="false" customHeight="false" outlineLevel="0" collapsed="false">
      <c r="A130" s="131"/>
      <c r="B130" s="131"/>
      <c r="C130" s="131"/>
      <c r="D130" s="131"/>
      <c r="F130" s="131"/>
      <c r="G130" s="131"/>
      <c r="H130" s="131"/>
      <c r="I130" s="131"/>
      <c r="J130" s="131"/>
      <c r="K130" s="131"/>
      <c r="L130" s="131"/>
      <c r="M130" s="131"/>
      <c r="N130" s="131"/>
    </row>
    <row r="131" s="2" customFormat="true" ht="15.6" hidden="false" customHeight="false" outlineLevel="0" collapsed="false">
      <c r="A131" s="131"/>
      <c r="B131" s="131"/>
      <c r="C131" s="131"/>
      <c r="D131" s="131"/>
      <c r="F131" s="131"/>
      <c r="G131" s="131"/>
      <c r="H131" s="131"/>
      <c r="I131" s="131"/>
      <c r="J131" s="131"/>
      <c r="K131" s="131"/>
      <c r="L131" s="131"/>
      <c r="M131" s="131"/>
      <c r="N131" s="131"/>
    </row>
    <row r="132" s="2" customFormat="true" ht="15.6" hidden="false" customHeight="false" outlineLevel="0" collapsed="false">
      <c r="A132" s="131"/>
      <c r="B132" s="131"/>
      <c r="C132" s="131"/>
      <c r="D132" s="131"/>
      <c r="F132" s="131"/>
      <c r="G132" s="131"/>
      <c r="H132" s="131"/>
      <c r="I132" s="131"/>
      <c r="J132" s="131"/>
      <c r="K132" s="131"/>
      <c r="L132" s="131"/>
      <c r="M132" s="131"/>
      <c r="N132" s="131"/>
    </row>
    <row r="133" s="2" customFormat="true" ht="15.6" hidden="false" customHeight="false" outlineLevel="0" collapsed="false">
      <c r="A133" s="131"/>
      <c r="B133" s="131"/>
      <c r="C133" s="131"/>
      <c r="D133" s="131"/>
      <c r="F133" s="131"/>
      <c r="G133" s="131"/>
      <c r="H133" s="131"/>
      <c r="I133" s="131"/>
      <c r="J133" s="131"/>
      <c r="K133" s="131"/>
      <c r="L133" s="131"/>
      <c r="M133" s="131"/>
      <c r="N133" s="131"/>
    </row>
    <row r="134" s="2" customFormat="true" ht="15.6" hidden="false" customHeight="false" outlineLevel="0" collapsed="false">
      <c r="A134" s="131"/>
      <c r="B134" s="131"/>
      <c r="C134" s="131"/>
      <c r="D134" s="131"/>
      <c r="F134" s="131"/>
      <c r="G134" s="131"/>
      <c r="H134" s="131"/>
      <c r="I134" s="131"/>
      <c r="J134" s="131"/>
      <c r="K134" s="131"/>
      <c r="L134" s="131"/>
      <c r="M134" s="131"/>
      <c r="N134" s="131"/>
    </row>
    <row r="135" s="2" customFormat="true" ht="15.6" hidden="false" customHeight="false" outlineLevel="0" collapsed="false">
      <c r="A135" s="131"/>
      <c r="B135" s="131"/>
      <c r="C135" s="131"/>
      <c r="D135" s="131"/>
      <c r="F135" s="131"/>
      <c r="G135" s="131"/>
      <c r="H135" s="131"/>
      <c r="I135" s="131"/>
      <c r="J135" s="131"/>
      <c r="K135" s="131"/>
      <c r="L135" s="131"/>
      <c r="M135" s="131"/>
      <c r="N135" s="131"/>
    </row>
    <row r="136" s="2" customFormat="true" ht="15.6" hidden="false" customHeight="false" outlineLevel="0" collapsed="false">
      <c r="A136" s="131"/>
      <c r="B136" s="131"/>
      <c r="C136" s="131"/>
      <c r="D136" s="131"/>
      <c r="F136" s="131"/>
      <c r="G136" s="131"/>
      <c r="H136" s="131"/>
      <c r="I136" s="131"/>
      <c r="J136" s="131"/>
      <c r="K136" s="131"/>
      <c r="L136" s="131"/>
      <c r="M136" s="131"/>
      <c r="N136" s="131"/>
    </row>
    <row r="137" s="2" customFormat="true" ht="15.6" hidden="false" customHeight="false" outlineLevel="0" collapsed="false">
      <c r="A137" s="131"/>
      <c r="B137" s="131"/>
      <c r="C137" s="131"/>
      <c r="D137" s="131"/>
      <c r="F137" s="131"/>
      <c r="G137" s="131"/>
      <c r="H137" s="131"/>
      <c r="I137" s="131"/>
      <c r="J137" s="131"/>
      <c r="K137" s="131"/>
      <c r="L137" s="131"/>
      <c r="M137" s="131"/>
      <c r="N137" s="131"/>
    </row>
    <row r="138" s="2" customFormat="true" ht="15.6" hidden="false" customHeight="false" outlineLevel="0" collapsed="false">
      <c r="A138" s="131"/>
      <c r="B138" s="131"/>
      <c r="C138" s="131"/>
      <c r="D138" s="131"/>
      <c r="F138" s="131"/>
      <c r="G138" s="131"/>
      <c r="H138" s="131"/>
      <c r="I138" s="131"/>
      <c r="J138" s="131"/>
      <c r="K138" s="131"/>
      <c r="L138" s="131"/>
      <c r="M138" s="131"/>
      <c r="N138" s="131"/>
    </row>
    <row r="139" s="2" customFormat="true" ht="15.6" hidden="false" customHeight="false" outlineLevel="0" collapsed="false">
      <c r="A139" s="131"/>
      <c r="B139" s="131"/>
      <c r="C139" s="131"/>
      <c r="D139" s="131"/>
      <c r="F139" s="131"/>
      <c r="G139" s="131"/>
      <c r="H139" s="131"/>
      <c r="I139" s="131"/>
      <c r="J139" s="131"/>
      <c r="K139" s="131"/>
      <c r="L139" s="131"/>
      <c r="M139" s="131"/>
      <c r="N139" s="131"/>
    </row>
    <row r="140" s="2" customFormat="true" ht="15.6" hidden="false" customHeight="false" outlineLevel="0" collapsed="false">
      <c r="A140" s="131"/>
      <c r="B140" s="131"/>
      <c r="C140" s="131"/>
      <c r="D140" s="131"/>
      <c r="F140" s="131"/>
      <c r="G140" s="131"/>
      <c r="H140" s="131"/>
      <c r="I140" s="131"/>
      <c r="J140" s="131"/>
      <c r="K140" s="131"/>
      <c r="L140" s="131"/>
      <c r="M140" s="131"/>
      <c r="N140" s="131"/>
    </row>
    <row r="141" s="2" customFormat="true" ht="15.6" hidden="false" customHeight="false" outlineLevel="0" collapsed="false">
      <c r="A141" s="131"/>
      <c r="B141" s="131"/>
      <c r="C141" s="131"/>
      <c r="D141" s="131"/>
      <c r="F141" s="131"/>
      <c r="G141" s="131"/>
      <c r="H141" s="131"/>
      <c r="I141" s="131"/>
      <c r="J141" s="131"/>
      <c r="K141" s="131"/>
      <c r="L141" s="131"/>
      <c r="M141" s="131"/>
      <c r="N141" s="131"/>
    </row>
    <row r="142" s="2" customFormat="true" ht="15.6" hidden="false" customHeight="false" outlineLevel="0" collapsed="false">
      <c r="A142" s="131"/>
      <c r="B142" s="131"/>
      <c r="C142" s="131"/>
      <c r="D142" s="131"/>
      <c r="F142" s="131"/>
      <c r="G142" s="131"/>
      <c r="H142" s="131"/>
      <c r="I142" s="131"/>
      <c r="J142" s="131"/>
      <c r="K142" s="131"/>
      <c r="L142" s="131"/>
      <c r="M142" s="131"/>
      <c r="N142" s="131"/>
    </row>
    <row r="143" s="2" customFormat="true" ht="15.6" hidden="false" customHeight="false" outlineLevel="0" collapsed="false">
      <c r="A143" s="131"/>
      <c r="B143" s="131"/>
      <c r="C143" s="131"/>
      <c r="D143" s="131"/>
      <c r="F143" s="131"/>
      <c r="G143" s="131"/>
      <c r="H143" s="131"/>
      <c r="I143" s="131"/>
      <c r="J143" s="131"/>
      <c r="K143" s="131"/>
      <c r="L143" s="131"/>
      <c r="M143" s="131"/>
      <c r="N143" s="131"/>
    </row>
    <row r="144" s="2" customFormat="true" ht="15.6" hidden="false" customHeight="false" outlineLevel="0" collapsed="false">
      <c r="A144" s="131"/>
      <c r="B144" s="131"/>
      <c r="C144" s="131"/>
      <c r="D144" s="131"/>
      <c r="F144" s="131"/>
      <c r="G144" s="131"/>
      <c r="H144" s="131"/>
      <c r="I144" s="131"/>
      <c r="J144" s="131"/>
      <c r="K144" s="131"/>
      <c r="L144" s="131"/>
      <c r="M144" s="131"/>
      <c r="N144" s="131"/>
    </row>
    <row r="145" s="2" customFormat="true" ht="15.6" hidden="false" customHeight="false" outlineLevel="0" collapsed="false">
      <c r="A145" s="131"/>
      <c r="B145" s="131"/>
      <c r="C145" s="131"/>
      <c r="D145" s="131"/>
      <c r="F145" s="131"/>
      <c r="G145" s="131"/>
      <c r="H145" s="131"/>
      <c r="I145" s="131"/>
      <c r="J145" s="131"/>
      <c r="K145" s="131"/>
      <c r="L145" s="131"/>
      <c r="M145" s="131"/>
      <c r="N145" s="131"/>
    </row>
    <row r="146" s="2" customFormat="true" ht="15.6" hidden="false" customHeight="false" outlineLevel="0" collapsed="false">
      <c r="A146" s="131"/>
      <c r="B146" s="131"/>
      <c r="C146" s="131"/>
      <c r="D146" s="131"/>
      <c r="F146" s="131"/>
      <c r="G146" s="131"/>
      <c r="H146" s="131"/>
      <c r="I146" s="131"/>
      <c r="J146" s="131"/>
      <c r="K146" s="131"/>
      <c r="L146" s="131"/>
      <c r="M146" s="131"/>
      <c r="N146" s="131"/>
    </row>
    <row r="147" s="2" customFormat="true" ht="15.6" hidden="false" customHeight="false" outlineLevel="0" collapsed="false">
      <c r="A147" s="131"/>
      <c r="B147" s="131"/>
      <c r="C147" s="131"/>
      <c r="D147" s="131"/>
      <c r="F147" s="131"/>
      <c r="G147" s="131"/>
      <c r="H147" s="131"/>
      <c r="I147" s="131"/>
      <c r="J147" s="131"/>
      <c r="K147" s="131"/>
      <c r="L147" s="131"/>
      <c r="M147" s="131"/>
      <c r="N147" s="131"/>
    </row>
    <row r="148" s="2" customFormat="true" ht="15.6" hidden="false" customHeight="false" outlineLevel="0" collapsed="false">
      <c r="A148" s="131"/>
      <c r="B148" s="131"/>
      <c r="C148" s="131"/>
      <c r="D148" s="131"/>
      <c r="F148" s="131"/>
      <c r="G148" s="131"/>
      <c r="H148" s="131"/>
      <c r="I148" s="131"/>
      <c r="J148" s="131"/>
      <c r="K148" s="131"/>
      <c r="L148" s="131"/>
      <c r="M148" s="131"/>
      <c r="N148" s="131"/>
    </row>
    <row r="149" s="2" customFormat="true" ht="15.6" hidden="false" customHeight="false" outlineLevel="0" collapsed="false">
      <c r="A149" s="131"/>
      <c r="B149" s="131"/>
      <c r="C149" s="131"/>
      <c r="D149" s="131"/>
      <c r="F149" s="131"/>
      <c r="G149" s="131"/>
      <c r="H149" s="131"/>
      <c r="I149" s="131"/>
      <c r="J149" s="131"/>
      <c r="K149" s="131"/>
      <c r="L149" s="131"/>
      <c r="M149" s="131"/>
      <c r="N149" s="131"/>
    </row>
    <row r="150" s="2" customFormat="true" ht="15.6" hidden="false" customHeight="false" outlineLevel="0" collapsed="false">
      <c r="A150" s="131"/>
      <c r="B150" s="131"/>
      <c r="C150" s="131"/>
      <c r="D150" s="131"/>
      <c r="F150" s="131"/>
      <c r="G150" s="131"/>
      <c r="H150" s="131"/>
      <c r="I150" s="131"/>
      <c r="J150" s="131"/>
      <c r="K150" s="131"/>
      <c r="L150" s="131"/>
      <c r="M150" s="131"/>
      <c r="N150" s="131"/>
    </row>
    <row r="151" s="2" customFormat="true" ht="15.6" hidden="false" customHeight="false" outlineLevel="0" collapsed="false">
      <c r="A151" s="131"/>
      <c r="B151" s="131"/>
      <c r="C151" s="131"/>
      <c r="D151" s="131"/>
      <c r="F151" s="131"/>
      <c r="G151" s="131"/>
      <c r="H151" s="131"/>
      <c r="I151" s="131"/>
      <c r="J151" s="131"/>
      <c r="K151" s="131"/>
      <c r="L151" s="131"/>
      <c r="M151" s="131"/>
      <c r="N151" s="131"/>
    </row>
    <row r="152" s="2" customFormat="true" ht="15.6" hidden="false" customHeight="false" outlineLevel="0" collapsed="false">
      <c r="A152" s="131"/>
      <c r="B152" s="131"/>
      <c r="C152" s="131"/>
      <c r="D152" s="131"/>
      <c r="F152" s="131"/>
      <c r="G152" s="131"/>
      <c r="H152" s="131"/>
      <c r="I152" s="131"/>
      <c r="J152" s="131"/>
      <c r="K152" s="131"/>
      <c r="L152" s="131"/>
      <c r="M152" s="131"/>
      <c r="N152" s="131"/>
    </row>
    <row r="153" s="2" customFormat="true" ht="15.6" hidden="false" customHeight="false" outlineLevel="0" collapsed="false">
      <c r="A153" s="131"/>
      <c r="B153" s="131"/>
      <c r="C153" s="131"/>
      <c r="D153" s="131"/>
      <c r="F153" s="131"/>
      <c r="G153" s="131"/>
      <c r="H153" s="131"/>
      <c r="I153" s="131"/>
      <c r="J153" s="131"/>
      <c r="K153" s="131"/>
      <c r="L153" s="131"/>
      <c r="M153" s="131"/>
      <c r="N153" s="131"/>
    </row>
    <row r="154" s="2" customFormat="true" ht="15.6" hidden="false" customHeight="false" outlineLevel="0" collapsed="false">
      <c r="A154" s="131"/>
      <c r="B154" s="131"/>
      <c r="C154" s="131"/>
      <c r="D154" s="131"/>
      <c r="F154" s="131"/>
      <c r="G154" s="131"/>
      <c r="H154" s="131"/>
      <c r="I154" s="131"/>
      <c r="J154" s="131"/>
      <c r="K154" s="131"/>
      <c r="L154" s="131"/>
      <c r="M154" s="131"/>
      <c r="N154" s="131"/>
    </row>
    <row r="155" s="2" customFormat="true" ht="15.6" hidden="false" customHeight="false" outlineLevel="0" collapsed="false">
      <c r="A155" s="131"/>
      <c r="B155" s="131"/>
      <c r="C155" s="131"/>
      <c r="D155" s="131"/>
      <c r="F155" s="131"/>
      <c r="G155" s="131"/>
      <c r="H155" s="131"/>
      <c r="I155" s="131"/>
      <c r="J155" s="131"/>
      <c r="K155" s="131"/>
      <c r="L155" s="131"/>
      <c r="M155" s="131"/>
      <c r="N155" s="131"/>
    </row>
    <row r="156" s="2" customFormat="true" ht="15.6" hidden="false" customHeight="false" outlineLevel="0" collapsed="false">
      <c r="A156" s="131"/>
      <c r="B156" s="131"/>
      <c r="C156" s="131"/>
      <c r="D156" s="131"/>
      <c r="F156" s="131"/>
      <c r="G156" s="131"/>
      <c r="H156" s="131"/>
      <c r="I156" s="131"/>
      <c r="J156" s="131"/>
      <c r="K156" s="131"/>
      <c r="L156" s="131"/>
      <c r="M156" s="131"/>
      <c r="N156" s="131"/>
    </row>
    <row r="157" s="2" customFormat="true" ht="15.6" hidden="false" customHeight="false" outlineLevel="0" collapsed="false">
      <c r="A157" s="131"/>
      <c r="B157" s="131"/>
      <c r="C157" s="131"/>
      <c r="D157" s="131"/>
      <c r="F157" s="131"/>
      <c r="G157" s="131"/>
      <c r="H157" s="131"/>
      <c r="I157" s="131"/>
      <c r="J157" s="131"/>
      <c r="K157" s="131"/>
      <c r="L157" s="131"/>
      <c r="M157" s="131"/>
      <c r="N157" s="131"/>
    </row>
    <row r="158" s="2" customFormat="true" ht="15.6" hidden="false" customHeight="false" outlineLevel="0" collapsed="false">
      <c r="A158" s="131"/>
      <c r="B158" s="131"/>
      <c r="C158" s="131"/>
      <c r="D158" s="131"/>
      <c r="F158" s="131"/>
      <c r="G158" s="131"/>
      <c r="H158" s="131"/>
      <c r="I158" s="131"/>
      <c r="J158" s="131"/>
      <c r="K158" s="131"/>
      <c r="L158" s="131"/>
      <c r="M158" s="131"/>
      <c r="N158" s="131"/>
    </row>
    <row r="159" s="2" customFormat="true" ht="15.6" hidden="false" customHeight="false" outlineLevel="0" collapsed="false">
      <c r="A159" s="131"/>
      <c r="B159" s="131"/>
      <c r="C159" s="131"/>
      <c r="D159" s="131"/>
      <c r="F159" s="131"/>
      <c r="G159" s="131"/>
      <c r="H159" s="131"/>
      <c r="I159" s="131"/>
      <c r="J159" s="131"/>
      <c r="K159" s="131"/>
      <c r="L159" s="131"/>
      <c r="M159" s="131"/>
      <c r="N159" s="131"/>
    </row>
    <row r="160" s="2" customFormat="true" ht="15.6" hidden="false" customHeight="false" outlineLevel="0" collapsed="false">
      <c r="A160" s="131"/>
      <c r="B160" s="131"/>
      <c r="C160" s="131"/>
      <c r="D160" s="131"/>
      <c r="F160" s="131"/>
      <c r="G160" s="131"/>
      <c r="H160" s="131"/>
      <c r="I160" s="131"/>
      <c r="J160" s="131"/>
      <c r="K160" s="131"/>
      <c r="L160" s="131"/>
      <c r="M160" s="131"/>
      <c r="N160" s="131"/>
    </row>
    <row r="161" s="2" customFormat="true" ht="15.6" hidden="false" customHeight="false" outlineLevel="0" collapsed="false">
      <c r="A161" s="131"/>
      <c r="B161" s="131"/>
      <c r="C161" s="131"/>
      <c r="D161" s="131"/>
      <c r="F161" s="131"/>
      <c r="G161" s="131"/>
      <c r="H161" s="131"/>
      <c r="I161" s="131"/>
      <c r="J161" s="131"/>
      <c r="K161" s="131"/>
      <c r="L161" s="131"/>
      <c r="M161" s="131"/>
      <c r="N161" s="131"/>
    </row>
    <row r="162" s="2" customFormat="true" ht="15.6" hidden="false" customHeight="false" outlineLevel="0" collapsed="false">
      <c r="A162" s="131"/>
      <c r="B162" s="131"/>
      <c r="C162" s="131"/>
      <c r="D162" s="131"/>
      <c r="F162" s="131"/>
      <c r="G162" s="131"/>
      <c r="H162" s="131"/>
      <c r="I162" s="131"/>
      <c r="J162" s="131"/>
      <c r="K162" s="131"/>
      <c r="L162" s="131"/>
      <c r="M162" s="131"/>
      <c r="N162" s="131"/>
    </row>
    <row r="163" s="2" customFormat="true" ht="15.6" hidden="false" customHeight="false" outlineLevel="0" collapsed="false">
      <c r="A163" s="131"/>
      <c r="B163" s="131"/>
      <c r="C163" s="131"/>
      <c r="D163" s="131"/>
      <c r="F163" s="131"/>
      <c r="G163" s="131"/>
      <c r="H163" s="131"/>
      <c r="I163" s="131"/>
      <c r="J163" s="131"/>
      <c r="K163" s="131"/>
      <c r="L163" s="131"/>
      <c r="M163" s="131"/>
      <c r="N163" s="131"/>
    </row>
    <row r="164" s="2" customFormat="true" ht="15.6" hidden="false" customHeight="false" outlineLevel="0" collapsed="false">
      <c r="A164" s="131"/>
      <c r="B164" s="131"/>
      <c r="C164" s="131"/>
      <c r="D164" s="131"/>
      <c r="F164" s="131"/>
      <c r="G164" s="131"/>
      <c r="H164" s="131"/>
      <c r="I164" s="131"/>
      <c r="J164" s="131"/>
      <c r="K164" s="131"/>
      <c r="L164" s="131"/>
      <c r="M164" s="131"/>
      <c r="N164" s="131"/>
    </row>
    <row r="165" s="2" customFormat="true" ht="15.6" hidden="false" customHeight="false" outlineLevel="0" collapsed="false">
      <c r="A165" s="131"/>
      <c r="B165" s="131"/>
      <c r="C165" s="131"/>
      <c r="D165" s="131"/>
      <c r="F165" s="131"/>
      <c r="G165" s="131"/>
      <c r="H165" s="131"/>
      <c r="I165" s="131"/>
      <c r="J165" s="131"/>
      <c r="K165" s="131"/>
      <c r="L165" s="131"/>
      <c r="M165" s="131"/>
      <c r="N165" s="131"/>
    </row>
    <row r="166" s="2" customFormat="true" ht="15.6" hidden="false" customHeight="false" outlineLevel="0" collapsed="false">
      <c r="A166" s="131"/>
      <c r="B166" s="131"/>
      <c r="C166" s="131"/>
      <c r="D166" s="131"/>
      <c r="F166" s="131"/>
      <c r="G166" s="131"/>
      <c r="H166" s="131"/>
      <c r="I166" s="131"/>
      <c r="J166" s="131"/>
      <c r="K166" s="131"/>
      <c r="L166" s="131"/>
      <c r="M166" s="131"/>
      <c r="N166" s="131"/>
    </row>
    <row r="167" s="2" customFormat="true" ht="15.6" hidden="false" customHeight="false" outlineLevel="0" collapsed="false">
      <c r="A167" s="131"/>
      <c r="B167" s="131"/>
      <c r="C167" s="131"/>
      <c r="D167" s="131"/>
      <c r="F167" s="131"/>
      <c r="G167" s="131"/>
      <c r="H167" s="131"/>
      <c r="I167" s="131"/>
      <c r="J167" s="131"/>
      <c r="K167" s="131"/>
      <c r="L167" s="131"/>
      <c r="M167" s="131"/>
      <c r="N167" s="131"/>
    </row>
    <row r="168" s="2" customFormat="true" ht="15.6" hidden="false" customHeight="false" outlineLevel="0" collapsed="false">
      <c r="A168" s="131"/>
      <c r="B168" s="131"/>
      <c r="C168" s="131"/>
      <c r="D168" s="131"/>
      <c r="F168" s="131"/>
      <c r="G168" s="131"/>
      <c r="H168" s="131"/>
      <c r="I168" s="131"/>
      <c r="J168" s="131"/>
      <c r="K168" s="131"/>
      <c r="L168" s="131"/>
      <c r="M168" s="131"/>
      <c r="N168" s="131"/>
    </row>
    <row r="169" s="2" customFormat="true" ht="15.6" hidden="false" customHeight="false" outlineLevel="0" collapsed="false">
      <c r="A169" s="131"/>
      <c r="B169" s="131"/>
      <c r="C169" s="131"/>
      <c r="D169" s="131"/>
      <c r="F169" s="131"/>
      <c r="G169" s="131"/>
      <c r="H169" s="131"/>
      <c r="I169" s="131"/>
      <c r="J169" s="131"/>
      <c r="K169" s="131"/>
      <c r="L169" s="131"/>
      <c r="M169" s="131"/>
      <c r="N169" s="131"/>
    </row>
    <row r="170" s="2" customFormat="true" ht="15.6" hidden="false" customHeight="false" outlineLevel="0" collapsed="false">
      <c r="A170" s="131"/>
      <c r="B170" s="131"/>
      <c r="C170" s="131"/>
      <c r="D170" s="131"/>
      <c r="F170" s="131"/>
      <c r="G170" s="131"/>
      <c r="H170" s="131"/>
      <c r="I170" s="131"/>
      <c r="J170" s="131"/>
      <c r="K170" s="131"/>
      <c r="L170" s="131"/>
      <c r="M170" s="131"/>
      <c r="N170" s="131"/>
    </row>
    <row r="171" s="2" customFormat="true" ht="15.6" hidden="false" customHeight="false" outlineLevel="0" collapsed="false">
      <c r="A171" s="131"/>
      <c r="B171" s="131"/>
      <c r="C171" s="131"/>
      <c r="D171" s="131"/>
      <c r="F171" s="131"/>
      <c r="G171" s="131"/>
      <c r="H171" s="131"/>
      <c r="I171" s="131"/>
      <c r="J171" s="131"/>
      <c r="K171" s="131"/>
      <c r="L171" s="131"/>
      <c r="M171" s="131"/>
      <c r="N171" s="131"/>
    </row>
    <row r="172" s="2" customFormat="true" ht="15.6" hidden="false" customHeight="false" outlineLevel="0" collapsed="false">
      <c r="A172" s="131"/>
      <c r="B172" s="131"/>
      <c r="C172" s="131"/>
      <c r="D172" s="131"/>
      <c r="F172" s="131"/>
      <c r="G172" s="131"/>
      <c r="H172" s="131"/>
      <c r="I172" s="131"/>
      <c r="J172" s="131"/>
      <c r="K172" s="131"/>
      <c r="L172" s="131"/>
      <c r="M172" s="131"/>
      <c r="N172" s="131"/>
    </row>
    <row r="173" s="2" customFormat="true" ht="15.6" hidden="false" customHeight="false" outlineLevel="0" collapsed="false">
      <c r="A173" s="131"/>
      <c r="B173" s="131"/>
      <c r="C173" s="131"/>
      <c r="D173" s="131"/>
      <c r="F173" s="131"/>
      <c r="G173" s="131"/>
      <c r="H173" s="131"/>
      <c r="I173" s="131"/>
      <c r="J173" s="131"/>
      <c r="K173" s="131"/>
      <c r="L173" s="131"/>
      <c r="M173" s="131"/>
      <c r="N173" s="131"/>
    </row>
    <row r="174" s="2" customFormat="true" ht="15.6" hidden="false" customHeight="false" outlineLevel="0" collapsed="false">
      <c r="A174" s="131"/>
      <c r="B174" s="131"/>
      <c r="C174" s="131"/>
      <c r="D174" s="131"/>
      <c r="F174" s="131"/>
      <c r="G174" s="131"/>
      <c r="H174" s="131"/>
      <c r="I174" s="131"/>
      <c r="J174" s="131"/>
      <c r="K174" s="131"/>
      <c r="L174" s="131"/>
      <c r="M174" s="131"/>
      <c r="N174" s="131"/>
    </row>
    <row r="175" s="2" customFormat="true" ht="15.6" hidden="false" customHeight="false" outlineLevel="0" collapsed="false">
      <c r="A175" s="131"/>
      <c r="B175" s="131"/>
      <c r="C175" s="131"/>
      <c r="D175" s="131"/>
      <c r="F175" s="131"/>
      <c r="G175" s="131"/>
      <c r="H175" s="131"/>
      <c r="I175" s="131"/>
      <c r="J175" s="131"/>
      <c r="K175" s="131"/>
      <c r="L175" s="131"/>
      <c r="M175" s="131"/>
      <c r="N175" s="131"/>
    </row>
    <row r="176" s="2" customFormat="true" ht="15.6" hidden="false" customHeight="false" outlineLevel="0" collapsed="false">
      <c r="A176" s="131"/>
      <c r="B176" s="131"/>
      <c r="C176" s="131"/>
      <c r="D176" s="131"/>
      <c r="F176" s="131"/>
      <c r="G176" s="131"/>
      <c r="H176" s="131"/>
      <c r="I176" s="131"/>
      <c r="J176" s="131"/>
      <c r="K176" s="131"/>
      <c r="L176" s="131"/>
      <c r="M176" s="131"/>
      <c r="N176" s="131"/>
    </row>
    <row r="177" s="2" customFormat="true" ht="15.6" hidden="false" customHeight="false" outlineLevel="0" collapsed="false">
      <c r="A177" s="131"/>
      <c r="B177" s="131"/>
      <c r="C177" s="131"/>
      <c r="D177" s="131"/>
      <c r="F177" s="131"/>
      <c r="G177" s="131"/>
      <c r="H177" s="131"/>
      <c r="I177" s="131"/>
      <c r="J177" s="131"/>
      <c r="K177" s="131"/>
      <c r="L177" s="131"/>
      <c r="M177" s="131"/>
      <c r="N177" s="131"/>
    </row>
    <row r="178" s="2" customFormat="true" ht="15.6" hidden="false" customHeight="false" outlineLevel="0" collapsed="false">
      <c r="A178" s="131"/>
      <c r="B178" s="131"/>
      <c r="C178" s="131"/>
      <c r="D178" s="131"/>
      <c r="F178" s="131"/>
      <c r="G178" s="131"/>
      <c r="H178" s="131"/>
      <c r="I178" s="131"/>
      <c r="J178" s="131"/>
      <c r="K178" s="131"/>
      <c r="L178" s="131"/>
      <c r="M178" s="131"/>
      <c r="N178" s="131"/>
    </row>
    <row r="179" s="2" customFormat="true" ht="15.6" hidden="false" customHeight="false" outlineLevel="0" collapsed="false">
      <c r="A179" s="131"/>
      <c r="B179" s="131"/>
      <c r="C179" s="131"/>
      <c r="D179" s="131"/>
      <c r="F179" s="131"/>
      <c r="G179" s="131"/>
      <c r="H179" s="131"/>
      <c r="I179" s="131"/>
      <c r="J179" s="131"/>
      <c r="K179" s="131"/>
      <c r="L179" s="131"/>
      <c r="M179" s="131"/>
      <c r="N179" s="131"/>
    </row>
    <row r="180" s="2" customFormat="true" ht="15.6" hidden="false" customHeight="false" outlineLevel="0" collapsed="false">
      <c r="A180" s="131"/>
      <c r="B180" s="131"/>
      <c r="C180" s="131"/>
      <c r="D180" s="131"/>
      <c r="F180" s="131"/>
      <c r="G180" s="131"/>
      <c r="H180" s="131"/>
      <c r="I180" s="131"/>
      <c r="J180" s="131"/>
      <c r="K180" s="131"/>
      <c r="L180" s="131"/>
      <c r="M180" s="131"/>
      <c r="N180" s="131"/>
    </row>
    <row r="181" s="2" customFormat="true" ht="15.6" hidden="false" customHeight="false" outlineLevel="0" collapsed="false">
      <c r="A181" s="131"/>
      <c r="B181" s="131"/>
      <c r="C181" s="131"/>
      <c r="D181" s="131"/>
      <c r="F181" s="131"/>
      <c r="G181" s="131"/>
      <c r="H181" s="131"/>
      <c r="I181" s="131"/>
      <c r="J181" s="131"/>
      <c r="K181" s="131"/>
      <c r="L181" s="131"/>
      <c r="M181" s="131"/>
      <c r="N181" s="131"/>
    </row>
    <row r="182" s="2" customFormat="true" ht="15.6" hidden="false" customHeight="false" outlineLevel="0" collapsed="false">
      <c r="A182" s="131"/>
      <c r="B182" s="131"/>
      <c r="C182" s="131"/>
      <c r="D182" s="131"/>
      <c r="F182" s="131"/>
      <c r="G182" s="131"/>
      <c r="H182" s="131"/>
      <c r="I182" s="131"/>
      <c r="J182" s="131"/>
      <c r="K182" s="131"/>
      <c r="L182" s="131"/>
      <c r="M182" s="131"/>
      <c r="N182" s="131"/>
    </row>
    <row r="183" s="2" customFormat="true" ht="15.6" hidden="false" customHeight="false" outlineLevel="0" collapsed="false">
      <c r="A183" s="131"/>
      <c r="B183" s="131"/>
      <c r="C183" s="131"/>
      <c r="D183" s="131"/>
      <c r="F183" s="131"/>
      <c r="G183" s="131"/>
      <c r="H183" s="131"/>
      <c r="I183" s="131"/>
      <c r="J183" s="131"/>
      <c r="K183" s="131"/>
      <c r="L183" s="131"/>
      <c r="M183" s="131"/>
      <c r="N183" s="131"/>
    </row>
    <row r="184" s="2" customFormat="true" ht="15.6" hidden="false" customHeight="false" outlineLevel="0" collapsed="false">
      <c r="A184" s="131"/>
      <c r="B184" s="131"/>
      <c r="C184" s="131"/>
      <c r="D184" s="131"/>
      <c r="F184" s="131"/>
      <c r="G184" s="131"/>
      <c r="H184" s="131"/>
      <c r="I184" s="131"/>
      <c r="J184" s="131"/>
      <c r="K184" s="131"/>
      <c r="L184" s="131"/>
      <c r="M184" s="131"/>
      <c r="N184" s="131"/>
    </row>
    <row r="185" s="2" customFormat="true" ht="15.6" hidden="false" customHeight="false" outlineLevel="0" collapsed="false">
      <c r="A185" s="131"/>
      <c r="B185" s="131"/>
      <c r="C185" s="131"/>
      <c r="D185" s="131"/>
      <c r="F185" s="131"/>
      <c r="G185" s="131"/>
      <c r="H185" s="131"/>
      <c r="I185" s="131"/>
      <c r="J185" s="131"/>
      <c r="K185" s="131"/>
      <c r="L185" s="131"/>
      <c r="M185" s="131"/>
      <c r="N185" s="131"/>
    </row>
    <row r="186" s="2" customFormat="true" ht="15.6" hidden="false" customHeight="false" outlineLevel="0" collapsed="false">
      <c r="A186" s="131"/>
      <c r="B186" s="131"/>
      <c r="C186" s="131"/>
      <c r="D186" s="131"/>
      <c r="F186" s="131"/>
      <c r="G186" s="131"/>
      <c r="H186" s="131"/>
      <c r="I186" s="131"/>
      <c r="J186" s="131"/>
      <c r="K186" s="131"/>
      <c r="L186" s="131"/>
      <c r="M186" s="131"/>
      <c r="N186" s="131"/>
    </row>
    <row r="187" s="2" customFormat="true" ht="15.6" hidden="false" customHeight="false" outlineLevel="0" collapsed="false">
      <c r="A187" s="131"/>
      <c r="B187" s="131"/>
      <c r="C187" s="131"/>
      <c r="D187" s="131"/>
      <c r="F187" s="131"/>
      <c r="G187" s="131"/>
      <c r="H187" s="131"/>
      <c r="I187" s="131"/>
      <c r="J187" s="131"/>
      <c r="K187" s="131"/>
      <c r="L187" s="131"/>
      <c r="M187" s="131"/>
      <c r="N187" s="131"/>
    </row>
    <row r="188" s="2" customFormat="true" ht="15.6" hidden="false" customHeight="false" outlineLevel="0" collapsed="false">
      <c r="A188" s="131"/>
      <c r="B188" s="131"/>
      <c r="C188" s="131"/>
      <c r="D188" s="131"/>
      <c r="F188" s="131"/>
      <c r="G188" s="131"/>
      <c r="H188" s="131"/>
      <c r="I188" s="131"/>
      <c r="J188" s="131"/>
      <c r="K188" s="131"/>
      <c r="L188" s="131"/>
      <c r="M188" s="131"/>
      <c r="N188" s="131"/>
    </row>
    <row r="189" s="2" customFormat="true" ht="15.6" hidden="false" customHeight="false" outlineLevel="0" collapsed="false">
      <c r="A189" s="131"/>
      <c r="B189" s="131"/>
      <c r="C189" s="131"/>
      <c r="D189" s="131"/>
      <c r="F189" s="131"/>
      <c r="G189" s="131"/>
      <c r="H189" s="131"/>
      <c r="I189" s="131"/>
      <c r="J189" s="131"/>
      <c r="K189" s="131"/>
      <c r="L189" s="131"/>
      <c r="M189" s="131"/>
      <c r="N189" s="131"/>
    </row>
    <row r="190" s="2" customFormat="true" ht="15.6" hidden="false" customHeight="false" outlineLevel="0" collapsed="false">
      <c r="A190" s="131"/>
      <c r="B190" s="131"/>
      <c r="C190" s="131"/>
      <c r="D190" s="131"/>
      <c r="F190" s="131"/>
      <c r="G190" s="131"/>
      <c r="H190" s="131"/>
      <c r="I190" s="131"/>
      <c r="J190" s="131"/>
      <c r="K190" s="131"/>
      <c r="L190" s="131"/>
      <c r="M190" s="131"/>
      <c r="N190" s="131"/>
    </row>
    <row r="191" s="2" customFormat="true" ht="15.6" hidden="false" customHeight="false" outlineLevel="0" collapsed="false">
      <c r="A191" s="131"/>
      <c r="B191" s="131"/>
      <c r="C191" s="131"/>
      <c r="D191" s="131"/>
      <c r="F191" s="131"/>
      <c r="G191" s="131"/>
      <c r="H191" s="131"/>
      <c r="I191" s="131"/>
      <c r="J191" s="131"/>
      <c r="K191" s="131"/>
      <c r="L191" s="131"/>
      <c r="M191" s="131"/>
      <c r="N191" s="131"/>
    </row>
    <row r="192" s="2" customFormat="true" ht="15.6" hidden="false" customHeight="false" outlineLevel="0" collapsed="false">
      <c r="A192" s="131"/>
      <c r="B192" s="131"/>
      <c r="C192" s="131"/>
      <c r="D192" s="131"/>
      <c r="F192" s="131"/>
      <c r="G192" s="131"/>
      <c r="H192" s="131"/>
      <c r="I192" s="131"/>
      <c r="J192" s="131"/>
      <c r="K192" s="131"/>
      <c r="L192" s="131"/>
      <c r="M192" s="131"/>
      <c r="N192" s="131"/>
    </row>
    <row r="193" s="2" customFormat="true" ht="15.6" hidden="false" customHeight="false" outlineLevel="0" collapsed="false">
      <c r="A193" s="131"/>
      <c r="B193" s="131"/>
      <c r="C193" s="131"/>
      <c r="D193" s="131"/>
      <c r="F193" s="131"/>
      <c r="G193" s="131"/>
      <c r="H193" s="131"/>
      <c r="I193" s="131"/>
      <c r="J193" s="131"/>
      <c r="K193" s="131"/>
      <c r="L193" s="131"/>
      <c r="M193" s="131"/>
      <c r="N193" s="131"/>
    </row>
    <row r="194" s="2" customFormat="true" ht="15.6" hidden="false" customHeight="false" outlineLevel="0" collapsed="false">
      <c r="A194" s="131"/>
      <c r="B194" s="131"/>
      <c r="C194" s="131"/>
      <c r="D194" s="131"/>
      <c r="F194" s="131"/>
      <c r="G194" s="131"/>
      <c r="H194" s="131"/>
      <c r="I194" s="131"/>
      <c r="J194" s="131"/>
      <c r="K194" s="131"/>
      <c r="L194" s="131"/>
      <c r="M194" s="131"/>
      <c r="N194" s="131"/>
    </row>
    <row r="195" s="2" customFormat="true" ht="15.6" hidden="false" customHeight="false" outlineLevel="0" collapsed="false">
      <c r="A195" s="131"/>
      <c r="B195" s="131"/>
      <c r="C195" s="131"/>
      <c r="D195" s="131"/>
      <c r="F195" s="131"/>
      <c r="G195" s="131"/>
      <c r="H195" s="131"/>
      <c r="I195" s="131"/>
      <c r="J195" s="131"/>
      <c r="K195" s="131"/>
      <c r="L195" s="131"/>
      <c r="M195" s="131"/>
      <c r="N195" s="131"/>
    </row>
    <row r="196" s="2" customFormat="true" ht="15.6" hidden="false" customHeight="false" outlineLevel="0" collapsed="false">
      <c r="A196" s="131"/>
      <c r="B196" s="131"/>
      <c r="C196" s="131"/>
      <c r="D196" s="131"/>
      <c r="F196" s="131"/>
      <c r="G196" s="131"/>
      <c r="H196" s="131"/>
      <c r="I196" s="131"/>
      <c r="J196" s="131"/>
      <c r="K196" s="131"/>
      <c r="L196" s="131"/>
      <c r="M196" s="131"/>
      <c r="N196" s="131"/>
    </row>
    <row r="197" s="2" customFormat="true" ht="15.6" hidden="false" customHeight="false" outlineLevel="0" collapsed="false">
      <c r="A197" s="131"/>
      <c r="B197" s="131"/>
      <c r="C197" s="131"/>
      <c r="D197" s="131"/>
      <c r="F197" s="131"/>
      <c r="G197" s="131"/>
      <c r="H197" s="131"/>
      <c r="I197" s="131"/>
      <c r="J197" s="131"/>
      <c r="K197" s="131"/>
      <c r="L197" s="131"/>
      <c r="M197" s="131"/>
      <c r="N197" s="131"/>
    </row>
    <row r="198" s="2" customFormat="true" ht="15.6" hidden="false" customHeight="false" outlineLevel="0" collapsed="false">
      <c r="A198" s="131"/>
      <c r="B198" s="131"/>
      <c r="C198" s="131"/>
      <c r="D198" s="131"/>
      <c r="F198" s="131"/>
      <c r="G198" s="131"/>
      <c r="H198" s="131"/>
      <c r="I198" s="131"/>
      <c r="J198" s="131"/>
      <c r="K198" s="131"/>
      <c r="L198" s="131"/>
      <c r="M198" s="131"/>
      <c r="N198" s="131"/>
    </row>
    <row r="199" s="2" customFormat="true" ht="15.6" hidden="false" customHeight="false" outlineLevel="0" collapsed="false">
      <c r="A199" s="131"/>
      <c r="B199" s="131"/>
      <c r="C199" s="131"/>
      <c r="D199" s="131"/>
      <c r="F199" s="131"/>
      <c r="G199" s="131"/>
      <c r="H199" s="131"/>
      <c r="I199" s="131"/>
      <c r="J199" s="131"/>
      <c r="K199" s="131"/>
      <c r="L199" s="131"/>
      <c r="M199" s="131"/>
      <c r="N199" s="131"/>
    </row>
    <row r="200" s="2" customFormat="true" ht="15.6" hidden="false" customHeight="false" outlineLevel="0" collapsed="false">
      <c r="A200" s="131"/>
      <c r="B200" s="131"/>
      <c r="C200" s="131"/>
      <c r="D200" s="131"/>
      <c r="F200" s="131"/>
      <c r="G200" s="131"/>
      <c r="H200" s="131"/>
      <c r="I200" s="131"/>
      <c r="J200" s="131"/>
      <c r="K200" s="131"/>
      <c r="L200" s="131"/>
      <c r="M200" s="131"/>
      <c r="N200" s="131"/>
    </row>
    <row r="201" s="2" customFormat="true" ht="15.6" hidden="false" customHeight="false" outlineLevel="0" collapsed="false">
      <c r="A201" s="131"/>
      <c r="B201" s="131"/>
      <c r="C201" s="131"/>
      <c r="D201" s="131"/>
      <c r="F201" s="131"/>
      <c r="G201" s="131"/>
      <c r="H201" s="131"/>
      <c r="I201" s="131"/>
      <c r="J201" s="131"/>
      <c r="K201" s="131"/>
      <c r="L201" s="131"/>
      <c r="M201" s="131"/>
      <c r="N201" s="131"/>
    </row>
    <row r="202" s="2" customFormat="true" ht="15.6" hidden="false" customHeight="false" outlineLevel="0" collapsed="false">
      <c r="A202" s="131"/>
      <c r="B202" s="131"/>
      <c r="C202" s="131"/>
      <c r="D202" s="131"/>
      <c r="F202" s="131"/>
      <c r="G202" s="131"/>
      <c r="H202" s="131"/>
      <c r="I202" s="131"/>
      <c r="J202" s="131"/>
      <c r="K202" s="131"/>
      <c r="L202" s="131"/>
      <c r="M202" s="131"/>
      <c r="N202" s="131"/>
    </row>
    <row r="203" s="2" customFormat="true" ht="15.6" hidden="false" customHeight="false" outlineLevel="0" collapsed="false">
      <c r="A203" s="131"/>
      <c r="B203" s="131"/>
      <c r="C203" s="131"/>
      <c r="D203" s="131"/>
      <c r="F203" s="131"/>
      <c r="G203" s="131"/>
      <c r="H203" s="131"/>
      <c r="I203" s="131"/>
      <c r="J203" s="131"/>
      <c r="K203" s="131"/>
      <c r="L203" s="131"/>
      <c r="M203" s="131"/>
      <c r="N203" s="131"/>
    </row>
    <row r="204" s="2" customFormat="true" ht="15.6" hidden="false" customHeight="false" outlineLevel="0" collapsed="false">
      <c r="A204" s="131"/>
      <c r="B204" s="131"/>
      <c r="C204" s="131"/>
      <c r="D204" s="131"/>
      <c r="F204" s="131"/>
      <c r="G204" s="131"/>
      <c r="H204" s="131"/>
      <c r="I204" s="131"/>
      <c r="J204" s="131"/>
      <c r="K204" s="131"/>
      <c r="L204" s="131"/>
      <c r="M204" s="131"/>
      <c r="N204" s="131"/>
    </row>
    <row r="205" s="2" customFormat="true" ht="15.6" hidden="false" customHeight="false" outlineLevel="0" collapsed="false">
      <c r="A205" s="131"/>
      <c r="B205" s="131"/>
      <c r="C205" s="131"/>
      <c r="D205" s="131"/>
      <c r="F205" s="131"/>
      <c r="G205" s="131"/>
      <c r="H205" s="131"/>
      <c r="I205" s="131"/>
      <c r="J205" s="131"/>
      <c r="K205" s="131"/>
      <c r="L205" s="131"/>
      <c r="M205" s="131"/>
      <c r="N205" s="131"/>
    </row>
    <row r="206" s="2" customFormat="true" ht="15.6" hidden="false" customHeight="false" outlineLevel="0" collapsed="false">
      <c r="A206" s="131"/>
      <c r="B206" s="131"/>
      <c r="C206" s="131"/>
      <c r="D206" s="131"/>
      <c r="F206" s="131"/>
      <c r="G206" s="131"/>
      <c r="H206" s="131"/>
      <c r="I206" s="131"/>
      <c r="J206" s="131"/>
      <c r="K206" s="131"/>
      <c r="L206" s="131"/>
      <c r="M206" s="131"/>
      <c r="N206" s="131"/>
    </row>
    <row r="207" s="2" customFormat="true" ht="15.6" hidden="false" customHeight="false" outlineLevel="0" collapsed="false">
      <c r="A207" s="131"/>
      <c r="B207" s="131"/>
      <c r="C207" s="131"/>
      <c r="D207" s="131"/>
      <c r="F207" s="131"/>
      <c r="G207" s="131"/>
      <c r="H207" s="131"/>
      <c r="I207" s="131"/>
      <c r="J207" s="131"/>
      <c r="K207" s="131"/>
      <c r="L207" s="131"/>
      <c r="M207" s="131"/>
      <c r="N207" s="131"/>
    </row>
    <row r="208" s="2" customFormat="true" ht="15.6" hidden="false" customHeight="false" outlineLevel="0" collapsed="false">
      <c r="A208" s="131"/>
      <c r="B208" s="131"/>
      <c r="C208" s="131"/>
      <c r="D208" s="131"/>
      <c r="F208" s="131"/>
      <c r="G208" s="131"/>
      <c r="H208" s="131"/>
      <c r="I208" s="131"/>
      <c r="J208" s="131"/>
      <c r="K208" s="131"/>
      <c r="L208" s="131"/>
      <c r="M208" s="131"/>
      <c r="N208" s="131"/>
    </row>
    <row r="209" s="2" customFormat="true" ht="15.6" hidden="false" customHeight="false" outlineLevel="0" collapsed="false">
      <c r="A209" s="131"/>
      <c r="B209" s="131"/>
      <c r="C209" s="131"/>
      <c r="D209" s="131"/>
      <c r="F209" s="131"/>
      <c r="G209" s="131"/>
      <c r="H209" s="131"/>
      <c r="I209" s="131"/>
      <c r="J209" s="131"/>
      <c r="K209" s="131"/>
      <c r="L209" s="131"/>
      <c r="M209" s="131"/>
      <c r="N209" s="131"/>
    </row>
    <row r="210" s="2" customFormat="true" ht="15.6" hidden="false" customHeight="false" outlineLevel="0" collapsed="false">
      <c r="A210" s="131"/>
      <c r="B210" s="131"/>
      <c r="C210" s="131"/>
      <c r="D210" s="131"/>
      <c r="F210" s="131"/>
      <c r="G210" s="131"/>
      <c r="H210" s="131"/>
      <c r="I210" s="131"/>
      <c r="J210" s="131"/>
      <c r="K210" s="131"/>
      <c r="L210" s="131"/>
      <c r="M210" s="131"/>
      <c r="N210" s="131"/>
    </row>
    <row r="211" s="2" customFormat="true" ht="15.6" hidden="false" customHeight="false" outlineLevel="0" collapsed="false">
      <c r="A211" s="131"/>
      <c r="B211" s="131"/>
      <c r="C211" s="131"/>
      <c r="D211" s="131"/>
      <c r="F211" s="131"/>
      <c r="G211" s="131"/>
      <c r="H211" s="131"/>
      <c r="I211" s="131"/>
      <c r="J211" s="131"/>
      <c r="K211" s="131"/>
      <c r="L211" s="131"/>
      <c r="M211" s="131"/>
      <c r="N211" s="131"/>
    </row>
    <row r="212" s="2" customFormat="true" ht="15.6" hidden="false" customHeight="false" outlineLevel="0" collapsed="false">
      <c r="A212" s="131"/>
      <c r="B212" s="131"/>
      <c r="C212" s="131"/>
      <c r="D212" s="131"/>
      <c r="F212" s="131"/>
      <c r="G212" s="131"/>
      <c r="H212" s="131"/>
      <c r="I212" s="131"/>
      <c r="J212" s="131"/>
      <c r="K212" s="131"/>
      <c r="L212" s="131"/>
      <c r="M212" s="131"/>
      <c r="N212" s="131"/>
    </row>
    <row r="213" s="2" customFormat="true" ht="15.6" hidden="false" customHeight="false" outlineLevel="0" collapsed="false">
      <c r="A213" s="131"/>
      <c r="B213" s="131"/>
      <c r="C213" s="131"/>
      <c r="D213" s="131"/>
      <c r="F213" s="131"/>
      <c r="G213" s="131"/>
      <c r="H213" s="131"/>
      <c r="I213" s="131"/>
      <c r="J213" s="131"/>
      <c r="K213" s="131"/>
      <c r="L213" s="131"/>
      <c r="M213" s="131"/>
      <c r="N213" s="131"/>
    </row>
    <row r="214" s="2" customFormat="true" ht="15.6" hidden="false" customHeight="false" outlineLevel="0" collapsed="false">
      <c r="A214" s="131"/>
      <c r="B214" s="131"/>
      <c r="C214" s="131"/>
      <c r="D214" s="131"/>
      <c r="F214" s="131"/>
      <c r="G214" s="131"/>
      <c r="H214" s="131"/>
      <c r="I214" s="131"/>
      <c r="J214" s="131"/>
      <c r="K214" s="131"/>
      <c r="L214" s="131"/>
      <c r="M214" s="131"/>
      <c r="N214" s="131"/>
    </row>
    <row r="215" s="2" customFormat="true" ht="15.6" hidden="false" customHeight="false" outlineLevel="0" collapsed="false">
      <c r="A215" s="131"/>
      <c r="B215" s="131"/>
      <c r="C215" s="131"/>
      <c r="D215" s="131"/>
      <c r="F215" s="131"/>
      <c r="G215" s="131"/>
      <c r="H215" s="131"/>
      <c r="I215" s="131"/>
      <c r="J215" s="131"/>
      <c r="K215" s="131"/>
      <c r="L215" s="131"/>
      <c r="M215" s="131"/>
      <c r="N215" s="131"/>
    </row>
    <row r="216" s="2" customFormat="true" ht="15.6" hidden="false" customHeight="false" outlineLevel="0" collapsed="false">
      <c r="A216" s="131"/>
      <c r="B216" s="131"/>
      <c r="C216" s="131"/>
      <c r="D216" s="131"/>
      <c r="F216" s="131"/>
      <c r="G216" s="131"/>
      <c r="H216" s="131"/>
      <c r="I216" s="131"/>
      <c r="J216" s="131"/>
      <c r="K216" s="131"/>
      <c r="L216" s="131"/>
      <c r="M216" s="131"/>
      <c r="N216" s="131"/>
    </row>
    <row r="217" s="2" customFormat="true" ht="15.6" hidden="false" customHeight="false" outlineLevel="0" collapsed="false">
      <c r="A217" s="131"/>
      <c r="B217" s="131"/>
      <c r="C217" s="131"/>
      <c r="D217" s="131"/>
      <c r="F217" s="131"/>
      <c r="G217" s="131"/>
      <c r="H217" s="131"/>
      <c r="I217" s="131"/>
      <c r="J217" s="131"/>
      <c r="K217" s="131"/>
      <c r="L217" s="131"/>
      <c r="M217" s="131"/>
      <c r="N217" s="131"/>
    </row>
    <row r="218" s="2" customFormat="true" ht="15.6" hidden="false" customHeight="false" outlineLevel="0" collapsed="false">
      <c r="A218" s="131"/>
      <c r="B218" s="131"/>
      <c r="C218" s="131"/>
      <c r="D218" s="131"/>
      <c r="F218" s="131"/>
      <c r="G218" s="131"/>
      <c r="H218" s="131"/>
      <c r="I218" s="131"/>
      <c r="J218" s="131"/>
      <c r="K218" s="131"/>
      <c r="L218" s="131"/>
      <c r="M218" s="131"/>
      <c r="N218" s="131"/>
    </row>
    <row r="219" s="2" customFormat="true" ht="15.6" hidden="false" customHeight="false" outlineLevel="0" collapsed="false">
      <c r="A219" s="131"/>
      <c r="B219" s="131"/>
      <c r="C219" s="131"/>
      <c r="D219" s="131"/>
      <c r="F219" s="131"/>
      <c r="G219" s="131"/>
      <c r="H219" s="131"/>
      <c r="I219" s="131"/>
      <c r="J219" s="131"/>
      <c r="K219" s="131"/>
      <c r="L219" s="131"/>
      <c r="M219" s="131"/>
      <c r="N219" s="131"/>
    </row>
    <row r="220" s="2" customFormat="true" ht="15.6" hidden="false" customHeight="false" outlineLevel="0" collapsed="false">
      <c r="A220" s="131"/>
      <c r="B220" s="131"/>
      <c r="C220" s="131"/>
      <c r="D220" s="131"/>
      <c r="F220" s="131"/>
      <c r="G220" s="131"/>
      <c r="H220" s="131"/>
      <c r="I220" s="131"/>
      <c r="J220" s="131"/>
      <c r="K220" s="131"/>
      <c r="L220" s="131"/>
      <c r="M220" s="131"/>
      <c r="N220" s="131"/>
    </row>
    <row r="221" s="2" customFormat="true" ht="15.6" hidden="false" customHeight="false" outlineLevel="0" collapsed="false">
      <c r="A221" s="131"/>
      <c r="B221" s="131"/>
      <c r="C221" s="131"/>
      <c r="D221" s="131"/>
      <c r="F221" s="131"/>
      <c r="G221" s="131"/>
      <c r="H221" s="131"/>
      <c r="I221" s="131"/>
      <c r="J221" s="131"/>
      <c r="K221" s="131"/>
      <c r="L221" s="131"/>
      <c r="M221" s="131"/>
      <c r="N221" s="131"/>
    </row>
    <row r="222" s="2" customFormat="true" ht="15.6" hidden="false" customHeight="false" outlineLevel="0" collapsed="false">
      <c r="A222" s="131"/>
      <c r="B222" s="131"/>
      <c r="C222" s="131"/>
      <c r="D222" s="131"/>
      <c r="F222" s="131"/>
      <c r="G222" s="131"/>
      <c r="H222" s="131"/>
      <c r="I222" s="131"/>
      <c r="J222" s="131"/>
      <c r="K222" s="131"/>
      <c r="L222" s="131"/>
      <c r="M222" s="131"/>
      <c r="N222" s="131"/>
    </row>
    <row r="223" s="2" customFormat="true" ht="15.6" hidden="false" customHeight="false" outlineLevel="0" collapsed="false">
      <c r="A223" s="131"/>
      <c r="B223" s="131"/>
      <c r="C223" s="131"/>
      <c r="D223" s="131"/>
      <c r="F223" s="131"/>
      <c r="G223" s="131"/>
      <c r="H223" s="131"/>
      <c r="I223" s="131"/>
      <c r="J223" s="131"/>
      <c r="K223" s="131"/>
      <c r="L223" s="131"/>
      <c r="M223" s="131"/>
      <c r="N223" s="131"/>
    </row>
    <row r="224" s="2" customFormat="true" ht="15.6" hidden="false" customHeight="false" outlineLevel="0" collapsed="false">
      <c r="A224" s="131"/>
      <c r="B224" s="131"/>
      <c r="C224" s="131"/>
      <c r="D224" s="131"/>
      <c r="F224" s="131"/>
      <c r="G224" s="131"/>
      <c r="H224" s="131"/>
      <c r="I224" s="131"/>
      <c r="J224" s="131"/>
      <c r="K224" s="131"/>
      <c r="L224" s="131"/>
      <c r="M224" s="131"/>
      <c r="N224" s="131"/>
    </row>
    <row r="225" s="2" customFormat="true" ht="15.6" hidden="false" customHeight="false" outlineLevel="0" collapsed="false">
      <c r="A225" s="131"/>
      <c r="B225" s="131"/>
      <c r="C225" s="131"/>
      <c r="D225" s="131"/>
      <c r="F225" s="131"/>
      <c r="G225" s="131"/>
      <c r="H225" s="131"/>
      <c r="I225" s="131"/>
      <c r="J225" s="131"/>
      <c r="K225" s="131"/>
      <c r="L225" s="131"/>
      <c r="M225" s="131"/>
      <c r="N225" s="131"/>
    </row>
    <row r="226" s="2" customFormat="true" ht="15.6" hidden="false" customHeight="false" outlineLevel="0" collapsed="false">
      <c r="A226" s="131"/>
      <c r="B226" s="131"/>
      <c r="C226" s="131"/>
      <c r="D226" s="131"/>
      <c r="F226" s="131"/>
      <c r="G226" s="131"/>
      <c r="H226" s="131"/>
      <c r="I226" s="131"/>
      <c r="J226" s="131"/>
      <c r="K226" s="131"/>
      <c r="L226" s="131"/>
      <c r="M226" s="131"/>
      <c r="N226" s="131"/>
    </row>
    <row r="227" s="2" customFormat="true" ht="15.6" hidden="false" customHeight="false" outlineLevel="0" collapsed="false">
      <c r="A227" s="131"/>
      <c r="B227" s="131"/>
      <c r="C227" s="131"/>
      <c r="D227" s="131"/>
      <c r="F227" s="131"/>
      <c r="G227" s="131"/>
      <c r="H227" s="131"/>
      <c r="I227" s="131"/>
      <c r="J227" s="131"/>
      <c r="K227" s="131"/>
      <c r="L227" s="131"/>
      <c r="M227" s="131"/>
      <c r="N227" s="131"/>
    </row>
    <row r="228" s="2" customFormat="true" ht="15.6" hidden="false" customHeight="false" outlineLevel="0" collapsed="false">
      <c r="A228" s="131"/>
      <c r="B228" s="131"/>
      <c r="C228" s="131"/>
      <c r="D228" s="131"/>
      <c r="F228" s="131"/>
      <c r="G228" s="131"/>
      <c r="H228" s="131"/>
      <c r="I228" s="131"/>
      <c r="J228" s="131"/>
      <c r="K228" s="131"/>
      <c r="L228" s="131"/>
      <c r="M228" s="131"/>
      <c r="N228" s="131"/>
    </row>
    <row r="229" s="2" customFormat="true" ht="15.6" hidden="false" customHeight="false" outlineLevel="0" collapsed="false">
      <c r="A229" s="131"/>
      <c r="B229" s="131"/>
      <c r="C229" s="131"/>
      <c r="D229" s="131"/>
      <c r="F229" s="131"/>
      <c r="G229" s="131"/>
      <c r="H229" s="131"/>
      <c r="I229" s="131"/>
      <c r="J229" s="131"/>
      <c r="K229" s="131"/>
      <c r="L229" s="131"/>
      <c r="M229" s="131"/>
      <c r="N229" s="131"/>
    </row>
    <row r="230" s="2" customFormat="true" ht="15.6" hidden="false" customHeight="false" outlineLevel="0" collapsed="false">
      <c r="A230" s="131"/>
      <c r="B230" s="131"/>
      <c r="C230" s="131"/>
      <c r="D230" s="131"/>
      <c r="F230" s="131"/>
      <c r="G230" s="131"/>
      <c r="H230" s="131"/>
      <c r="I230" s="131"/>
      <c r="J230" s="131"/>
      <c r="K230" s="131"/>
      <c r="L230" s="131"/>
      <c r="M230" s="131"/>
      <c r="N230" s="131"/>
    </row>
    <row r="231" s="2" customFormat="true" ht="15.6" hidden="false" customHeight="false" outlineLevel="0" collapsed="false">
      <c r="A231" s="131"/>
      <c r="B231" s="131"/>
      <c r="C231" s="131"/>
      <c r="D231" s="131"/>
      <c r="F231" s="131"/>
      <c r="G231" s="131"/>
      <c r="H231" s="131"/>
      <c r="I231" s="131"/>
      <c r="J231" s="131"/>
      <c r="K231" s="131"/>
      <c r="L231" s="131"/>
      <c r="M231" s="131"/>
      <c r="N231" s="131"/>
    </row>
    <row r="232" s="2" customFormat="true" ht="15.6" hidden="false" customHeight="false" outlineLevel="0" collapsed="false">
      <c r="A232" s="131"/>
      <c r="B232" s="131"/>
      <c r="C232" s="131"/>
      <c r="D232" s="131"/>
      <c r="F232" s="131"/>
      <c r="G232" s="131"/>
      <c r="H232" s="131"/>
      <c r="I232" s="131"/>
      <c r="J232" s="131"/>
      <c r="K232" s="131"/>
      <c r="L232" s="131"/>
      <c r="M232" s="131"/>
      <c r="N232" s="131"/>
    </row>
    <row r="233" s="2" customFormat="true" ht="15.6" hidden="false" customHeight="false" outlineLevel="0" collapsed="false">
      <c r="A233" s="131"/>
      <c r="B233" s="131"/>
      <c r="C233" s="131"/>
      <c r="D233" s="131"/>
      <c r="F233" s="131"/>
      <c r="G233" s="131"/>
      <c r="H233" s="131"/>
      <c r="I233" s="131"/>
      <c r="J233" s="131"/>
      <c r="K233" s="131"/>
      <c r="L233" s="131"/>
      <c r="M233" s="131"/>
      <c r="N233" s="131"/>
    </row>
    <row r="234" s="2" customFormat="true" ht="15.6" hidden="false" customHeight="false" outlineLevel="0" collapsed="false">
      <c r="A234" s="131"/>
      <c r="B234" s="131"/>
      <c r="C234" s="131"/>
      <c r="D234" s="131"/>
      <c r="F234" s="131"/>
      <c r="G234" s="131"/>
      <c r="H234" s="131"/>
      <c r="I234" s="131"/>
      <c r="J234" s="131"/>
      <c r="K234" s="131"/>
      <c r="L234" s="131"/>
      <c r="M234" s="131"/>
      <c r="N234" s="131"/>
    </row>
    <row r="235" s="2" customFormat="true" ht="15.6" hidden="false" customHeight="false" outlineLevel="0" collapsed="false">
      <c r="A235" s="131"/>
      <c r="B235" s="131"/>
      <c r="C235" s="131"/>
      <c r="D235" s="131"/>
      <c r="F235" s="131"/>
      <c r="G235" s="131"/>
      <c r="H235" s="131"/>
      <c r="I235" s="131"/>
      <c r="J235" s="131"/>
      <c r="K235" s="131"/>
      <c r="L235" s="131"/>
      <c r="M235" s="131"/>
      <c r="N235" s="131"/>
    </row>
    <row r="236" s="2" customFormat="true" ht="15.6" hidden="false" customHeight="false" outlineLevel="0" collapsed="false">
      <c r="A236" s="131"/>
      <c r="B236" s="131"/>
      <c r="C236" s="131"/>
      <c r="D236" s="131"/>
      <c r="F236" s="131"/>
      <c r="G236" s="131"/>
      <c r="H236" s="131"/>
      <c r="I236" s="131"/>
      <c r="J236" s="131"/>
      <c r="K236" s="131"/>
      <c r="L236" s="131"/>
      <c r="M236" s="131"/>
      <c r="N236" s="131"/>
    </row>
    <row r="237" s="2" customFormat="true" ht="15.6" hidden="false" customHeight="false" outlineLevel="0" collapsed="false">
      <c r="A237" s="131"/>
      <c r="B237" s="131"/>
      <c r="C237" s="131"/>
      <c r="D237" s="131"/>
      <c r="F237" s="131"/>
      <c r="G237" s="131"/>
      <c r="H237" s="131"/>
      <c r="I237" s="131"/>
      <c r="J237" s="131"/>
      <c r="K237" s="131"/>
      <c r="L237" s="131"/>
      <c r="M237" s="131"/>
      <c r="N237" s="131"/>
    </row>
    <row r="238" s="2" customFormat="true" ht="15.6" hidden="false" customHeight="false" outlineLevel="0" collapsed="false">
      <c r="A238" s="131"/>
      <c r="B238" s="131"/>
      <c r="C238" s="131"/>
      <c r="D238" s="131"/>
      <c r="F238" s="131"/>
      <c r="G238" s="131"/>
      <c r="H238" s="131"/>
      <c r="I238" s="131"/>
      <c r="J238" s="131"/>
      <c r="K238" s="131"/>
      <c r="L238" s="131"/>
      <c r="M238" s="131"/>
      <c r="N238" s="131"/>
    </row>
    <row r="239" s="2" customFormat="true" ht="15.6" hidden="false" customHeight="false" outlineLevel="0" collapsed="false">
      <c r="A239" s="131"/>
      <c r="B239" s="131"/>
      <c r="C239" s="131"/>
      <c r="D239" s="131"/>
      <c r="F239" s="131"/>
      <c r="G239" s="131"/>
      <c r="H239" s="131"/>
      <c r="I239" s="131"/>
      <c r="J239" s="131"/>
      <c r="K239" s="131"/>
      <c r="L239" s="131"/>
      <c r="M239" s="131"/>
      <c r="N239" s="131"/>
    </row>
    <row r="240" s="2" customFormat="true" ht="15.6" hidden="false" customHeight="false" outlineLevel="0" collapsed="false">
      <c r="A240" s="131"/>
      <c r="B240" s="131"/>
      <c r="C240" s="131"/>
      <c r="D240" s="131"/>
      <c r="F240" s="131"/>
      <c r="G240" s="131"/>
      <c r="H240" s="131"/>
      <c r="I240" s="131"/>
      <c r="J240" s="131"/>
      <c r="K240" s="131"/>
      <c r="L240" s="131"/>
      <c r="M240" s="131"/>
      <c r="N240" s="131"/>
    </row>
    <row r="241" s="2" customFormat="true" ht="15.6" hidden="false" customHeight="false" outlineLevel="0" collapsed="false">
      <c r="A241" s="131"/>
      <c r="B241" s="131"/>
      <c r="C241" s="131"/>
      <c r="D241" s="131"/>
      <c r="F241" s="131"/>
      <c r="G241" s="131"/>
      <c r="H241" s="131"/>
      <c r="I241" s="131"/>
      <c r="J241" s="131"/>
      <c r="K241" s="131"/>
      <c r="L241" s="131"/>
      <c r="M241" s="131"/>
      <c r="N241" s="131"/>
    </row>
    <row r="242" s="2" customFormat="true" ht="15.6" hidden="false" customHeight="false" outlineLevel="0" collapsed="false">
      <c r="A242" s="131"/>
      <c r="B242" s="131"/>
      <c r="C242" s="131"/>
      <c r="D242" s="131"/>
      <c r="F242" s="131"/>
      <c r="G242" s="131"/>
      <c r="H242" s="131"/>
      <c r="I242" s="131"/>
      <c r="J242" s="131"/>
      <c r="K242" s="131"/>
      <c r="L242" s="131"/>
      <c r="M242" s="131"/>
      <c r="N242" s="131"/>
    </row>
    <row r="243" s="2" customFormat="true" ht="15.6" hidden="false" customHeight="false" outlineLevel="0" collapsed="false">
      <c r="A243" s="131"/>
      <c r="B243" s="131"/>
      <c r="C243" s="131"/>
      <c r="D243" s="131"/>
      <c r="F243" s="131"/>
      <c r="G243" s="131"/>
      <c r="H243" s="131"/>
      <c r="I243" s="131"/>
      <c r="J243" s="131"/>
      <c r="K243" s="131"/>
      <c r="L243" s="131"/>
      <c r="M243" s="131"/>
      <c r="N243" s="131"/>
    </row>
    <row r="244" s="2" customFormat="true" ht="15.6" hidden="false" customHeight="false" outlineLevel="0" collapsed="false">
      <c r="A244" s="131"/>
      <c r="B244" s="131"/>
      <c r="C244" s="131"/>
      <c r="D244" s="131"/>
      <c r="F244" s="131"/>
      <c r="G244" s="131"/>
      <c r="H244" s="131"/>
      <c r="I244" s="131"/>
      <c r="J244" s="131"/>
      <c r="K244" s="131"/>
      <c r="L244" s="131"/>
      <c r="M244" s="131"/>
      <c r="N244" s="131"/>
    </row>
    <row r="245" s="2" customFormat="true" ht="15.6" hidden="false" customHeight="false" outlineLevel="0" collapsed="false">
      <c r="A245" s="131"/>
      <c r="B245" s="131"/>
      <c r="C245" s="131"/>
      <c r="D245" s="131"/>
      <c r="F245" s="131"/>
      <c r="G245" s="131"/>
      <c r="H245" s="131"/>
      <c r="I245" s="131"/>
      <c r="J245" s="131"/>
      <c r="K245" s="131"/>
      <c r="L245" s="131"/>
      <c r="M245" s="131"/>
      <c r="N245" s="131"/>
    </row>
    <row r="246" s="2" customFormat="true" ht="15.6" hidden="false" customHeight="false" outlineLevel="0" collapsed="false">
      <c r="A246" s="131"/>
      <c r="B246" s="131"/>
      <c r="C246" s="131"/>
      <c r="D246" s="131"/>
      <c r="F246" s="131"/>
      <c r="G246" s="131"/>
      <c r="H246" s="131"/>
      <c r="I246" s="131"/>
      <c r="J246" s="131"/>
      <c r="K246" s="131"/>
      <c r="L246" s="131"/>
      <c r="M246" s="131"/>
      <c r="N246" s="131"/>
    </row>
    <row r="247" s="2" customFormat="true" ht="15.6" hidden="false" customHeight="false" outlineLevel="0" collapsed="false">
      <c r="A247" s="131"/>
      <c r="B247" s="131"/>
      <c r="C247" s="131"/>
      <c r="D247" s="131"/>
      <c r="F247" s="131"/>
      <c r="G247" s="131"/>
      <c r="H247" s="131"/>
      <c r="I247" s="131"/>
      <c r="J247" s="131"/>
      <c r="K247" s="131"/>
      <c r="L247" s="131"/>
      <c r="M247" s="131"/>
      <c r="N247" s="131"/>
    </row>
    <row r="248" s="2" customFormat="true" ht="15.6" hidden="false" customHeight="false" outlineLevel="0" collapsed="false">
      <c r="A248" s="131"/>
      <c r="B248" s="131"/>
      <c r="C248" s="131"/>
      <c r="D248" s="131"/>
      <c r="F248" s="131"/>
      <c r="G248" s="131"/>
      <c r="H248" s="131"/>
      <c r="I248" s="131"/>
      <c r="J248" s="131"/>
      <c r="K248" s="131"/>
      <c r="L248" s="131"/>
      <c r="M248" s="131"/>
      <c r="N248" s="131"/>
    </row>
    <row r="249" s="2" customFormat="true" ht="15.6" hidden="false" customHeight="false" outlineLevel="0" collapsed="false">
      <c r="A249" s="131"/>
      <c r="B249" s="131"/>
      <c r="C249" s="131"/>
      <c r="D249" s="131"/>
      <c r="F249" s="131"/>
      <c r="G249" s="131"/>
      <c r="H249" s="131"/>
      <c r="I249" s="131"/>
      <c r="J249" s="131"/>
      <c r="K249" s="131"/>
      <c r="L249" s="131"/>
      <c r="M249" s="131"/>
      <c r="N249" s="131"/>
    </row>
    <row r="250" s="2" customFormat="true" ht="15.6" hidden="false" customHeight="false" outlineLevel="0" collapsed="false">
      <c r="A250" s="131"/>
      <c r="B250" s="131"/>
      <c r="C250" s="131"/>
      <c r="D250" s="131"/>
      <c r="F250" s="131"/>
      <c r="G250" s="131"/>
      <c r="H250" s="131"/>
      <c r="I250" s="131"/>
      <c r="J250" s="131"/>
      <c r="K250" s="131"/>
      <c r="L250" s="131"/>
      <c r="M250" s="131"/>
      <c r="N250" s="131"/>
    </row>
    <row r="251" s="2" customFormat="true" ht="15.6" hidden="false" customHeight="false" outlineLevel="0" collapsed="false">
      <c r="A251" s="131"/>
      <c r="B251" s="131"/>
      <c r="C251" s="131"/>
      <c r="D251" s="131"/>
      <c r="F251" s="131"/>
      <c r="G251" s="131"/>
      <c r="H251" s="131"/>
      <c r="I251" s="131"/>
      <c r="J251" s="131"/>
      <c r="K251" s="131"/>
      <c r="L251" s="131"/>
      <c r="M251" s="131"/>
      <c r="N251" s="131"/>
    </row>
    <row r="252" s="2" customFormat="true" ht="15.6" hidden="false" customHeight="false" outlineLevel="0" collapsed="false">
      <c r="A252" s="131"/>
      <c r="B252" s="131"/>
      <c r="C252" s="131"/>
      <c r="D252" s="131"/>
      <c r="F252" s="131"/>
      <c r="G252" s="131"/>
      <c r="H252" s="131"/>
      <c r="I252" s="131"/>
      <c r="J252" s="131"/>
      <c r="K252" s="131"/>
      <c r="L252" s="131"/>
      <c r="M252" s="131"/>
      <c r="N252" s="131"/>
    </row>
    <row r="253" s="2" customFormat="true" ht="15.6" hidden="false" customHeight="false" outlineLevel="0" collapsed="false">
      <c r="A253" s="131"/>
      <c r="B253" s="131"/>
      <c r="C253" s="131"/>
      <c r="D253" s="131"/>
      <c r="F253" s="131"/>
      <c r="G253" s="131"/>
      <c r="H253" s="131"/>
      <c r="I253" s="131"/>
      <c r="J253" s="131"/>
      <c r="K253" s="131"/>
      <c r="L253" s="131"/>
      <c r="M253" s="131"/>
      <c r="N253" s="131"/>
    </row>
    <row r="254" s="2" customFormat="true" ht="15.6" hidden="false" customHeight="false" outlineLevel="0" collapsed="false">
      <c r="A254" s="131"/>
      <c r="B254" s="131"/>
      <c r="C254" s="131"/>
      <c r="D254" s="131"/>
      <c r="F254" s="131"/>
      <c r="G254" s="131"/>
      <c r="H254" s="131"/>
      <c r="I254" s="131"/>
      <c r="J254" s="131"/>
      <c r="K254" s="131"/>
      <c r="L254" s="131"/>
      <c r="M254" s="131"/>
      <c r="N254" s="131"/>
    </row>
    <row r="255" s="2" customFormat="true" ht="15.6" hidden="false" customHeight="false" outlineLevel="0" collapsed="false">
      <c r="A255" s="131"/>
      <c r="B255" s="131"/>
      <c r="C255" s="131"/>
      <c r="D255" s="131"/>
      <c r="F255" s="131"/>
      <c r="G255" s="131"/>
      <c r="H255" s="131"/>
      <c r="I255" s="131"/>
      <c r="J255" s="131"/>
      <c r="K255" s="131"/>
      <c r="L255" s="131"/>
      <c r="M255" s="131"/>
      <c r="N255" s="131"/>
    </row>
    <row r="256" s="2" customFormat="true" ht="15.6" hidden="false" customHeight="false" outlineLevel="0" collapsed="false">
      <c r="A256" s="131"/>
      <c r="B256" s="131"/>
      <c r="C256" s="131"/>
      <c r="D256" s="131"/>
      <c r="F256" s="131"/>
      <c r="G256" s="131"/>
      <c r="H256" s="131"/>
      <c r="I256" s="131"/>
      <c r="J256" s="131"/>
      <c r="K256" s="131"/>
      <c r="L256" s="131"/>
      <c r="M256" s="131"/>
      <c r="N256" s="131"/>
    </row>
    <row r="257" s="2" customFormat="true" ht="15.6" hidden="false" customHeight="false" outlineLevel="0" collapsed="false">
      <c r="A257" s="131"/>
      <c r="B257" s="131"/>
      <c r="C257" s="131"/>
      <c r="D257" s="131"/>
      <c r="F257" s="131"/>
      <c r="G257" s="131"/>
      <c r="H257" s="131"/>
      <c r="I257" s="131"/>
      <c r="J257" s="131"/>
      <c r="K257" s="131"/>
      <c r="L257" s="131"/>
      <c r="M257" s="131"/>
      <c r="N257" s="131"/>
    </row>
    <row r="258" s="2" customFormat="true" ht="15.6" hidden="false" customHeight="false" outlineLevel="0" collapsed="false">
      <c r="A258" s="131"/>
      <c r="B258" s="131"/>
      <c r="C258" s="131"/>
      <c r="D258" s="131"/>
      <c r="F258" s="131"/>
      <c r="G258" s="131"/>
      <c r="H258" s="131"/>
      <c r="I258" s="131"/>
      <c r="J258" s="131"/>
      <c r="K258" s="131"/>
      <c r="L258" s="131"/>
      <c r="M258" s="131"/>
      <c r="N258" s="131"/>
    </row>
    <row r="259" s="2" customFormat="true" ht="15.6" hidden="false" customHeight="false" outlineLevel="0" collapsed="false">
      <c r="A259" s="131"/>
      <c r="B259" s="131"/>
      <c r="C259" s="131"/>
      <c r="D259" s="131"/>
      <c r="F259" s="131"/>
      <c r="G259" s="131"/>
      <c r="H259" s="131"/>
      <c r="I259" s="131"/>
      <c r="J259" s="131"/>
      <c r="K259" s="131"/>
      <c r="L259" s="131"/>
      <c r="M259" s="131"/>
      <c r="N259" s="131"/>
    </row>
    <row r="260" s="2" customFormat="true" ht="15.6" hidden="false" customHeight="false" outlineLevel="0" collapsed="false">
      <c r="A260" s="131"/>
      <c r="B260" s="131"/>
      <c r="C260" s="131"/>
      <c r="D260" s="131"/>
      <c r="F260" s="131"/>
      <c r="G260" s="131"/>
      <c r="H260" s="131"/>
      <c r="I260" s="131"/>
      <c r="J260" s="131"/>
      <c r="K260" s="131"/>
      <c r="L260" s="131"/>
      <c r="M260" s="131"/>
      <c r="N260" s="131"/>
    </row>
    <row r="261" s="2" customFormat="true" ht="15.6" hidden="false" customHeight="false" outlineLevel="0" collapsed="false">
      <c r="A261" s="131"/>
      <c r="B261" s="131"/>
      <c r="C261" s="131"/>
      <c r="D261" s="131"/>
      <c r="F261" s="131"/>
      <c r="G261" s="131"/>
      <c r="H261" s="131"/>
      <c r="I261" s="131"/>
      <c r="J261" s="131"/>
      <c r="K261" s="131"/>
      <c r="L261" s="131"/>
      <c r="M261" s="131"/>
      <c r="N261" s="131"/>
    </row>
    <row r="262" s="2" customFormat="true" ht="15.6" hidden="false" customHeight="false" outlineLevel="0" collapsed="false">
      <c r="A262" s="131"/>
      <c r="B262" s="131"/>
      <c r="C262" s="131"/>
      <c r="D262" s="131"/>
      <c r="F262" s="131"/>
      <c r="G262" s="131"/>
      <c r="H262" s="131"/>
      <c r="I262" s="131"/>
      <c r="J262" s="131"/>
      <c r="K262" s="131"/>
      <c r="L262" s="131"/>
      <c r="M262" s="131"/>
      <c r="N262" s="131"/>
    </row>
    <row r="263" s="2" customFormat="true" ht="15.6" hidden="false" customHeight="false" outlineLevel="0" collapsed="false">
      <c r="A263" s="131"/>
      <c r="B263" s="131"/>
      <c r="C263" s="131"/>
      <c r="D263" s="131"/>
      <c r="F263" s="131"/>
      <c r="G263" s="131"/>
      <c r="H263" s="131"/>
      <c r="I263" s="131"/>
      <c r="J263" s="131"/>
      <c r="K263" s="131"/>
      <c r="L263" s="131"/>
      <c r="M263" s="131"/>
      <c r="N263" s="131"/>
    </row>
    <row r="264" s="2" customFormat="true" ht="15.6" hidden="false" customHeight="false" outlineLevel="0" collapsed="false">
      <c r="A264" s="131"/>
      <c r="B264" s="131"/>
      <c r="C264" s="131"/>
      <c r="D264" s="131"/>
      <c r="F264" s="131"/>
      <c r="G264" s="131"/>
      <c r="H264" s="131"/>
      <c r="I264" s="131"/>
      <c r="J264" s="131"/>
      <c r="K264" s="131"/>
      <c r="L264" s="131"/>
      <c r="M264" s="131"/>
      <c r="N264" s="131"/>
    </row>
    <row r="265" s="2" customFormat="true" ht="15.6" hidden="false" customHeight="false" outlineLevel="0" collapsed="false">
      <c r="A265" s="131"/>
      <c r="B265" s="131"/>
      <c r="C265" s="131"/>
      <c r="D265" s="131"/>
      <c r="F265" s="131"/>
      <c r="G265" s="131"/>
      <c r="H265" s="131"/>
      <c r="I265" s="131"/>
      <c r="J265" s="131"/>
      <c r="K265" s="131"/>
      <c r="L265" s="131"/>
      <c r="M265" s="131"/>
      <c r="N265" s="131"/>
    </row>
    <row r="266" s="2" customFormat="true" ht="15.6" hidden="false" customHeight="false" outlineLevel="0" collapsed="false">
      <c r="A266" s="131"/>
      <c r="B266" s="131"/>
      <c r="C266" s="131"/>
      <c r="D266" s="131"/>
      <c r="F266" s="131"/>
      <c r="G266" s="131"/>
      <c r="H266" s="131"/>
      <c r="I266" s="131"/>
      <c r="J266" s="131"/>
      <c r="K266" s="131"/>
      <c r="L266" s="131"/>
      <c r="M266" s="131"/>
      <c r="N266" s="131"/>
    </row>
    <row r="267" s="2" customFormat="true" ht="15.6" hidden="false" customHeight="false" outlineLevel="0" collapsed="false">
      <c r="A267" s="131"/>
      <c r="B267" s="131"/>
      <c r="C267" s="131"/>
      <c r="D267" s="131"/>
      <c r="F267" s="131"/>
      <c r="G267" s="131"/>
      <c r="H267" s="131"/>
      <c r="I267" s="131"/>
      <c r="J267" s="131"/>
      <c r="K267" s="131"/>
      <c r="L267" s="131"/>
      <c r="M267" s="131"/>
      <c r="N267" s="131"/>
    </row>
    <row r="268" s="2" customFormat="true" ht="15.6" hidden="false" customHeight="false" outlineLevel="0" collapsed="false">
      <c r="A268" s="131"/>
      <c r="B268" s="131"/>
      <c r="C268" s="131"/>
      <c r="D268" s="131"/>
      <c r="F268" s="131"/>
      <c r="G268" s="131"/>
      <c r="H268" s="131"/>
      <c r="I268" s="131"/>
      <c r="J268" s="131"/>
      <c r="K268" s="131"/>
      <c r="L268" s="131"/>
      <c r="M268" s="131"/>
      <c r="N268" s="131"/>
    </row>
    <row r="269" s="2" customFormat="true" ht="15.6" hidden="false" customHeight="false" outlineLevel="0" collapsed="false">
      <c r="A269" s="131"/>
      <c r="B269" s="131"/>
      <c r="C269" s="131"/>
      <c r="D269" s="131"/>
      <c r="F269" s="131"/>
      <c r="G269" s="131"/>
      <c r="H269" s="131"/>
      <c r="I269" s="131"/>
      <c r="J269" s="131"/>
      <c r="K269" s="131"/>
      <c r="L269" s="131"/>
      <c r="M269" s="131"/>
      <c r="N269" s="131"/>
    </row>
    <row r="270" s="2" customFormat="true" ht="15.6" hidden="false" customHeight="false" outlineLevel="0" collapsed="false">
      <c r="A270" s="131"/>
      <c r="B270" s="131"/>
      <c r="C270" s="131"/>
      <c r="D270" s="131"/>
      <c r="F270" s="131"/>
      <c r="G270" s="131"/>
      <c r="H270" s="131"/>
      <c r="I270" s="131"/>
      <c r="J270" s="131"/>
      <c r="K270" s="131"/>
      <c r="L270" s="131"/>
      <c r="M270" s="131"/>
      <c r="N270" s="131"/>
    </row>
    <row r="271" s="2" customFormat="true" ht="15.6" hidden="false" customHeight="false" outlineLevel="0" collapsed="false">
      <c r="A271" s="131"/>
      <c r="B271" s="131"/>
      <c r="C271" s="131"/>
      <c r="D271" s="131"/>
      <c r="F271" s="131"/>
      <c r="G271" s="131"/>
      <c r="H271" s="131"/>
      <c r="I271" s="131"/>
      <c r="J271" s="131"/>
      <c r="K271" s="131"/>
      <c r="L271" s="131"/>
      <c r="M271" s="131"/>
      <c r="N271" s="131"/>
    </row>
    <row r="272" s="2" customFormat="true" ht="15.6" hidden="false" customHeight="false" outlineLevel="0" collapsed="false">
      <c r="A272" s="131"/>
      <c r="B272" s="131"/>
      <c r="C272" s="131"/>
      <c r="D272" s="131"/>
      <c r="F272" s="131"/>
      <c r="G272" s="131"/>
      <c r="H272" s="131"/>
      <c r="I272" s="131"/>
      <c r="J272" s="131"/>
      <c r="K272" s="131"/>
      <c r="L272" s="131"/>
      <c r="M272" s="131"/>
      <c r="N272" s="131"/>
    </row>
    <row r="273" s="2" customFormat="true" ht="15.6" hidden="false" customHeight="false" outlineLevel="0" collapsed="false">
      <c r="A273" s="131"/>
      <c r="B273" s="131"/>
      <c r="C273" s="131"/>
      <c r="D273" s="131"/>
      <c r="F273" s="131"/>
      <c r="G273" s="131"/>
      <c r="H273" s="131"/>
      <c r="I273" s="131"/>
      <c r="J273" s="131"/>
      <c r="K273" s="131"/>
      <c r="L273" s="131"/>
      <c r="M273" s="131"/>
      <c r="N273" s="131"/>
    </row>
    <row r="274" s="2" customFormat="true" ht="15.6" hidden="false" customHeight="false" outlineLevel="0" collapsed="false">
      <c r="A274" s="131"/>
      <c r="B274" s="131"/>
      <c r="C274" s="131"/>
      <c r="D274" s="131"/>
      <c r="F274" s="131"/>
      <c r="G274" s="131"/>
      <c r="H274" s="131"/>
      <c r="I274" s="131"/>
      <c r="J274" s="131"/>
      <c r="K274" s="131"/>
      <c r="L274" s="131"/>
      <c r="M274" s="131"/>
      <c r="N274" s="131"/>
    </row>
    <row r="275" s="2" customFormat="true" ht="15.6" hidden="false" customHeight="false" outlineLevel="0" collapsed="false">
      <c r="A275" s="131"/>
      <c r="B275" s="131"/>
      <c r="C275" s="131"/>
      <c r="D275" s="131"/>
      <c r="F275" s="131"/>
      <c r="G275" s="131"/>
      <c r="H275" s="131"/>
      <c r="I275" s="131"/>
      <c r="J275" s="131"/>
      <c r="K275" s="131"/>
      <c r="L275" s="131"/>
      <c r="M275" s="131"/>
      <c r="N275" s="131"/>
    </row>
    <row r="276" s="2" customFormat="true" ht="15.6" hidden="false" customHeight="false" outlineLevel="0" collapsed="false">
      <c r="A276" s="131"/>
      <c r="B276" s="131"/>
      <c r="C276" s="131"/>
      <c r="D276" s="131"/>
      <c r="F276" s="131"/>
      <c r="G276" s="131"/>
      <c r="H276" s="131"/>
      <c r="I276" s="131"/>
      <c r="J276" s="131"/>
      <c r="K276" s="131"/>
      <c r="L276" s="131"/>
      <c r="M276" s="131"/>
      <c r="N276" s="131"/>
    </row>
    <row r="277" s="2" customFormat="true" ht="15.6" hidden="false" customHeight="false" outlineLevel="0" collapsed="false">
      <c r="A277" s="131"/>
      <c r="B277" s="131"/>
      <c r="C277" s="131"/>
      <c r="D277" s="131"/>
      <c r="F277" s="131"/>
      <c r="G277" s="131"/>
      <c r="H277" s="131"/>
      <c r="I277" s="131"/>
      <c r="J277" s="131"/>
      <c r="K277" s="131"/>
      <c r="L277" s="131"/>
      <c r="M277" s="131"/>
      <c r="N277" s="13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R9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27" activePane="bottomRight" state="frozen"/>
      <selection pane="topLeft" activeCell="A1" activeCellId="0" sqref="A1"/>
      <selection pane="topRight" activeCell="C1" activeCellId="0" sqref="C1"/>
      <selection pane="bottomLeft" activeCell="A27" activeCellId="0" sqref="A27"/>
      <selection pane="bottomRight" activeCell="A76" activeCellId="0" sqref="A76"/>
    </sheetView>
  </sheetViews>
  <sheetFormatPr defaultColWidth="11.19921875" defaultRowHeight="15.6" zeroHeight="false" outlineLevelRow="0" outlineLevelCol="0"/>
  <cols>
    <col collapsed="false" customWidth="true" hidden="false" outlineLevel="0" max="1" min="1" style="1" width="31.59"/>
    <col collapsed="false" customWidth="true" hidden="false" outlineLevel="0" max="2" min="2" style="1" width="28.59"/>
    <col collapsed="false" customWidth="true" hidden="false" outlineLevel="0" max="3" min="3" style="221" width="19.1"/>
    <col collapsed="false" customWidth="true" hidden="false" outlineLevel="0" max="5" min="4" style="221" width="18"/>
    <col collapsed="false" customWidth="true" hidden="false" outlineLevel="0" max="6" min="6" style="222" width="18"/>
    <col collapsed="false" customWidth="true" hidden="true" outlineLevel="0" max="7" min="7" style="221" width="15"/>
    <col collapsed="false" customWidth="true" hidden="true" outlineLevel="0" max="11" min="8" style="221" width="16"/>
    <col collapsed="false" customWidth="true" hidden="true" outlineLevel="0" max="13" min="12" style="221" width="10.5"/>
    <col collapsed="false" customWidth="true" hidden="true" outlineLevel="0" max="14" min="14" style="221" width="14"/>
    <col collapsed="false" customWidth="true" hidden="true" outlineLevel="0" max="15" min="15" style="221" width="6.9"/>
    <col collapsed="false" customWidth="true" hidden="true" outlineLevel="0" max="18" min="16" style="1" width="13.7"/>
    <col collapsed="false" customWidth="true" hidden="true" outlineLevel="0" max="19" min="19" style="1" width="13"/>
    <col collapsed="false" customWidth="true" hidden="true" outlineLevel="0" max="26" min="20" style="1" width="11.5"/>
    <col collapsed="false" customWidth="false" hidden="true" outlineLevel="0" max="16384" min="27" style="1" width="11.2"/>
  </cols>
  <sheetData>
    <row r="1" customFormat="false" ht="15.6" hidden="false" customHeight="false" outlineLevel="0" collapsed="false">
      <c r="A1" s="114" t="s">
        <v>35</v>
      </c>
      <c r="B1" s="116"/>
      <c r="C1" s="116"/>
      <c r="D1" s="116"/>
      <c r="E1" s="116"/>
      <c r="F1" s="223" t="s">
        <v>83</v>
      </c>
      <c r="G1" s="119"/>
      <c r="H1" s="119"/>
      <c r="I1" s="119"/>
      <c r="J1" s="119"/>
      <c r="K1" s="119"/>
      <c r="L1" s="119"/>
      <c r="M1" s="224"/>
      <c r="N1" s="225"/>
      <c r="O1" s="226"/>
      <c r="P1" s="2"/>
      <c r="Q1" s="2"/>
      <c r="R1" s="2"/>
    </row>
    <row r="2" s="128" customFormat="true" ht="15.75" hidden="false" customHeight="true" outlineLevel="0" collapsed="false">
      <c r="A2" s="227"/>
      <c r="B2" s="228"/>
      <c r="C2" s="229" t="n">
        <f aca="false">'Hướng dẫn'!J6-3</f>
        <v>2023</v>
      </c>
      <c r="D2" s="229"/>
      <c r="E2" s="229" t="n">
        <f aca="false">C2+1</f>
        <v>2024</v>
      </c>
      <c r="F2" s="230" t="n">
        <f aca="false">E2+1</f>
        <v>2025</v>
      </c>
      <c r="G2" s="231" t="n">
        <f aca="false">F2+1</f>
        <v>2026</v>
      </c>
      <c r="H2" s="229" t="n">
        <f aca="false">G2+1</f>
        <v>2027</v>
      </c>
      <c r="I2" s="229" t="n">
        <f aca="false">H2+1</f>
        <v>2028</v>
      </c>
      <c r="J2" s="229" t="n">
        <f aca="false">I2+1</f>
        <v>2029</v>
      </c>
      <c r="K2" s="229" t="n">
        <f aca="false">J2+1</f>
        <v>2030</v>
      </c>
      <c r="L2" s="232" t="s">
        <v>154</v>
      </c>
      <c r="M2" s="233"/>
      <c r="N2" s="233"/>
      <c r="O2" s="233"/>
      <c r="P2" s="234"/>
      <c r="Q2" s="2"/>
      <c r="R2" s="2"/>
    </row>
    <row r="3" s="128" customFormat="true" ht="15.6" hidden="false" customHeight="false" outlineLevel="0" collapsed="false">
      <c r="A3" s="235" t="s">
        <v>155</v>
      </c>
      <c r="B3" s="236"/>
      <c r="C3" s="237" t="s">
        <v>156</v>
      </c>
      <c r="D3" s="238" t="s">
        <v>157</v>
      </c>
      <c r="E3" s="239"/>
      <c r="F3" s="240"/>
      <c r="G3" s="145"/>
      <c r="H3" s="145"/>
      <c r="I3" s="145"/>
      <c r="J3" s="145"/>
      <c r="K3" s="145"/>
      <c r="L3" s="145"/>
      <c r="M3" s="145"/>
      <c r="N3" s="145"/>
      <c r="O3" s="145"/>
      <c r="P3" s="2"/>
      <c r="Q3" s="2"/>
      <c r="R3" s="2"/>
    </row>
    <row r="4" s="128" customFormat="true" ht="15.6" hidden="false" customHeight="false" outlineLevel="0" collapsed="false">
      <c r="A4" s="241" t="s">
        <v>158</v>
      </c>
      <c r="B4" s="242"/>
      <c r="C4" s="143"/>
      <c r="D4" s="143"/>
      <c r="E4" s="143"/>
      <c r="F4" s="144"/>
      <c r="G4" s="145"/>
      <c r="H4" s="145"/>
      <c r="I4" s="145"/>
      <c r="J4" s="145"/>
      <c r="K4" s="145"/>
      <c r="L4" s="145"/>
      <c r="M4" s="145"/>
      <c r="N4" s="145"/>
      <c r="O4" s="145"/>
      <c r="P4" s="2"/>
      <c r="Q4" s="2"/>
      <c r="R4" s="2"/>
    </row>
    <row r="5" s="128" customFormat="true" ht="15.6" hidden="false" customHeight="false" outlineLevel="0" collapsed="false">
      <c r="A5" s="241"/>
      <c r="B5" s="242" t="s">
        <v>159</v>
      </c>
      <c r="C5" s="133" t="n">
        <v>910000</v>
      </c>
      <c r="D5" s="205" t="n">
        <v>43988.8000000008</v>
      </c>
      <c r="E5" s="205" t="n">
        <v>1735532.55</v>
      </c>
      <c r="F5" s="206" t="n">
        <v>2933481.76549999</v>
      </c>
      <c r="G5" s="161" t="n">
        <f aca="false">'Cash Flow Statement'!F34</f>
        <v>38400237.6759523</v>
      </c>
      <c r="H5" s="161" t="n">
        <f aca="false">'Cash Flow Statement'!G34</f>
        <v>36454183.9426777</v>
      </c>
      <c r="I5" s="161" t="n">
        <f aca="false">'Cash Flow Statement'!H34</f>
        <v>21617751.6085921</v>
      </c>
      <c r="J5" s="161" t="n">
        <f aca="false">'Cash Flow Statement'!I34</f>
        <v>14952947.4517429</v>
      </c>
      <c r="K5" s="161" t="n">
        <f aca="false">'Cash Flow Statement'!J34</f>
        <v>12623216.9387471</v>
      </c>
      <c r="L5" s="145"/>
      <c r="M5" s="145"/>
      <c r="N5" s="145"/>
      <c r="O5" s="145"/>
      <c r="P5" s="2"/>
      <c r="Q5" s="2"/>
      <c r="R5" s="2"/>
    </row>
    <row r="6" s="128" customFormat="true" ht="15.6" hidden="false" customHeight="false" outlineLevel="0" collapsed="false">
      <c r="A6" s="241"/>
      <c r="B6" s="243" t="s">
        <v>160</v>
      </c>
      <c r="C6" s="244" t="n">
        <v>910000</v>
      </c>
      <c r="D6" s="244" t="n">
        <v>43988.8000000008</v>
      </c>
      <c r="E6" s="244" t="n">
        <v>1735532.55</v>
      </c>
      <c r="F6" s="245" t="n">
        <v>2933481.76549999</v>
      </c>
      <c r="G6" s="246" t="n">
        <f aca="false">SUM(G5)</f>
        <v>38400237.6759523</v>
      </c>
      <c r="H6" s="246" t="n">
        <f aca="false">SUM(H5)</f>
        <v>36454183.9426777</v>
      </c>
      <c r="I6" s="246" t="n">
        <f aca="false">SUM(I5)</f>
        <v>21617751.6085921</v>
      </c>
      <c r="J6" s="246" t="n">
        <f aca="false">SUM(J5)</f>
        <v>14952947.4517429</v>
      </c>
      <c r="K6" s="246" t="n">
        <f aca="false">SUM(K5)</f>
        <v>12623216.9387471</v>
      </c>
      <c r="L6" s="200"/>
      <c r="M6" s="200"/>
      <c r="N6" s="200"/>
      <c r="O6" s="200"/>
      <c r="P6" s="2"/>
      <c r="Q6" s="2"/>
      <c r="R6" s="2"/>
    </row>
    <row r="7" s="128" customFormat="true" ht="15.6" hidden="false" customHeight="false" outlineLevel="0" collapsed="false">
      <c r="A7" s="241" t="s">
        <v>161</v>
      </c>
      <c r="B7" s="242"/>
      <c r="C7" s="143"/>
      <c r="D7" s="143"/>
      <c r="E7" s="143"/>
      <c r="F7" s="144"/>
      <c r="G7" s="145"/>
      <c r="H7" s="145"/>
      <c r="I7" s="145"/>
      <c r="J7" s="145"/>
      <c r="K7" s="145"/>
      <c r="L7" s="145"/>
      <c r="M7" s="145"/>
      <c r="N7" s="145"/>
      <c r="O7" s="145"/>
      <c r="P7" s="2"/>
      <c r="Q7" s="2"/>
      <c r="R7" s="2"/>
    </row>
    <row r="8" s="128" customFormat="true" ht="15.6" hidden="false" customHeight="false" outlineLevel="0" collapsed="false">
      <c r="A8" s="241"/>
      <c r="B8" s="242" t="s">
        <v>161</v>
      </c>
      <c r="C8" s="133" t="n">
        <v>1785000</v>
      </c>
      <c r="D8" s="133" t="n">
        <v>2499000</v>
      </c>
      <c r="E8" s="133" t="n">
        <v>2998800</v>
      </c>
      <c r="F8" s="134" t="n">
        <v>3748500</v>
      </c>
      <c r="G8" s="136" t="n">
        <f aca="false">Drivers!F106</f>
        <v>4745934.04040822</v>
      </c>
      <c r="H8" s="136" t="n">
        <f aca="false">Drivers!G106</f>
        <v>6001702.11681318</v>
      </c>
      <c r="I8" s="136" t="n">
        <f aca="false">Drivers!H106</f>
        <v>7480105.52025139</v>
      </c>
      <c r="J8" s="136" t="n">
        <f aca="false">Drivers!I106</f>
        <v>11613941.0097059</v>
      </c>
      <c r="K8" s="136" t="n">
        <f aca="false">Drivers!J106</f>
        <v>13822556.6940733</v>
      </c>
      <c r="L8" s="137"/>
      <c r="M8" s="137"/>
      <c r="N8" s="137"/>
      <c r="O8" s="137"/>
      <c r="P8" s="2"/>
      <c r="Q8" s="2"/>
      <c r="R8" s="2"/>
    </row>
    <row r="9" s="128" customFormat="true" ht="15.6" hidden="false" customHeight="false" outlineLevel="0" collapsed="false">
      <c r="A9" s="241"/>
      <c r="B9" s="243" t="s">
        <v>162</v>
      </c>
      <c r="C9" s="244" t="n">
        <v>1785000</v>
      </c>
      <c r="D9" s="244" t="n">
        <v>2499000</v>
      </c>
      <c r="E9" s="244" t="n">
        <v>2998800</v>
      </c>
      <c r="F9" s="245" t="n">
        <v>3748500</v>
      </c>
      <c r="G9" s="246" t="n">
        <f aca="false">SUM(G8)</f>
        <v>4745934.04040822</v>
      </c>
      <c r="H9" s="246" t="n">
        <f aca="false">SUM(H8)</f>
        <v>6001702.11681318</v>
      </c>
      <c r="I9" s="246" t="n">
        <f aca="false">SUM(I8)</f>
        <v>7480105.52025139</v>
      </c>
      <c r="J9" s="246" t="n">
        <f aca="false">SUM(J8)</f>
        <v>11613941.0097059</v>
      </c>
      <c r="K9" s="246" t="n">
        <f aca="false">SUM(K8)</f>
        <v>13822556.6940733</v>
      </c>
      <c r="L9" s="200"/>
      <c r="M9" s="200"/>
      <c r="N9" s="200"/>
      <c r="O9" s="200"/>
      <c r="P9" s="2"/>
      <c r="Q9" s="2"/>
      <c r="R9" s="2"/>
    </row>
    <row r="10" s="128" customFormat="true" ht="15.6" hidden="false" customHeight="false" outlineLevel="0" collapsed="false">
      <c r="A10" s="241" t="s">
        <v>163</v>
      </c>
      <c r="B10" s="242"/>
      <c r="C10" s="143"/>
      <c r="D10" s="143"/>
      <c r="E10" s="143"/>
      <c r="F10" s="144"/>
      <c r="G10" s="145"/>
      <c r="H10" s="145"/>
      <c r="I10" s="145"/>
      <c r="J10" s="145"/>
      <c r="K10" s="145"/>
      <c r="L10" s="145"/>
      <c r="M10" s="145"/>
      <c r="N10" s="145"/>
      <c r="O10" s="145"/>
      <c r="P10" s="131"/>
      <c r="Q10" s="2"/>
      <c r="R10" s="2"/>
    </row>
    <row r="11" s="128" customFormat="true" ht="15.6" hidden="false" customHeight="false" outlineLevel="0" collapsed="false">
      <c r="A11" s="241"/>
      <c r="B11" s="242" t="s">
        <v>164</v>
      </c>
      <c r="C11" s="133" t="n">
        <v>1050000</v>
      </c>
      <c r="D11" s="133" t="n">
        <v>1260000</v>
      </c>
      <c r="E11" s="133" t="n">
        <v>1537200</v>
      </c>
      <c r="F11" s="134" t="n">
        <v>1767780</v>
      </c>
      <c r="G11" s="135" t="n">
        <f aca="false">Drivers!F108</f>
        <v>3140078.64608022</v>
      </c>
      <c r="H11" s="135" t="n">
        <f aca="false">Drivers!G108</f>
        <v>4909095.00252163</v>
      </c>
      <c r="I11" s="135" t="n">
        <f aca="false">Drivers!H108</f>
        <v>7152143.15951498</v>
      </c>
      <c r="J11" s="135" t="n">
        <f aca="false">Drivers!I108</f>
        <v>11446963.2493082</v>
      </c>
      <c r="K11" s="135" t="n">
        <f aca="false">Drivers!J108</f>
        <v>14703469.2353169</v>
      </c>
      <c r="L11" s="140"/>
      <c r="M11" s="140"/>
      <c r="N11" s="140"/>
      <c r="O11" s="140"/>
      <c r="P11" s="2"/>
      <c r="Q11" s="2"/>
      <c r="R11" s="2"/>
    </row>
    <row r="12" s="128" customFormat="true" ht="15.6" hidden="false" customHeight="false" outlineLevel="0" collapsed="false">
      <c r="A12" s="241"/>
      <c r="B12" s="243" t="s">
        <v>165</v>
      </c>
      <c r="C12" s="244" t="n">
        <v>1050000</v>
      </c>
      <c r="D12" s="244" t="n">
        <v>1260000</v>
      </c>
      <c r="E12" s="244" t="n">
        <v>1537200</v>
      </c>
      <c r="F12" s="245" t="n">
        <v>1767780</v>
      </c>
      <c r="G12" s="246" t="n">
        <f aca="false">SUM(G11)</f>
        <v>3140078.64608022</v>
      </c>
      <c r="H12" s="246" t="n">
        <f aca="false">SUM(H11)</f>
        <v>4909095.00252163</v>
      </c>
      <c r="I12" s="246" t="n">
        <f aca="false">SUM(I11)</f>
        <v>7152143.15951498</v>
      </c>
      <c r="J12" s="246" t="n">
        <f aca="false">SUM(J11)</f>
        <v>11446963.2493082</v>
      </c>
      <c r="K12" s="246" t="n">
        <f aca="false">SUM(K11)</f>
        <v>14703469.2353169</v>
      </c>
      <c r="L12" s="200"/>
      <c r="M12" s="200"/>
      <c r="N12" s="200"/>
      <c r="O12" s="200"/>
      <c r="P12" s="2"/>
      <c r="Q12" s="2"/>
      <c r="R12" s="2"/>
    </row>
    <row r="13" s="128" customFormat="true" ht="15.6" hidden="false" customHeight="false" outlineLevel="0" collapsed="false">
      <c r="A13" s="241" t="s">
        <v>166</v>
      </c>
      <c r="B13" s="242"/>
      <c r="C13" s="143"/>
      <c r="D13" s="143"/>
      <c r="E13" s="143"/>
      <c r="F13" s="144"/>
      <c r="G13" s="145"/>
      <c r="H13" s="145"/>
      <c r="I13" s="145"/>
      <c r="J13" s="145"/>
      <c r="K13" s="145"/>
      <c r="L13" s="145"/>
      <c r="M13" s="145"/>
      <c r="N13" s="145"/>
      <c r="O13" s="145"/>
      <c r="P13" s="2"/>
      <c r="Q13" s="2"/>
      <c r="R13" s="2"/>
    </row>
    <row r="14" s="128" customFormat="true" ht="15.6" hidden="false" customHeight="false" outlineLevel="0" collapsed="false">
      <c r="A14" s="241"/>
      <c r="B14" s="242" t="s">
        <v>167</v>
      </c>
      <c r="C14" s="133" t="n">
        <v>0</v>
      </c>
      <c r="D14" s="133" t="n">
        <v>0</v>
      </c>
      <c r="E14" s="133" t="n">
        <v>0</v>
      </c>
      <c r="F14" s="134" t="n">
        <v>0</v>
      </c>
      <c r="G14" s="181" t="n">
        <v>0</v>
      </c>
      <c r="H14" s="181" t="n">
        <v>0</v>
      </c>
      <c r="I14" s="181" t="n">
        <v>0</v>
      </c>
      <c r="J14" s="181" t="n">
        <v>0</v>
      </c>
      <c r="K14" s="181" t="n">
        <v>0</v>
      </c>
      <c r="L14" s="137"/>
      <c r="M14" s="137"/>
      <c r="N14" s="137"/>
      <c r="O14" s="137"/>
      <c r="P14" s="2"/>
      <c r="Q14" s="2"/>
      <c r="R14" s="2"/>
    </row>
    <row r="15" s="128" customFormat="true" ht="15.6" hidden="false" customHeight="false" outlineLevel="0" collapsed="false">
      <c r="A15" s="241"/>
      <c r="B15" s="242" t="s">
        <v>168</v>
      </c>
      <c r="C15" s="133" t="n">
        <v>890000</v>
      </c>
      <c r="D15" s="133" t="n">
        <v>1068000</v>
      </c>
      <c r="E15" s="133" t="n">
        <v>1495200</v>
      </c>
      <c r="F15" s="134" t="n">
        <v>1794240</v>
      </c>
      <c r="G15" s="135" t="n">
        <f aca="false">Drivers!F110*$F$15/$F$19</f>
        <v>2204363.71592291</v>
      </c>
      <c r="H15" s="135" t="n">
        <f aca="false">Drivers!G110*$F$15/$F$19</f>
        <v>2819642.11993025</v>
      </c>
      <c r="I15" s="135" t="n">
        <f aca="false">Drivers!H110*$F$15/$F$19</f>
        <v>3475986.52626145</v>
      </c>
      <c r="J15" s="135" t="n">
        <f aca="false">Drivers!I110*$F$15/$F$19</f>
        <v>4821523.27154806</v>
      </c>
      <c r="K15" s="135" t="n">
        <f aca="false">Drivers!J110*$F$15/$F$19</f>
        <v>6193181.33085259</v>
      </c>
      <c r="L15" s="140"/>
      <c r="M15" s="140"/>
      <c r="N15" s="140"/>
      <c r="O15" s="140"/>
      <c r="P15" s="2"/>
      <c r="Q15" s="2"/>
      <c r="R15" s="2"/>
    </row>
    <row r="16" s="128" customFormat="true" ht="15.6" hidden="false" customHeight="false" outlineLevel="0" collapsed="false">
      <c r="A16" s="241"/>
      <c r="B16" s="242" t="s">
        <v>169</v>
      </c>
      <c r="C16" s="247" t="s">
        <v>170</v>
      </c>
      <c r="D16" s="247" t="s">
        <v>170</v>
      </c>
      <c r="E16" s="247" t="s">
        <v>170</v>
      </c>
      <c r="F16" s="248" t="s">
        <v>170</v>
      </c>
      <c r="G16" s="181" t="n">
        <v>0</v>
      </c>
      <c r="H16" s="181" t="n">
        <v>0</v>
      </c>
      <c r="I16" s="181" t="n">
        <v>0</v>
      </c>
      <c r="J16" s="181" t="n">
        <v>0</v>
      </c>
      <c r="K16" s="181" t="n">
        <v>0</v>
      </c>
      <c r="L16" s="137"/>
      <c r="M16" s="137"/>
      <c r="N16" s="137"/>
      <c r="O16" s="137"/>
      <c r="P16" s="2"/>
      <c r="Q16" s="2"/>
      <c r="R16" s="2"/>
    </row>
    <row r="17" s="128" customFormat="true" ht="15.6" hidden="false" customHeight="false" outlineLevel="0" collapsed="false">
      <c r="A17" s="241"/>
      <c r="B17" s="242" t="s">
        <v>171</v>
      </c>
      <c r="C17" s="247" t="s">
        <v>170</v>
      </c>
      <c r="D17" s="247" t="s">
        <v>170</v>
      </c>
      <c r="E17" s="247" t="s">
        <v>170</v>
      </c>
      <c r="F17" s="248" t="s">
        <v>170</v>
      </c>
      <c r="G17" s="181" t="n">
        <v>0</v>
      </c>
      <c r="H17" s="181" t="n">
        <v>0</v>
      </c>
      <c r="I17" s="181" t="n">
        <v>0</v>
      </c>
      <c r="J17" s="181" t="n">
        <v>0</v>
      </c>
      <c r="K17" s="181" t="n">
        <v>0</v>
      </c>
      <c r="L17" s="137"/>
      <c r="M17" s="137"/>
      <c r="N17" s="137"/>
      <c r="O17" s="137"/>
      <c r="P17" s="2"/>
      <c r="Q17" s="2"/>
      <c r="R17" s="2"/>
    </row>
    <row r="18" s="128" customFormat="true" ht="15.6" hidden="false" customHeight="false" outlineLevel="0" collapsed="false">
      <c r="A18" s="241"/>
      <c r="B18" s="242" t="s">
        <v>166</v>
      </c>
      <c r="C18" s="133" t="n">
        <v>150000</v>
      </c>
      <c r="D18" s="133" t="n">
        <v>165000</v>
      </c>
      <c r="E18" s="133" t="n">
        <v>214500</v>
      </c>
      <c r="F18" s="134" t="n">
        <v>278850</v>
      </c>
      <c r="G18" s="136" t="n">
        <f aca="false">Drivers!F110*$F$18/$F$19</f>
        <v>342588.963675486</v>
      </c>
      <c r="H18" s="136" t="n">
        <f aca="false">Drivers!G110*$F$18/$F$19</f>
        <v>438211.836288651</v>
      </c>
      <c r="I18" s="136" t="n">
        <f aca="false">Drivers!H110*$F$18/$F$19</f>
        <v>540216.940235423</v>
      </c>
      <c r="J18" s="136" t="n">
        <f aca="false">Drivers!I110*$F$18/$F$19</f>
        <v>749332.176448622</v>
      </c>
      <c r="K18" s="136" t="n">
        <f aca="false">Drivers!J110*$F$18/$F$19</f>
        <v>962507.030334986</v>
      </c>
      <c r="L18" s="137"/>
      <c r="M18" s="137"/>
      <c r="N18" s="137"/>
      <c r="O18" s="137"/>
      <c r="P18" s="2"/>
      <c r="Q18" s="2"/>
      <c r="R18" s="2"/>
    </row>
    <row r="19" s="128" customFormat="true" ht="15.6" hidden="false" customHeight="false" outlineLevel="0" collapsed="false">
      <c r="A19" s="241"/>
      <c r="B19" s="249" t="s">
        <v>172</v>
      </c>
      <c r="C19" s="244" t="n">
        <v>1040000</v>
      </c>
      <c r="D19" s="244" t="n">
        <v>1233000</v>
      </c>
      <c r="E19" s="244" t="n">
        <v>1709700</v>
      </c>
      <c r="F19" s="245" t="n">
        <v>2073090</v>
      </c>
      <c r="G19" s="246" t="n">
        <f aca="false">SUM(G14:G18)</f>
        <v>2546952.6795984</v>
      </c>
      <c r="H19" s="246" t="n">
        <f aca="false">SUM(H14:H18)</f>
        <v>3257853.9562189</v>
      </c>
      <c r="I19" s="246" t="n">
        <f aca="false">SUM(I14:I18)</f>
        <v>4016203.46649687</v>
      </c>
      <c r="J19" s="246" t="n">
        <f aca="false">SUM(J14:J18)</f>
        <v>5570855.44799668</v>
      </c>
      <c r="K19" s="246" t="n">
        <f aca="false">SUM(K14:K18)</f>
        <v>7155688.36118758</v>
      </c>
      <c r="L19" s="200"/>
      <c r="M19" s="200"/>
      <c r="N19" s="200"/>
      <c r="O19" s="200"/>
      <c r="P19" s="2"/>
      <c r="Q19" s="2"/>
      <c r="R19" s="2"/>
    </row>
    <row r="20" s="128" customFormat="true" ht="15.6" hidden="false" customHeight="false" outlineLevel="0" collapsed="false">
      <c r="A20" s="241"/>
      <c r="B20" s="242"/>
      <c r="C20" s="143"/>
      <c r="D20" s="143"/>
      <c r="E20" s="143"/>
      <c r="F20" s="144"/>
      <c r="G20" s="145"/>
      <c r="H20" s="145"/>
      <c r="I20" s="145"/>
      <c r="J20" s="145"/>
      <c r="K20" s="145"/>
      <c r="L20" s="145"/>
      <c r="M20" s="145"/>
      <c r="N20" s="145"/>
      <c r="O20" s="145"/>
      <c r="P20" s="2"/>
      <c r="Q20" s="2"/>
      <c r="R20" s="2"/>
    </row>
    <row r="21" s="157" customFormat="true" ht="15.75" hidden="false" customHeight="true" outlineLevel="0" collapsed="false">
      <c r="A21" s="250" t="s">
        <v>173</v>
      </c>
      <c r="B21" s="251"/>
      <c r="C21" s="252" t="n">
        <v>4785000</v>
      </c>
      <c r="D21" s="252" t="n">
        <v>5035988.8</v>
      </c>
      <c r="E21" s="252" t="n">
        <v>7981232.55</v>
      </c>
      <c r="F21" s="253" t="n">
        <v>10522851.7655</v>
      </c>
      <c r="G21" s="150" t="n">
        <f aca="false">SUM(G6,G9,G12,G19)</f>
        <v>48833203.0420392</v>
      </c>
      <c r="H21" s="150" t="n">
        <f aca="false">SUM(H6,H9,H12,H19)</f>
        <v>50622835.0182314</v>
      </c>
      <c r="I21" s="150" t="n">
        <f aca="false">SUM(I6,I9,I12,I19)</f>
        <v>40266203.7548554</v>
      </c>
      <c r="J21" s="150" t="n">
        <f aca="false">SUM(J6,J9,J12,J19)</f>
        <v>43584707.1587537</v>
      </c>
      <c r="K21" s="150" t="n">
        <f aca="false">SUM(K6,K9,K12,K19)</f>
        <v>48304931.229325</v>
      </c>
      <c r="L21" s="151"/>
      <c r="M21" s="151"/>
      <c r="N21" s="151"/>
      <c r="O21" s="151"/>
      <c r="P21" s="2"/>
      <c r="Q21" s="2"/>
      <c r="R21" s="2"/>
    </row>
    <row r="22" s="128" customFormat="true" ht="15.6" hidden="false" customHeight="false" outlineLevel="0" collapsed="false">
      <c r="A22" s="254" t="s">
        <v>174</v>
      </c>
      <c r="B22" s="255"/>
      <c r="C22" s="256"/>
      <c r="D22" s="256"/>
      <c r="E22" s="256"/>
      <c r="F22" s="257"/>
      <c r="G22" s="145"/>
      <c r="H22" s="145"/>
      <c r="I22" s="145"/>
      <c r="J22" s="145"/>
      <c r="K22" s="145"/>
      <c r="L22" s="145"/>
      <c r="M22" s="145"/>
      <c r="N22" s="145"/>
      <c r="O22" s="145"/>
      <c r="P22" s="2"/>
      <c r="Q22" s="2"/>
      <c r="R22" s="2"/>
    </row>
    <row r="23" s="128" customFormat="true" ht="15.6" hidden="false" customHeight="false" outlineLevel="0" collapsed="false">
      <c r="A23" s="241" t="s">
        <v>175</v>
      </c>
      <c r="B23" s="242"/>
      <c r="C23" s="143"/>
      <c r="D23" s="143"/>
      <c r="E23" s="143"/>
      <c r="F23" s="144"/>
      <c r="G23" s="145"/>
      <c r="H23" s="145"/>
      <c r="I23" s="145"/>
      <c r="J23" s="145"/>
      <c r="K23" s="145"/>
      <c r="L23" s="145"/>
      <c r="M23" s="145"/>
      <c r="N23" s="145"/>
      <c r="O23" s="145"/>
      <c r="P23" s="2"/>
      <c r="Q23" s="2"/>
      <c r="R23" s="2"/>
    </row>
    <row r="24" s="128" customFormat="true" ht="15.6" hidden="false" customHeight="false" outlineLevel="0" collapsed="false">
      <c r="A24" s="241"/>
      <c r="B24" s="242" t="s">
        <v>176</v>
      </c>
      <c r="C24" s="205" t="n">
        <v>2850000</v>
      </c>
      <c r="D24" s="205" t="n">
        <v>4282200</v>
      </c>
      <c r="E24" s="205" t="n">
        <v>6657480</v>
      </c>
      <c r="F24" s="206" t="n">
        <v>9789432</v>
      </c>
      <c r="G24" s="161" t="n">
        <f aca="false">SUM(F24,'Income Statement'!E69)</f>
        <v>13531526.4</v>
      </c>
      <c r="H24" s="161" t="n">
        <f aca="false">SUM(G24,'Income Statement'!F69)</f>
        <v>18801792.407759</v>
      </c>
      <c r="I24" s="161" t="n">
        <f aca="false">SUM(H24,'Income Statement'!G69)</f>
        <v>25538092.6958166</v>
      </c>
      <c r="J24" s="161" t="n">
        <f aca="false">SUM(I24,'Income Statement'!H69)</f>
        <v>40105989.743543</v>
      </c>
      <c r="K24" s="161" t="n">
        <f aca="false">SUM(J24,'Income Statement'!I69)</f>
        <v>56679394.7525483</v>
      </c>
      <c r="L24" s="145"/>
      <c r="M24" s="145"/>
      <c r="N24" s="145"/>
      <c r="O24" s="145"/>
      <c r="P24" s="2"/>
      <c r="Q24" s="2"/>
      <c r="R24" s="2"/>
    </row>
    <row r="25" s="128" customFormat="true" ht="15.6" hidden="false" customHeight="false" outlineLevel="0" collapsed="false">
      <c r="A25" s="241"/>
      <c r="B25" s="242" t="s">
        <v>177</v>
      </c>
      <c r="C25" s="205" t="n">
        <v>0</v>
      </c>
      <c r="D25" s="205" t="n">
        <v>0</v>
      </c>
      <c r="E25" s="205" t="n">
        <v>0</v>
      </c>
      <c r="F25" s="206" t="n">
        <v>0</v>
      </c>
      <c r="G25" s="161" t="n">
        <f aca="false">SUM(F25,'Income Statement'!E70)</f>
        <v>0</v>
      </c>
      <c r="H25" s="161" t="n">
        <f aca="false">SUM(G25,'Income Statement'!F70)</f>
        <v>0</v>
      </c>
      <c r="I25" s="161" t="n">
        <f aca="false">SUM(H25,'Income Statement'!G70)</f>
        <v>0</v>
      </c>
      <c r="J25" s="161" t="n">
        <f aca="false">SUM(I25,'Income Statement'!H70)</f>
        <v>0</v>
      </c>
      <c r="K25" s="161" t="n">
        <f aca="false">SUM(J25,'Income Statement'!I70)</f>
        <v>0</v>
      </c>
      <c r="L25" s="145"/>
      <c r="M25" s="145"/>
      <c r="N25" s="145"/>
      <c r="O25" s="145"/>
      <c r="P25" s="2"/>
      <c r="Q25" s="2"/>
      <c r="R25" s="2"/>
    </row>
    <row r="26" s="128" customFormat="true" ht="15.6" hidden="false" customHeight="false" outlineLevel="0" collapsed="false">
      <c r="A26" s="241" t="s">
        <v>174</v>
      </c>
      <c r="B26" s="242"/>
      <c r="C26" s="143"/>
      <c r="D26" s="143"/>
      <c r="E26" s="143"/>
      <c r="F26" s="144"/>
      <c r="G26" s="145"/>
      <c r="H26" s="145"/>
      <c r="I26" s="145"/>
      <c r="J26" s="145"/>
      <c r="K26" s="145"/>
      <c r="L26" s="145"/>
      <c r="M26" s="145"/>
      <c r="N26" s="145"/>
      <c r="O26" s="145"/>
      <c r="P26" s="2"/>
      <c r="Q26" s="2"/>
      <c r="R26" s="2"/>
    </row>
    <row r="27" s="128" customFormat="true" ht="15.6" hidden="false" customHeight="false" outlineLevel="0" collapsed="false">
      <c r="A27" s="241"/>
      <c r="B27" s="242" t="s">
        <v>178</v>
      </c>
      <c r="C27" s="133" t="n">
        <v>985000</v>
      </c>
      <c r="D27" s="133" t="n">
        <v>985000</v>
      </c>
      <c r="E27" s="133" t="n">
        <v>1020000</v>
      </c>
      <c r="F27" s="134" t="n">
        <v>1020000</v>
      </c>
      <c r="G27" s="136" t="n">
        <f aca="false">F27</f>
        <v>1020000</v>
      </c>
      <c r="H27" s="136" t="n">
        <f aca="false">G27</f>
        <v>1020000</v>
      </c>
      <c r="I27" s="136" t="n">
        <f aca="false">H27</f>
        <v>1020000</v>
      </c>
      <c r="J27" s="136" t="n">
        <f aca="false">I27</f>
        <v>1020000</v>
      </c>
      <c r="K27" s="136" t="n">
        <f aca="false">J27</f>
        <v>1020000</v>
      </c>
      <c r="L27" s="137"/>
      <c r="M27" s="137"/>
      <c r="N27" s="137"/>
      <c r="O27" s="137"/>
      <c r="P27" s="2"/>
      <c r="Q27" s="2"/>
      <c r="R27" s="2"/>
    </row>
    <row r="28" s="128" customFormat="true" ht="15.6" hidden="false" customHeight="false" outlineLevel="0" collapsed="false">
      <c r="A28" s="241"/>
      <c r="B28" s="242" t="s">
        <v>179</v>
      </c>
      <c r="C28" s="133" t="n">
        <v>10220000</v>
      </c>
      <c r="D28" s="133" t="n">
        <v>13797000</v>
      </c>
      <c r="E28" s="133" t="n">
        <v>19315800</v>
      </c>
      <c r="F28" s="134" t="n">
        <v>21633696</v>
      </c>
      <c r="G28" s="135" t="n">
        <f aca="false">SUM(F28,Drivers!F96)</f>
        <v>34368459.397992</v>
      </c>
      <c r="H28" s="135" t="n">
        <f aca="false">SUM(G28,Drivers!G96)</f>
        <v>46585411.7338129</v>
      </c>
      <c r="I28" s="135" t="n">
        <f aca="false">SUM(H28,Drivers!H96)</f>
        <v>111848718.064387</v>
      </c>
      <c r="J28" s="135" t="n">
        <f aca="false">SUM(I28,Drivers!I96)</f>
        <v>128561284.408377</v>
      </c>
      <c r="K28" s="135" t="n">
        <f aca="false">SUM(J28,Drivers!J96)</f>
        <v>146450505.311346</v>
      </c>
      <c r="L28" s="140"/>
      <c r="M28" s="140"/>
      <c r="N28" s="140"/>
      <c r="O28" s="140"/>
      <c r="P28" s="2"/>
      <c r="Q28" s="2"/>
      <c r="R28" s="2"/>
    </row>
    <row r="29" s="128" customFormat="true" ht="15.6" hidden="false" customHeight="false" outlineLevel="0" collapsed="false">
      <c r="A29" s="241"/>
      <c r="B29" s="242" t="s">
        <v>180</v>
      </c>
      <c r="C29" s="133" t="n">
        <v>3580000</v>
      </c>
      <c r="D29" s="133" t="n">
        <v>5012000</v>
      </c>
      <c r="E29" s="133" t="n">
        <v>5763800</v>
      </c>
      <c r="F29" s="134" t="n">
        <v>8530424</v>
      </c>
      <c r="G29" s="135" t="n">
        <f aca="false">F29</f>
        <v>8530424</v>
      </c>
      <c r="H29" s="135" t="n">
        <f aca="false">G29</f>
        <v>8530424</v>
      </c>
      <c r="I29" s="135" t="n">
        <f aca="false">H29</f>
        <v>8530424</v>
      </c>
      <c r="J29" s="135" t="n">
        <f aca="false">I29</f>
        <v>8530424</v>
      </c>
      <c r="K29" s="135" t="n">
        <f aca="false">J29</f>
        <v>8530424</v>
      </c>
      <c r="L29" s="140"/>
      <c r="M29" s="140"/>
      <c r="N29" s="140"/>
      <c r="O29" s="140"/>
      <c r="P29" s="2"/>
      <c r="Q29" s="2"/>
      <c r="R29" s="2"/>
    </row>
    <row r="30" s="128" customFormat="true" ht="15.6" hidden="false" customHeight="false" outlineLevel="0" collapsed="false">
      <c r="A30" s="258" t="s">
        <v>181</v>
      </c>
      <c r="B30" s="242"/>
      <c r="C30" s="244" t="n">
        <v>11935000</v>
      </c>
      <c r="D30" s="244" t="n">
        <v>15511800</v>
      </c>
      <c r="E30" s="244" t="n">
        <v>19442120</v>
      </c>
      <c r="F30" s="245" t="n">
        <v>21394688</v>
      </c>
      <c r="G30" s="246" t="n">
        <f aca="false">SUM(G27:G29)-G24-G25</f>
        <v>30387356.997992</v>
      </c>
      <c r="H30" s="246" t="n">
        <f aca="false">SUM(H27:H29)-H24-H25</f>
        <v>37334043.3260538</v>
      </c>
      <c r="I30" s="246" t="n">
        <f aca="false">SUM(I27:I29)-I24-I25</f>
        <v>95861049.3685705</v>
      </c>
      <c r="J30" s="246" t="n">
        <f aca="false">SUM(J27:J29)-J24-J25</f>
        <v>98005718.6648341</v>
      </c>
      <c r="K30" s="246" t="n">
        <f aca="false">SUM(K27:K29)-K24-K25</f>
        <v>99321534.5587978</v>
      </c>
      <c r="L30" s="200"/>
      <c r="M30" s="200"/>
      <c r="N30" s="200"/>
      <c r="O30" s="200"/>
      <c r="P30" s="2"/>
      <c r="Q30" s="2"/>
      <c r="R30" s="2"/>
    </row>
    <row r="31" s="128" customFormat="true" ht="15.6" hidden="false" customHeight="false" outlineLevel="0" collapsed="false">
      <c r="A31" s="36"/>
      <c r="B31" s="2"/>
      <c r="C31" s="143"/>
      <c r="D31" s="143"/>
      <c r="E31" s="143"/>
      <c r="F31" s="144"/>
      <c r="G31" s="145"/>
      <c r="H31" s="145"/>
      <c r="I31" s="145"/>
      <c r="J31" s="145"/>
      <c r="K31" s="145"/>
      <c r="L31" s="145"/>
      <c r="M31" s="145"/>
      <c r="N31" s="145"/>
      <c r="O31" s="145"/>
      <c r="P31" s="2"/>
      <c r="Q31" s="2"/>
      <c r="R31" s="2"/>
    </row>
    <row r="32" s="128" customFormat="true" ht="15.75" hidden="false" customHeight="true" outlineLevel="0" collapsed="false">
      <c r="A32" s="259" t="s">
        <v>182</v>
      </c>
      <c r="B32" s="260"/>
      <c r="C32" s="261" t="n">
        <v>16720000</v>
      </c>
      <c r="D32" s="261" t="n">
        <v>20547788.8</v>
      </c>
      <c r="E32" s="261" t="n">
        <v>27423352.55</v>
      </c>
      <c r="F32" s="262" t="n">
        <v>31917539.7655</v>
      </c>
      <c r="G32" s="263" t="n">
        <f aca="false">SUM(G21,G30)</f>
        <v>79220560.0400312</v>
      </c>
      <c r="H32" s="263" t="n">
        <f aca="false">SUM(H21,H30)</f>
        <v>87956878.3442852</v>
      </c>
      <c r="I32" s="263" t="n">
        <f aca="false">SUM(I21,I30)</f>
        <v>136127253.123426</v>
      </c>
      <c r="J32" s="263" t="n">
        <f aca="false">SUM(J21,J30)</f>
        <v>141590425.823588</v>
      </c>
      <c r="K32" s="263" t="n">
        <f aca="false">SUM(K21,K30)</f>
        <v>147626465.788123</v>
      </c>
      <c r="L32" s="264"/>
      <c r="M32" s="264"/>
      <c r="N32" s="264"/>
      <c r="O32" s="264"/>
      <c r="P32" s="265"/>
      <c r="Q32" s="2"/>
      <c r="R32" s="2"/>
    </row>
    <row r="33" s="128" customFormat="true" ht="15.75" hidden="false" customHeight="true" outlineLevel="0" collapsed="false">
      <c r="A33" s="2"/>
      <c r="B33" s="266"/>
      <c r="C33" s="267" t="n">
        <v>0</v>
      </c>
      <c r="D33" s="267" t="n">
        <v>0</v>
      </c>
      <c r="E33" s="267" t="n">
        <v>0</v>
      </c>
      <c r="F33" s="267" t="n">
        <v>0</v>
      </c>
      <c r="G33" s="268"/>
      <c r="H33" s="268"/>
      <c r="I33" s="268"/>
      <c r="J33" s="268"/>
      <c r="K33" s="268"/>
      <c r="L33" s="268"/>
      <c r="M33" s="268"/>
      <c r="N33" s="268"/>
      <c r="O33" s="268"/>
      <c r="P33" s="2"/>
      <c r="Q33" s="2"/>
      <c r="R33" s="2"/>
    </row>
    <row r="34" s="128" customFormat="true" ht="15.75" hidden="false" customHeight="true" outlineLevel="0" collapsed="false">
      <c r="A34" s="269" t="s">
        <v>183</v>
      </c>
      <c r="B34" s="270"/>
      <c r="C34" s="271"/>
      <c r="D34" s="271"/>
      <c r="E34" s="271"/>
      <c r="F34" s="272"/>
      <c r="G34" s="145"/>
      <c r="H34" s="145"/>
      <c r="I34" s="145"/>
      <c r="J34" s="145"/>
      <c r="K34" s="145"/>
      <c r="L34" s="145"/>
      <c r="M34" s="145"/>
      <c r="N34" s="145"/>
      <c r="O34" s="145"/>
      <c r="P34" s="2"/>
      <c r="Q34" s="2"/>
      <c r="R34" s="2"/>
    </row>
    <row r="35" s="128" customFormat="true" ht="15.75" hidden="false" customHeight="true" outlineLevel="0" collapsed="false">
      <c r="A35" s="273" t="s">
        <v>184</v>
      </c>
      <c r="B35" s="274"/>
      <c r="C35" s="275"/>
      <c r="D35" s="275"/>
      <c r="E35" s="275"/>
      <c r="F35" s="276"/>
      <c r="G35" s="145"/>
      <c r="H35" s="145"/>
      <c r="I35" s="145"/>
      <c r="J35" s="145"/>
      <c r="K35" s="145"/>
      <c r="L35" s="145"/>
      <c r="M35" s="145"/>
      <c r="N35" s="145"/>
      <c r="O35" s="145"/>
      <c r="P35" s="2"/>
      <c r="Q35" s="2"/>
      <c r="R35" s="2"/>
    </row>
    <row r="36" s="128" customFormat="true" ht="15.6" hidden="false" customHeight="false" outlineLevel="0" collapsed="false">
      <c r="A36" s="241" t="s">
        <v>185</v>
      </c>
      <c r="B36" s="242"/>
      <c r="C36" s="143"/>
      <c r="D36" s="143"/>
      <c r="E36" s="143"/>
      <c r="F36" s="144"/>
      <c r="G36" s="145"/>
      <c r="H36" s="145"/>
      <c r="I36" s="145"/>
      <c r="J36" s="145"/>
      <c r="K36" s="145"/>
      <c r="L36" s="145"/>
      <c r="M36" s="145"/>
      <c r="N36" s="145"/>
      <c r="O36" s="145"/>
      <c r="P36" s="2"/>
      <c r="Q36" s="2"/>
      <c r="R36" s="2"/>
    </row>
    <row r="37" s="128" customFormat="true" ht="15.6" hidden="false" customHeight="false" outlineLevel="0" collapsed="false">
      <c r="A37" s="241"/>
      <c r="B37" s="242" t="s">
        <v>186</v>
      </c>
      <c r="C37" s="133" t="n">
        <v>120000</v>
      </c>
      <c r="D37" s="133" t="n">
        <v>156000</v>
      </c>
      <c r="E37" s="133" t="n">
        <v>202800</v>
      </c>
      <c r="F37" s="134" t="n">
        <v>263640</v>
      </c>
      <c r="G37" s="136" t="n">
        <f aca="false">Drivers!F112</f>
        <v>474593.404040822</v>
      </c>
      <c r="H37" s="136" t="n">
        <f aca="false">Drivers!G112</f>
        <v>720204.254017582</v>
      </c>
      <c r="I37" s="136" t="n">
        <f aca="false">Drivers!H112</f>
        <v>1122015.82803771</v>
      </c>
      <c r="J37" s="136" t="n">
        <f aca="false">Drivers!I112</f>
        <v>1659134.42995798</v>
      </c>
      <c r="K37" s="136" t="n">
        <f aca="false">Drivers!J112</f>
        <v>2073383.504111</v>
      </c>
      <c r="L37" s="137"/>
      <c r="M37" s="137"/>
      <c r="N37" s="137"/>
      <c r="O37" s="137"/>
      <c r="P37" s="2"/>
      <c r="Q37" s="2"/>
      <c r="R37" s="2"/>
    </row>
    <row r="38" s="128" customFormat="true" ht="15.6" hidden="false" customHeight="false" outlineLevel="0" collapsed="false">
      <c r="A38" s="241"/>
      <c r="B38" s="243" t="s">
        <v>187</v>
      </c>
      <c r="C38" s="244" t="n">
        <v>120000</v>
      </c>
      <c r="D38" s="244" t="n">
        <v>156000</v>
      </c>
      <c r="E38" s="244" t="n">
        <v>202800</v>
      </c>
      <c r="F38" s="245" t="n">
        <v>263640</v>
      </c>
      <c r="G38" s="246" t="n">
        <f aca="false">SUM(G37)</f>
        <v>474593.404040822</v>
      </c>
      <c r="H38" s="246" t="n">
        <f aca="false">SUM(H37)</f>
        <v>720204.254017582</v>
      </c>
      <c r="I38" s="246" t="n">
        <f aca="false">SUM(I37)</f>
        <v>1122015.82803771</v>
      </c>
      <c r="J38" s="246" t="n">
        <f aca="false">SUM(J37)</f>
        <v>1659134.42995798</v>
      </c>
      <c r="K38" s="246" t="n">
        <f aca="false">SUM(K37)</f>
        <v>2073383.504111</v>
      </c>
      <c r="L38" s="200"/>
      <c r="M38" s="200"/>
      <c r="N38" s="200"/>
      <c r="O38" s="200"/>
      <c r="P38" s="2"/>
      <c r="Q38" s="2"/>
      <c r="R38" s="2"/>
    </row>
    <row r="39" s="128" customFormat="true" ht="15.6" hidden="false" customHeight="false" outlineLevel="0" collapsed="false">
      <c r="A39" s="36" t="s">
        <v>188</v>
      </c>
      <c r="B39" s="2"/>
      <c r="C39" s="143"/>
      <c r="D39" s="143"/>
      <c r="E39" s="143"/>
      <c r="F39" s="144"/>
      <c r="G39" s="145"/>
      <c r="H39" s="145"/>
      <c r="I39" s="145"/>
      <c r="J39" s="145"/>
      <c r="K39" s="145"/>
      <c r="L39" s="145"/>
      <c r="M39" s="145"/>
      <c r="N39" s="145"/>
      <c r="O39" s="145"/>
      <c r="P39" s="2"/>
      <c r="Q39" s="2"/>
      <c r="R39" s="2"/>
    </row>
    <row r="40" s="128" customFormat="true" ht="15.6" hidden="false" customHeight="false" outlineLevel="0" collapsed="false">
      <c r="A40" s="36"/>
      <c r="B40" s="2" t="s">
        <v>189</v>
      </c>
      <c r="C40" s="133" t="n">
        <v>0</v>
      </c>
      <c r="D40" s="133" t="n">
        <v>0</v>
      </c>
      <c r="E40" s="133" t="n">
        <v>0</v>
      </c>
      <c r="F40" s="134" t="n">
        <v>0</v>
      </c>
      <c r="G40" s="87" t="n">
        <v>0</v>
      </c>
      <c r="H40" s="87" t="n">
        <v>0</v>
      </c>
      <c r="I40" s="87" t="n">
        <v>0</v>
      </c>
      <c r="J40" s="87" t="n">
        <v>0</v>
      </c>
      <c r="K40" s="87" t="n">
        <v>0</v>
      </c>
      <c r="L40" s="140"/>
      <c r="M40" s="140"/>
      <c r="N40" s="140"/>
      <c r="O40" s="140"/>
      <c r="P40" s="2"/>
      <c r="Q40" s="2"/>
      <c r="R40" s="2"/>
    </row>
    <row r="41" s="128" customFormat="true" ht="15.6" hidden="false" customHeight="false" outlineLevel="0" collapsed="false">
      <c r="A41" s="36"/>
      <c r="B41" s="2" t="s">
        <v>190</v>
      </c>
      <c r="C41" s="133" t="n">
        <v>0</v>
      </c>
      <c r="D41" s="133" t="n">
        <v>0</v>
      </c>
      <c r="E41" s="133" t="n">
        <v>0</v>
      </c>
      <c r="F41" s="134" t="n">
        <v>0</v>
      </c>
      <c r="G41" s="87" t="n">
        <v>0</v>
      </c>
      <c r="H41" s="87" t="n">
        <v>0</v>
      </c>
      <c r="I41" s="87" t="n">
        <v>0</v>
      </c>
      <c r="J41" s="87" t="n">
        <v>0</v>
      </c>
      <c r="K41" s="87" t="n">
        <v>0</v>
      </c>
      <c r="L41" s="140"/>
      <c r="M41" s="140"/>
      <c r="N41" s="140"/>
      <c r="O41" s="140"/>
      <c r="P41" s="2"/>
      <c r="Q41" s="2"/>
      <c r="R41" s="2"/>
    </row>
    <row r="42" s="128" customFormat="true" ht="15.6" hidden="false" customHeight="false" outlineLevel="0" collapsed="false">
      <c r="A42" s="36"/>
      <c r="B42" s="265" t="s">
        <v>191</v>
      </c>
      <c r="C42" s="244" t="n">
        <v>0</v>
      </c>
      <c r="D42" s="244" t="n">
        <v>0</v>
      </c>
      <c r="E42" s="244" t="n">
        <v>0</v>
      </c>
      <c r="F42" s="245" t="n">
        <v>0</v>
      </c>
      <c r="G42" s="246" t="n">
        <f aca="false">SUM(G40:G41)</f>
        <v>0</v>
      </c>
      <c r="H42" s="246" t="n">
        <f aca="false">SUM(H40:H41)</f>
        <v>0</v>
      </c>
      <c r="I42" s="246" t="n">
        <f aca="false">SUM(I40:I41)</f>
        <v>0</v>
      </c>
      <c r="J42" s="246" t="n">
        <f aca="false">SUM(J40:J41)</f>
        <v>0</v>
      </c>
      <c r="K42" s="246" t="n">
        <f aca="false">SUM(K40:K41)</f>
        <v>0</v>
      </c>
      <c r="L42" s="200"/>
      <c r="M42" s="200"/>
      <c r="N42" s="200"/>
      <c r="O42" s="200"/>
      <c r="P42" s="2"/>
      <c r="Q42" s="2"/>
      <c r="R42" s="2"/>
    </row>
    <row r="43" s="128" customFormat="true" ht="15.6" hidden="false" customHeight="false" outlineLevel="0" collapsed="false">
      <c r="A43" s="241" t="s">
        <v>192</v>
      </c>
      <c r="B43" s="242"/>
      <c r="C43" s="143"/>
      <c r="D43" s="143"/>
      <c r="E43" s="143"/>
      <c r="F43" s="144"/>
      <c r="G43" s="145"/>
      <c r="H43" s="145"/>
      <c r="I43" s="145"/>
      <c r="J43" s="145"/>
      <c r="K43" s="145"/>
      <c r="L43" s="145"/>
      <c r="M43" s="145"/>
      <c r="N43" s="145"/>
      <c r="O43" s="145"/>
      <c r="P43" s="2"/>
      <c r="Q43" s="2"/>
      <c r="R43" s="2"/>
    </row>
    <row r="44" s="128" customFormat="true" ht="15.6" hidden="false" customHeight="false" outlineLevel="0" collapsed="false">
      <c r="A44" s="241"/>
      <c r="B44" s="242" t="s">
        <v>193</v>
      </c>
      <c r="C44" s="133" t="n">
        <v>100000</v>
      </c>
      <c r="D44" s="133" t="n">
        <v>90000</v>
      </c>
      <c r="E44" s="133" t="n">
        <v>108000</v>
      </c>
      <c r="F44" s="134" t="n">
        <v>102600</v>
      </c>
      <c r="G44" s="136" t="n">
        <f aca="false">Drivers!F122</f>
        <v>102600</v>
      </c>
      <c r="H44" s="136" t="n">
        <f aca="false">Drivers!G122</f>
        <v>102600</v>
      </c>
      <c r="I44" s="136" t="n">
        <f aca="false">Drivers!H122</f>
        <v>102600</v>
      </c>
      <c r="J44" s="136" t="n">
        <f aca="false">Drivers!I122</f>
        <v>102600</v>
      </c>
      <c r="K44" s="136" t="n">
        <f aca="false">Drivers!J122</f>
        <v>102600</v>
      </c>
      <c r="L44" s="137"/>
      <c r="M44" s="137"/>
      <c r="N44" s="137"/>
      <c r="O44" s="137"/>
      <c r="P44" s="2"/>
      <c r="Q44" s="2"/>
      <c r="R44" s="2"/>
    </row>
    <row r="45" s="128" customFormat="true" ht="15.6" hidden="false" customHeight="false" outlineLevel="0" collapsed="false">
      <c r="A45" s="36"/>
      <c r="B45" s="243" t="s">
        <v>194</v>
      </c>
      <c r="C45" s="244" t="n">
        <v>100000</v>
      </c>
      <c r="D45" s="244" t="n">
        <v>90000</v>
      </c>
      <c r="E45" s="244" t="n">
        <v>108000</v>
      </c>
      <c r="F45" s="245" t="n">
        <v>102600</v>
      </c>
      <c r="G45" s="246" t="n">
        <f aca="false">SUM(G44:G44)</f>
        <v>102600</v>
      </c>
      <c r="H45" s="246" t="n">
        <f aca="false">SUM(H44:H44)</f>
        <v>102600</v>
      </c>
      <c r="I45" s="246" t="n">
        <f aca="false">SUM(I44:I44)</f>
        <v>102600</v>
      </c>
      <c r="J45" s="246" t="n">
        <f aca="false">SUM(J44:J44)</f>
        <v>102600</v>
      </c>
      <c r="K45" s="246" t="n">
        <f aca="false">SUM(K44:K44)</f>
        <v>102600</v>
      </c>
      <c r="L45" s="200"/>
      <c r="M45" s="200"/>
      <c r="N45" s="200"/>
      <c r="O45" s="200"/>
      <c r="P45" s="2"/>
      <c r="Q45" s="2"/>
      <c r="R45" s="2"/>
    </row>
    <row r="46" s="128" customFormat="true" ht="15.6" hidden="false" customHeight="false" outlineLevel="0" collapsed="false">
      <c r="A46" s="36" t="s">
        <v>195</v>
      </c>
      <c r="B46" s="2"/>
      <c r="C46" s="143"/>
      <c r="D46" s="143"/>
      <c r="E46" s="143"/>
      <c r="F46" s="144"/>
      <c r="G46" s="145"/>
      <c r="H46" s="145"/>
      <c r="I46" s="145"/>
      <c r="J46" s="145"/>
      <c r="K46" s="145"/>
      <c r="L46" s="145"/>
      <c r="M46" s="145"/>
      <c r="N46" s="145"/>
      <c r="O46" s="145"/>
      <c r="P46" s="2"/>
      <c r="Q46" s="2"/>
      <c r="R46" s="2"/>
    </row>
    <row r="47" s="128" customFormat="true" ht="15.6" hidden="false" customHeight="false" outlineLevel="0" collapsed="false">
      <c r="A47" s="36"/>
      <c r="B47" s="2" t="s">
        <v>196</v>
      </c>
      <c r="C47" s="133" t="n">
        <v>0</v>
      </c>
      <c r="D47" s="133" t="n">
        <v>0</v>
      </c>
      <c r="E47" s="133" t="n">
        <v>0</v>
      </c>
      <c r="F47" s="134" t="n">
        <v>0</v>
      </c>
      <c r="G47" s="181" t="n">
        <v>0</v>
      </c>
      <c r="H47" s="181" t="n">
        <v>0</v>
      </c>
      <c r="I47" s="181" t="n">
        <v>0</v>
      </c>
      <c r="J47" s="181" t="n">
        <v>0</v>
      </c>
      <c r="K47" s="181" t="n">
        <v>0</v>
      </c>
      <c r="L47" s="137"/>
      <c r="M47" s="137"/>
      <c r="N47" s="137"/>
      <c r="O47" s="137"/>
      <c r="P47" s="2"/>
      <c r="Q47" s="2"/>
      <c r="R47" s="2"/>
    </row>
    <row r="48" s="128" customFormat="true" ht="15.6" hidden="false" customHeight="false" outlineLevel="0" collapsed="false">
      <c r="A48" s="36"/>
      <c r="B48" s="265" t="s">
        <v>197</v>
      </c>
      <c r="C48" s="244" t="n">
        <v>0</v>
      </c>
      <c r="D48" s="244" t="n">
        <v>0</v>
      </c>
      <c r="E48" s="244" t="n">
        <v>0</v>
      </c>
      <c r="F48" s="245" t="n">
        <v>0</v>
      </c>
      <c r="G48" s="246" t="n">
        <f aca="false">SUM(G47)</f>
        <v>0</v>
      </c>
      <c r="H48" s="246" t="n">
        <f aca="false">SUM(H47)</f>
        <v>0</v>
      </c>
      <c r="I48" s="246" t="n">
        <f aca="false">SUM(I47)</f>
        <v>0</v>
      </c>
      <c r="J48" s="246" t="n">
        <f aca="false">SUM(J47)</f>
        <v>0</v>
      </c>
      <c r="K48" s="246" t="n">
        <f aca="false">SUM(K47)</f>
        <v>0</v>
      </c>
      <c r="L48" s="200"/>
      <c r="M48" s="200"/>
      <c r="N48" s="200"/>
      <c r="O48" s="200"/>
      <c r="P48" s="2"/>
      <c r="Q48" s="2"/>
      <c r="R48" s="2"/>
    </row>
    <row r="49" s="128" customFormat="true" ht="15.6" hidden="false" customHeight="false" outlineLevel="0" collapsed="false">
      <c r="A49" s="241" t="s">
        <v>198</v>
      </c>
      <c r="B49" s="2"/>
      <c r="C49" s="143"/>
      <c r="D49" s="143"/>
      <c r="E49" s="143"/>
      <c r="F49" s="144"/>
      <c r="G49" s="145"/>
      <c r="H49" s="145"/>
      <c r="I49" s="145"/>
      <c r="J49" s="145"/>
      <c r="K49" s="145"/>
      <c r="L49" s="145"/>
      <c r="M49" s="145"/>
      <c r="N49" s="145"/>
      <c r="O49" s="145"/>
      <c r="P49" s="2"/>
      <c r="Q49" s="2"/>
      <c r="R49" s="2"/>
    </row>
    <row r="50" s="128" customFormat="true" ht="15.6" hidden="false" customHeight="false" outlineLevel="0" collapsed="false">
      <c r="A50" s="36"/>
      <c r="B50" s="2" t="s">
        <v>199</v>
      </c>
      <c r="C50" s="133" t="n">
        <v>0</v>
      </c>
      <c r="D50" s="133" t="n">
        <v>0</v>
      </c>
      <c r="E50" s="133" t="n">
        <v>0</v>
      </c>
      <c r="F50" s="134" t="n">
        <v>0</v>
      </c>
      <c r="G50" s="181" t="n">
        <v>0</v>
      </c>
      <c r="H50" s="181" t="n">
        <v>0</v>
      </c>
      <c r="I50" s="181" t="n">
        <v>0</v>
      </c>
      <c r="J50" s="181" t="n">
        <v>0</v>
      </c>
      <c r="K50" s="181" t="n">
        <v>0</v>
      </c>
      <c r="L50" s="137"/>
      <c r="M50" s="137"/>
      <c r="N50" s="137"/>
      <c r="O50" s="137"/>
      <c r="P50" s="2"/>
      <c r="Q50" s="2"/>
      <c r="R50" s="2"/>
    </row>
    <row r="51" s="128" customFormat="true" ht="15.6" hidden="false" customHeight="false" outlineLevel="0" collapsed="false">
      <c r="A51" s="36"/>
      <c r="B51" s="2" t="s">
        <v>200</v>
      </c>
      <c r="C51" s="133" t="n">
        <v>0</v>
      </c>
      <c r="D51" s="133" t="n">
        <v>0</v>
      </c>
      <c r="E51" s="133" t="n">
        <v>0</v>
      </c>
      <c r="F51" s="134" t="n">
        <v>0</v>
      </c>
      <c r="G51" s="181" t="n">
        <v>0</v>
      </c>
      <c r="H51" s="181" t="n">
        <v>0</v>
      </c>
      <c r="I51" s="181" t="n">
        <v>0</v>
      </c>
      <c r="J51" s="181" t="n">
        <v>0</v>
      </c>
      <c r="K51" s="181" t="n">
        <v>0</v>
      </c>
      <c r="L51" s="137"/>
      <c r="M51" s="137"/>
      <c r="N51" s="137"/>
      <c r="O51" s="137"/>
      <c r="P51" s="2"/>
      <c r="Q51" s="2"/>
      <c r="R51" s="2"/>
    </row>
    <row r="52" s="128" customFormat="true" ht="15.6" hidden="false" customHeight="false" outlineLevel="0" collapsed="false">
      <c r="A52" s="36"/>
      <c r="B52" s="242" t="s">
        <v>198</v>
      </c>
      <c r="C52" s="133" t="n">
        <v>36000</v>
      </c>
      <c r="D52" s="133" t="n">
        <v>46800</v>
      </c>
      <c r="E52" s="133" t="n">
        <v>60840</v>
      </c>
      <c r="F52" s="134" t="n">
        <v>79092</v>
      </c>
      <c r="G52" s="136" t="n">
        <f aca="false">Drivers!F114</f>
        <v>127347.63397992</v>
      </c>
      <c r="H52" s="136" t="n">
        <f aca="false">Drivers!G114</f>
        <v>162892.697810945</v>
      </c>
      <c r="I52" s="136" t="n">
        <f aca="false">Drivers!H114</f>
        <v>200810.173324844</v>
      </c>
      <c r="J52" s="136" t="n">
        <f aca="false">Drivers!I114</f>
        <v>278542.772399834</v>
      </c>
      <c r="K52" s="136" t="n">
        <f aca="false">Drivers!J114</f>
        <v>357784.418059379</v>
      </c>
      <c r="L52" s="137"/>
      <c r="M52" s="137"/>
      <c r="N52" s="137"/>
      <c r="O52" s="137"/>
      <c r="P52" s="2"/>
      <c r="Q52" s="2"/>
      <c r="R52" s="2"/>
    </row>
    <row r="53" s="128" customFormat="true" ht="15.6" hidden="false" customHeight="false" outlineLevel="0" collapsed="false">
      <c r="A53" s="36"/>
      <c r="B53" s="249" t="s">
        <v>201</v>
      </c>
      <c r="C53" s="244" t="n">
        <v>36000</v>
      </c>
      <c r="D53" s="244" t="n">
        <v>46800</v>
      </c>
      <c r="E53" s="244" t="n">
        <v>60840</v>
      </c>
      <c r="F53" s="245" t="n">
        <v>79092</v>
      </c>
      <c r="G53" s="246" t="n">
        <f aca="false">SUM(G50:G52)</f>
        <v>127347.63397992</v>
      </c>
      <c r="H53" s="246" t="n">
        <f aca="false">SUM(H50:H52)</f>
        <v>162892.697810945</v>
      </c>
      <c r="I53" s="246" t="n">
        <f aca="false">SUM(I50:I52)</f>
        <v>200810.173324844</v>
      </c>
      <c r="J53" s="246" t="n">
        <f aca="false">SUM(J50:J52)</f>
        <v>278542.772399834</v>
      </c>
      <c r="K53" s="246" t="n">
        <f aca="false">SUM(K50:K52)</f>
        <v>357784.418059379</v>
      </c>
      <c r="L53" s="200"/>
      <c r="M53" s="200"/>
      <c r="N53" s="200"/>
      <c r="O53" s="200"/>
      <c r="P53" s="2"/>
      <c r="Q53" s="2"/>
      <c r="R53" s="2"/>
    </row>
    <row r="54" s="128" customFormat="true" ht="15.75" hidden="false" customHeight="true" outlineLevel="0" collapsed="false">
      <c r="A54" s="36"/>
      <c r="B54" s="2"/>
      <c r="C54" s="143"/>
      <c r="D54" s="143"/>
      <c r="E54" s="143"/>
      <c r="F54" s="144"/>
      <c r="G54" s="145"/>
      <c r="H54" s="145"/>
      <c r="I54" s="145"/>
      <c r="J54" s="145"/>
      <c r="K54" s="145"/>
      <c r="L54" s="145"/>
      <c r="M54" s="145"/>
      <c r="N54" s="145"/>
      <c r="O54" s="145"/>
      <c r="P54" s="2"/>
      <c r="Q54" s="2"/>
      <c r="R54" s="2"/>
    </row>
    <row r="55" s="157" customFormat="true" ht="15.75" hidden="false" customHeight="true" outlineLevel="0" collapsed="false">
      <c r="A55" s="273" t="s">
        <v>202</v>
      </c>
      <c r="B55" s="277"/>
      <c r="C55" s="278" t="n">
        <v>256000</v>
      </c>
      <c r="D55" s="278" t="n">
        <v>292800</v>
      </c>
      <c r="E55" s="278" t="n">
        <v>371640</v>
      </c>
      <c r="F55" s="279" t="n">
        <v>445332</v>
      </c>
      <c r="G55" s="150" t="n">
        <f aca="false">SUM(G38,G42,G45,G48,G53)</f>
        <v>704541.038020742</v>
      </c>
      <c r="H55" s="150" t="n">
        <f aca="false">SUM(H38,H42,H45,H48,H53)</f>
        <v>985696.951828527</v>
      </c>
      <c r="I55" s="150" t="n">
        <f aca="false">SUM(I38,I42,I45,I48,I53)</f>
        <v>1425426.00136255</v>
      </c>
      <c r="J55" s="150" t="n">
        <f aca="false">SUM(J38,J42,J45,J48,J53)</f>
        <v>2040277.20235782</v>
      </c>
      <c r="K55" s="150" t="n">
        <f aca="false">SUM(K38,K42,K45,K48,K53)</f>
        <v>2533767.92217038</v>
      </c>
      <c r="L55" s="151"/>
      <c r="M55" s="151"/>
      <c r="N55" s="151"/>
      <c r="O55" s="151"/>
      <c r="P55" s="2"/>
      <c r="Q55" s="2"/>
      <c r="R55" s="2"/>
    </row>
    <row r="56" s="128" customFormat="true" ht="15.75" hidden="false" customHeight="true" outlineLevel="0" collapsed="false">
      <c r="A56" s="2"/>
      <c r="B56" s="266"/>
      <c r="C56" s="267"/>
      <c r="D56" s="267"/>
      <c r="E56" s="267"/>
      <c r="F56" s="267"/>
      <c r="G56" s="268"/>
      <c r="H56" s="268"/>
      <c r="I56" s="268"/>
      <c r="J56" s="268"/>
      <c r="K56" s="268"/>
      <c r="L56" s="268"/>
      <c r="M56" s="268"/>
      <c r="N56" s="268"/>
      <c r="O56" s="268"/>
      <c r="P56" s="2"/>
      <c r="Q56" s="2"/>
      <c r="R56" s="2"/>
    </row>
    <row r="57" s="128" customFormat="true" ht="15.75" hidden="false" customHeight="true" outlineLevel="0" collapsed="false">
      <c r="A57" s="273" t="s">
        <v>203</v>
      </c>
      <c r="B57" s="274"/>
      <c r="C57" s="275"/>
      <c r="D57" s="275"/>
      <c r="E57" s="275"/>
      <c r="F57" s="276"/>
      <c r="G57" s="145"/>
      <c r="H57" s="145"/>
      <c r="I57" s="145"/>
      <c r="J57" s="145"/>
      <c r="K57" s="145"/>
      <c r="L57" s="145"/>
      <c r="M57" s="145"/>
      <c r="N57" s="145"/>
      <c r="O57" s="145"/>
      <c r="P57" s="2"/>
      <c r="Q57" s="2"/>
      <c r="R57" s="2"/>
    </row>
    <row r="58" s="128" customFormat="true" ht="15.6" hidden="false" customHeight="false" outlineLevel="0" collapsed="false">
      <c r="A58" s="241"/>
      <c r="B58" s="242" t="s">
        <v>204</v>
      </c>
      <c r="C58" s="205" t="n">
        <v>1200000</v>
      </c>
      <c r="D58" s="205" t="n">
        <v>1200000</v>
      </c>
      <c r="E58" s="280" t="n">
        <v>1500000</v>
      </c>
      <c r="F58" s="206" t="n">
        <v>1500000</v>
      </c>
      <c r="G58" s="161" t="n">
        <f aca="false">Drivers!F128</f>
        <v>1500000</v>
      </c>
      <c r="H58" s="161" t="n">
        <f aca="false">Drivers!G128</f>
        <v>1500000</v>
      </c>
      <c r="I58" s="161" t="n">
        <f aca="false">Drivers!H128</f>
        <v>40657983.7983445</v>
      </c>
      <c r="J58" s="161" t="n">
        <f aca="false">Drivers!I128</f>
        <v>40657983.7983445</v>
      </c>
      <c r="K58" s="161" t="n">
        <f aca="false">Drivers!J128</f>
        <v>32826387.0386756</v>
      </c>
      <c r="L58" s="145"/>
      <c r="M58" s="145"/>
      <c r="N58" s="145"/>
      <c r="O58" s="145"/>
      <c r="P58" s="2"/>
      <c r="Q58" s="2"/>
      <c r="R58" s="2"/>
    </row>
    <row r="59" s="128" customFormat="true" ht="15.6" hidden="false" customHeight="false" outlineLevel="0" collapsed="false">
      <c r="A59" s="36"/>
      <c r="B59" s="2" t="s">
        <v>205</v>
      </c>
      <c r="C59" s="205" t="n">
        <v>0</v>
      </c>
      <c r="D59" s="205" t="n">
        <v>0</v>
      </c>
      <c r="E59" s="205" t="n">
        <v>0</v>
      </c>
      <c r="F59" s="206" t="n">
        <v>0</v>
      </c>
      <c r="G59" s="281" t="n">
        <v>0</v>
      </c>
      <c r="H59" s="281" t="n">
        <v>0</v>
      </c>
      <c r="I59" s="281" t="n">
        <v>0</v>
      </c>
      <c r="J59" s="281" t="n">
        <v>0</v>
      </c>
      <c r="K59" s="281" t="n">
        <v>0</v>
      </c>
      <c r="L59" s="145"/>
      <c r="M59" s="145"/>
      <c r="N59" s="145"/>
      <c r="O59" s="145"/>
      <c r="P59" s="2"/>
      <c r="Q59" s="2"/>
      <c r="R59" s="2"/>
    </row>
    <row r="60" s="128" customFormat="true" ht="15.75" hidden="false" customHeight="true" outlineLevel="0" collapsed="false">
      <c r="A60" s="241"/>
      <c r="B60" s="242" t="s">
        <v>206</v>
      </c>
      <c r="C60" s="205" t="n">
        <v>0</v>
      </c>
      <c r="D60" s="205" t="n">
        <v>0</v>
      </c>
      <c r="E60" s="205" t="n">
        <v>0</v>
      </c>
      <c r="F60" s="206" t="n">
        <v>0</v>
      </c>
      <c r="G60" s="282" t="n">
        <v>0</v>
      </c>
      <c r="H60" s="282" t="n">
        <v>0</v>
      </c>
      <c r="I60" s="282" t="n">
        <v>0</v>
      </c>
      <c r="J60" s="282" t="n">
        <v>0</v>
      </c>
      <c r="K60" s="282" t="n">
        <v>0</v>
      </c>
      <c r="L60" s="143"/>
      <c r="M60" s="143"/>
      <c r="N60" s="143"/>
      <c r="O60" s="143"/>
      <c r="P60" s="2"/>
      <c r="Q60" s="2"/>
      <c r="R60" s="2"/>
    </row>
    <row r="61" s="157" customFormat="true" ht="15.75" hidden="false" customHeight="true" outlineLevel="0" collapsed="false">
      <c r="A61" s="273" t="s">
        <v>207</v>
      </c>
      <c r="B61" s="283"/>
      <c r="C61" s="278" t="n">
        <v>1200000</v>
      </c>
      <c r="D61" s="278" t="n">
        <v>1200000</v>
      </c>
      <c r="E61" s="278" t="n">
        <v>1500000</v>
      </c>
      <c r="F61" s="279" t="n">
        <v>1500000</v>
      </c>
      <c r="G61" s="150" t="n">
        <f aca="false">SUM(G58:G60)</f>
        <v>1500000</v>
      </c>
      <c r="H61" s="150" t="n">
        <f aca="false">SUM(H58:H60)</f>
        <v>1500000</v>
      </c>
      <c r="I61" s="150" t="n">
        <f aca="false">SUM(I58:I60)</f>
        <v>40657983.7983445</v>
      </c>
      <c r="J61" s="150" t="n">
        <f aca="false">SUM(J58:J60)</f>
        <v>40657983.7983445</v>
      </c>
      <c r="K61" s="150" t="n">
        <f aca="false">SUM(K58:K60)</f>
        <v>32826387.0386756</v>
      </c>
      <c r="L61" s="151"/>
      <c r="M61" s="151"/>
      <c r="N61" s="151"/>
      <c r="O61" s="151"/>
      <c r="P61" s="2"/>
      <c r="Q61" s="2"/>
      <c r="R61" s="2"/>
    </row>
    <row r="62" s="128" customFormat="true" ht="15.75" hidden="false" customHeight="true" outlineLevel="0" collapsed="false">
      <c r="A62" s="36"/>
      <c r="B62" s="2"/>
      <c r="C62" s="143"/>
      <c r="D62" s="143"/>
      <c r="E62" s="143"/>
      <c r="F62" s="144"/>
      <c r="G62" s="145"/>
      <c r="H62" s="145"/>
      <c r="I62" s="145"/>
      <c r="J62" s="145"/>
      <c r="K62" s="145"/>
      <c r="L62" s="145"/>
      <c r="M62" s="145"/>
      <c r="N62" s="145"/>
      <c r="O62" s="145"/>
      <c r="P62" s="2"/>
      <c r="Q62" s="2"/>
      <c r="R62" s="2"/>
    </row>
    <row r="63" s="289" customFormat="true" ht="15.75" hidden="false" customHeight="true" outlineLevel="0" collapsed="false">
      <c r="A63" s="284" t="s">
        <v>208</v>
      </c>
      <c r="B63" s="285"/>
      <c r="C63" s="286" t="n">
        <v>1456000</v>
      </c>
      <c r="D63" s="286" t="n">
        <v>1492800</v>
      </c>
      <c r="E63" s="286" t="n">
        <v>1871640</v>
      </c>
      <c r="F63" s="287" t="n">
        <v>1945332</v>
      </c>
      <c r="G63" s="288" t="n">
        <f aca="false">SUM(G55,G61)</f>
        <v>2204541.03802074</v>
      </c>
      <c r="H63" s="288" t="n">
        <f aca="false">SUM(H55,H61)</f>
        <v>2485696.95182853</v>
      </c>
      <c r="I63" s="288" t="n">
        <f aca="false">SUM(I55,I61)</f>
        <v>42083409.7997071</v>
      </c>
      <c r="J63" s="288" t="n">
        <f aca="false">SUM(J55,J61)</f>
        <v>42698261.0007023</v>
      </c>
      <c r="K63" s="288" t="n">
        <f aca="false">SUM(K55,K61)</f>
        <v>35360154.960846</v>
      </c>
      <c r="L63" s="264"/>
      <c r="M63" s="264"/>
      <c r="N63" s="264"/>
      <c r="O63" s="264"/>
      <c r="P63" s="265"/>
      <c r="Q63" s="2"/>
      <c r="R63" s="2"/>
    </row>
    <row r="64" s="128" customFormat="true" ht="15.75" hidden="false" customHeight="true" outlineLevel="0" collapsed="false">
      <c r="A64" s="36"/>
      <c r="B64" s="266"/>
      <c r="C64" s="267" t="n">
        <v>0</v>
      </c>
      <c r="D64" s="267" t="n">
        <v>0</v>
      </c>
      <c r="E64" s="267" t="n">
        <v>0</v>
      </c>
      <c r="F64" s="290" t="n">
        <v>0</v>
      </c>
      <c r="G64" s="268"/>
      <c r="H64" s="268"/>
      <c r="I64" s="268"/>
      <c r="J64" s="268"/>
      <c r="K64" s="268"/>
      <c r="L64" s="268"/>
      <c r="M64" s="268"/>
      <c r="N64" s="268"/>
      <c r="O64" s="268"/>
      <c r="P64" s="2"/>
      <c r="Q64" s="2"/>
      <c r="R64" s="2"/>
    </row>
    <row r="65" s="128" customFormat="true" ht="15.75" hidden="false" customHeight="true" outlineLevel="0" collapsed="false">
      <c r="A65" s="284" t="s">
        <v>209</v>
      </c>
      <c r="B65" s="285"/>
      <c r="C65" s="291"/>
      <c r="D65" s="291"/>
      <c r="E65" s="291"/>
      <c r="F65" s="292"/>
      <c r="G65" s="145"/>
      <c r="H65" s="145"/>
      <c r="I65" s="145"/>
      <c r="J65" s="145"/>
      <c r="K65" s="145"/>
      <c r="L65" s="145"/>
      <c r="M65" s="145"/>
      <c r="N65" s="145"/>
      <c r="O65" s="145"/>
      <c r="P65" s="2"/>
      <c r="Q65" s="2"/>
      <c r="R65" s="2"/>
    </row>
    <row r="66" s="128" customFormat="true" ht="15.6" hidden="false" customHeight="false" outlineLevel="0" collapsed="false">
      <c r="A66" s="36"/>
      <c r="B66" s="2" t="s">
        <v>210</v>
      </c>
      <c r="C66" s="133" t="n">
        <v>0</v>
      </c>
      <c r="D66" s="133" t="n">
        <v>0</v>
      </c>
      <c r="E66" s="133" t="n">
        <v>0</v>
      </c>
      <c r="F66" s="134" t="n">
        <v>0</v>
      </c>
      <c r="G66" s="181" t="n">
        <v>0</v>
      </c>
      <c r="H66" s="181" t="n">
        <v>0</v>
      </c>
      <c r="I66" s="181" t="n">
        <v>0</v>
      </c>
      <c r="J66" s="181" t="n">
        <v>0</v>
      </c>
      <c r="K66" s="181" t="n">
        <v>0</v>
      </c>
      <c r="L66" s="137"/>
      <c r="M66" s="137"/>
      <c r="N66" s="137"/>
      <c r="O66" s="137"/>
      <c r="P66" s="2"/>
      <c r="Q66" s="2"/>
      <c r="R66" s="2"/>
    </row>
    <row r="67" s="128" customFormat="true" ht="15.6" hidden="false" customHeight="false" outlineLevel="0" collapsed="false">
      <c r="A67" s="36"/>
      <c r="B67" s="242" t="s">
        <v>211</v>
      </c>
      <c r="C67" s="280" t="n">
        <v>17044000</v>
      </c>
      <c r="D67" s="280" t="n">
        <v>17044000</v>
      </c>
      <c r="E67" s="280" t="n">
        <v>25144000</v>
      </c>
      <c r="F67" s="293" t="n">
        <v>32144000</v>
      </c>
      <c r="G67" s="136" t="n">
        <f aca="false">SUM(F67,F69)</f>
        <v>32144000</v>
      </c>
      <c r="H67" s="136" t="n">
        <f aca="false">SUM(G67,G69)</f>
        <v>72608671.3598887</v>
      </c>
      <c r="I67" s="136" t="n">
        <f aca="false">SUM(H67,H69)</f>
        <v>72608671.3598887</v>
      </c>
      <c r="J67" s="136" t="n">
        <f aca="false">SUM(I67,I69)</f>
        <v>72608671.3598887</v>
      </c>
      <c r="K67" s="136" t="n">
        <f aca="false">SUM(J67,J69)</f>
        <v>72608671.3598887</v>
      </c>
      <c r="L67" s="137"/>
      <c r="M67" s="137"/>
      <c r="N67" s="137"/>
      <c r="O67" s="137"/>
      <c r="P67" s="294"/>
      <c r="Q67" s="2"/>
      <c r="R67" s="2"/>
    </row>
    <row r="68" s="128" customFormat="true" ht="15.6" hidden="false" customHeight="false" outlineLevel="0" collapsed="false">
      <c r="A68" s="36"/>
      <c r="B68" s="2" t="s">
        <v>212</v>
      </c>
      <c r="C68" s="133" t="n">
        <v>0</v>
      </c>
      <c r="D68" s="133" t="n">
        <v>0</v>
      </c>
      <c r="E68" s="133" t="n">
        <v>0</v>
      </c>
      <c r="F68" s="134" t="n">
        <v>0</v>
      </c>
      <c r="G68" s="181" t="n">
        <v>0</v>
      </c>
      <c r="H68" s="181" t="n">
        <v>0</v>
      </c>
      <c r="I68" s="181" t="n">
        <v>0</v>
      </c>
      <c r="J68" s="181" t="n">
        <v>0</v>
      </c>
      <c r="K68" s="181" t="n">
        <v>0</v>
      </c>
      <c r="L68" s="137"/>
      <c r="M68" s="137"/>
      <c r="N68" s="137"/>
      <c r="O68" s="137"/>
      <c r="P68" s="2"/>
      <c r="Q68" s="2"/>
      <c r="R68" s="2"/>
    </row>
    <row r="69" s="128" customFormat="true" ht="15.6" hidden="false" customHeight="false" outlineLevel="0" collapsed="false">
      <c r="A69" s="36"/>
      <c r="B69" s="295" t="s">
        <v>213</v>
      </c>
      <c r="C69" s="280" t="n">
        <v>0</v>
      </c>
      <c r="D69" s="280" t="n">
        <v>8100000</v>
      </c>
      <c r="E69" s="280" t="n">
        <v>7000000</v>
      </c>
      <c r="F69" s="293" t="n">
        <v>0</v>
      </c>
      <c r="G69" s="135" t="n">
        <f aca="false">Drivers!F132</f>
        <v>40464671.3598887</v>
      </c>
      <c r="H69" s="135" t="n">
        <f aca="false">Drivers!G132</f>
        <v>0</v>
      </c>
      <c r="I69" s="135" t="n">
        <f aca="false">Drivers!H132</f>
        <v>0</v>
      </c>
      <c r="J69" s="135" t="n">
        <f aca="false">Drivers!I132</f>
        <v>0</v>
      </c>
      <c r="K69" s="135" t="n">
        <f aca="false">Drivers!J132</f>
        <v>0</v>
      </c>
      <c r="L69" s="140"/>
      <c r="M69" s="140"/>
      <c r="N69" s="140"/>
      <c r="O69" s="140"/>
      <c r="P69" s="152"/>
      <c r="Q69" s="152"/>
      <c r="R69" s="152"/>
    </row>
    <row r="70" s="128" customFormat="true" ht="15.6" hidden="false" customHeight="false" outlineLevel="0" collapsed="false">
      <c r="A70" s="36"/>
      <c r="B70" s="2" t="s">
        <v>214</v>
      </c>
      <c r="C70" s="133" t="n">
        <v>0</v>
      </c>
      <c r="D70" s="133" t="n">
        <v>0</v>
      </c>
      <c r="E70" s="133" t="n">
        <v>0</v>
      </c>
      <c r="F70" s="134" t="n">
        <v>0</v>
      </c>
      <c r="G70" s="181" t="n">
        <v>0</v>
      </c>
      <c r="H70" s="181" t="n">
        <v>0</v>
      </c>
      <c r="I70" s="181" t="n">
        <v>0</v>
      </c>
      <c r="J70" s="181" t="n">
        <v>0</v>
      </c>
      <c r="K70" s="181" t="n">
        <v>0</v>
      </c>
      <c r="L70" s="137"/>
      <c r="M70" s="137"/>
      <c r="N70" s="137"/>
      <c r="O70" s="137"/>
      <c r="P70" s="2"/>
      <c r="Q70" s="2"/>
      <c r="R70" s="2"/>
    </row>
    <row r="71" s="128" customFormat="true" ht="15.6" hidden="false" customHeight="false" outlineLevel="0" collapsed="false">
      <c r="A71" s="36"/>
      <c r="B71" s="2" t="s">
        <v>215</v>
      </c>
      <c r="C71" s="133" t="n">
        <v>0</v>
      </c>
      <c r="D71" s="133" t="n">
        <v>0</v>
      </c>
      <c r="E71" s="133" t="n">
        <v>0</v>
      </c>
      <c r="F71" s="134" t="n">
        <v>0</v>
      </c>
      <c r="G71" s="181" t="n">
        <v>0</v>
      </c>
      <c r="H71" s="181" t="n">
        <v>0</v>
      </c>
      <c r="I71" s="181" t="n">
        <v>0</v>
      </c>
      <c r="J71" s="181" t="n">
        <v>0</v>
      </c>
      <c r="K71" s="181" t="n">
        <v>0</v>
      </c>
      <c r="L71" s="137"/>
      <c r="M71" s="137"/>
      <c r="N71" s="137"/>
      <c r="O71" s="137"/>
      <c r="P71" s="2"/>
      <c r="Q71" s="2"/>
      <c r="R71" s="2"/>
    </row>
    <row r="72" s="128" customFormat="true" ht="15.75" hidden="false" customHeight="true" outlineLevel="0" collapsed="false">
      <c r="A72" s="36"/>
      <c r="B72" s="242" t="s">
        <v>216</v>
      </c>
      <c r="C72" s="280" t="n">
        <v>-1780000</v>
      </c>
      <c r="D72" s="205" t="n">
        <v>-6089011.2</v>
      </c>
      <c r="E72" s="205" t="n">
        <v>-6592287.45</v>
      </c>
      <c r="F72" s="206" t="n">
        <v>-2171792.2345</v>
      </c>
      <c r="G72" s="161" t="n">
        <f aca="false">SUM('Income Statement'!E78,F72)</f>
        <v>4407347.64212171</v>
      </c>
      <c r="H72" s="161" t="n">
        <f aca="false">SUM('Income Statement'!F78,G72)</f>
        <v>12862510.032568</v>
      </c>
      <c r="I72" s="161" t="n">
        <f aca="false">SUM('Income Statement'!G78,H72)</f>
        <v>21435171.9638301</v>
      </c>
      <c r="J72" s="161" t="n">
        <f aca="false">SUM('Income Statement'!H78,I72)</f>
        <v>26283493.4629967</v>
      </c>
      <c r="K72" s="161" t="n">
        <f aca="false">SUM('Income Statement'!I78,J72)</f>
        <v>39657639.467388</v>
      </c>
      <c r="L72" s="145"/>
      <c r="M72" s="145"/>
      <c r="N72" s="145"/>
      <c r="O72" s="145"/>
      <c r="P72" s="2"/>
      <c r="Q72" s="2"/>
      <c r="R72" s="2"/>
    </row>
    <row r="73" s="128" customFormat="true" ht="15.75" hidden="false" customHeight="true" outlineLevel="0" collapsed="false">
      <c r="A73" s="284" t="s">
        <v>217</v>
      </c>
      <c r="B73" s="296"/>
      <c r="C73" s="286" t="n">
        <v>15264000</v>
      </c>
      <c r="D73" s="286" t="n">
        <v>19054988.8</v>
      </c>
      <c r="E73" s="286" t="n">
        <v>25551712.55</v>
      </c>
      <c r="F73" s="287" t="n">
        <v>29972207.7655</v>
      </c>
      <c r="G73" s="150" t="n">
        <f aca="false">SUM(G66:G72)</f>
        <v>77016019.0020104</v>
      </c>
      <c r="H73" s="150" t="n">
        <f aca="false">SUM(H66:H72)</f>
        <v>85471181.3924567</v>
      </c>
      <c r="I73" s="150" t="n">
        <f aca="false">SUM(I66:I72)</f>
        <v>94043843.3237188</v>
      </c>
      <c r="J73" s="150" t="n">
        <f aca="false">SUM(J66:J72)</f>
        <v>98892164.8228854</v>
      </c>
      <c r="K73" s="150" t="n">
        <f aca="false">SUM(K66:K72)</f>
        <v>112266310.827277</v>
      </c>
      <c r="L73" s="151"/>
      <c r="M73" s="151"/>
      <c r="N73" s="151"/>
      <c r="O73" s="151"/>
      <c r="P73" s="2"/>
      <c r="Q73" s="2"/>
      <c r="R73" s="2"/>
    </row>
    <row r="74" s="128" customFormat="true" ht="15.6" hidden="false" customHeight="false" outlineLevel="0" collapsed="false">
      <c r="A74" s="241"/>
      <c r="B74" s="242"/>
      <c r="C74" s="143"/>
      <c r="D74" s="143"/>
      <c r="E74" s="143"/>
      <c r="F74" s="144"/>
      <c r="G74" s="145"/>
      <c r="H74" s="145"/>
      <c r="I74" s="145"/>
      <c r="J74" s="145"/>
      <c r="K74" s="145"/>
      <c r="L74" s="145"/>
      <c r="M74" s="145"/>
      <c r="N74" s="145"/>
      <c r="O74" s="145"/>
      <c r="P74" s="2"/>
      <c r="Q74" s="2"/>
      <c r="R74" s="2"/>
    </row>
    <row r="75" s="128" customFormat="true" ht="15.75" hidden="false" customHeight="true" outlineLevel="0" collapsed="false">
      <c r="A75" s="297" t="s">
        <v>218</v>
      </c>
      <c r="B75" s="298"/>
      <c r="C75" s="299" t="n">
        <v>16720000</v>
      </c>
      <c r="D75" s="299" t="n">
        <v>20547788.8</v>
      </c>
      <c r="E75" s="299" t="n">
        <v>27423352.55</v>
      </c>
      <c r="F75" s="300" t="n">
        <v>31917539.7655</v>
      </c>
      <c r="G75" s="263" t="n">
        <f aca="false">SUM(G63,G73)</f>
        <v>79220560.0400312</v>
      </c>
      <c r="H75" s="263" t="n">
        <f aca="false">SUM(H63,H73)</f>
        <v>87956878.3442852</v>
      </c>
      <c r="I75" s="263" t="n">
        <f aca="false">SUM(I63,I73)</f>
        <v>136127253.123426</v>
      </c>
      <c r="J75" s="263" t="n">
        <f aca="false">SUM(J63,J73)</f>
        <v>141590425.823588</v>
      </c>
      <c r="K75" s="263" t="n">
        <f aca="false">SUM(K63,K73)</f>
        <v>147626465.788123</v>
      </c>
      <c r="L75" s="264"/>
      <c r="M75" s="264"/>
      <c r="N75" s="264"/>
      <c r="O75" s="264"/>
      <c r="P75" s="2"/>
      <c r="Q75" s="2"/>
      <c r="R75" s="2"/>
    </row>
    <row r="76" s="128" customFormat="true" ht="15.6" hidden="false" customHeight="false" outlineLevel="0" collapsed="false">
      <c r="A76" s="2"/>
      <c r="B76" s="266"/>
      <c r="C76" s="301"/>
      <c r="D76" s="301"/>
      <c r="E76" s="301"/>
      <c r="F76" s="301"/>
      <c r="G76" s="268"/>
      <c r="H76" s="268"/>
      <c r="I76" s="268"/>
      <c r="J76" s="268"/>
      <c r="K76" s="268"/>
      <c r="L76" s="268"/>
      <c r="M76" s="268"/>
      <c r="N76" s="268"/>
      <c r="O76" s="268"/>
      <c r="P76" s="2"/>
      <c r="Q76" s="2"/>
      <c r="R76" s="2"/>
    </row>
    <row r="77" customFormat="false" ht="15.6" hidden="false" customHeight="false" outlineLevel="0" collapsed="false">
      <c r="A77" s="2"/>
      <c r="B77" s="2"/>
      <c r="C77" s="143"/>
      <c r="D77" s="302" t="n">
        <f aca="false">ROUND(D32-D75,0)</f>
        <v>0</v>
      </c>
      <c r="E77" s="302" t="n">
        <f aca="false">ROUND(E32-E75,0)</f>
        <v>0</v>
      </c>
      <c r="F77" s="303" t="n">
        <f aca="false">ROUND(F32-F75,0)</f>
        <v>0</v>
      </c>
      <c r="G77" s="303" t="n">
        <f aca="false">ROUND(G32-G75,0)</f>
        <v>0</v>
      </c>
      <c r="H77" s="303" t="n">
        <f aca="false">ROUND(H32-H75,0)</f>
        <v>0</v>
      </c>
      <c r="I77" s="303" t="n">
        <f aca="false">ROUND(I32-I75,0)</f>
        <v>0</v>
      </c>
      <c r="J77" s="303" t="n">
        <f aca="false">ROUND(J32-J75,0)</f>
        <v>0</v>
      </c>
      <c r="K77" s="303" t="n">
        <f aca="false">ROUND(K32-K75,0)</f>
        <v>0</v>
      </c>
      <c r="L77" s="2"/>
      <c r="M77" s="2"/>
      <c r="N77" s="2"/>
      <c r="O77" s="2"/>
      <c r="P77" s="2"/>
      <c r="Q77" s="2"/>
      <c r="R77" s="2"/>
    </row>
    <row r="78" customFormat="false" ht="15.6" hidden="false" customHeight="false" outlineLevel="0" collapsed="false">
      <c r="A78" s="2"/>
      <c r="B78" s="2"/>
      <c r="C78" s="143"/>
      <c r="D78" s="143"/>
      <c r="E78" s="143"/>
      <c r="F78" s="2"/>
      <c r="G78" s="2"/>
      <c r="H78" s="2"/>
      <c r="I78" s="2"/>
      <c r="J78" s="2"/>
      <c r="K78" s="2"/>
      <c r="L78" s="2"/>
      <c r="M78" s="2"/>
      <c r="N78" s="2"/>
      <c r="O78" s="2"/>
      <c r="P78" s="2"/>
      <c r="Q78" s="2"/>
      <c r="R78" s="2"/>
    </row>
    <row r="79" customFormat="false" ht="15.6" hidden="false" customHeight="false" outlineLevel="0" collapsed="false">
      <c r="A79" s="2"/>
      <c r="B79" s="2"/>
      <c r="C79" s="143"/>
      <c r="D79" s="143"/>
      <c r="E79" s="143"/>
      <c r="F79" s="2"/>
      <c r="G79" s="2"/>
      <c r="H79" s="2"/>
      <c r="I79" s="2"/>
      <c r="J79" s="2"/>
      <c r="K79" s="2"/>
      <c r="L79" s="2"/>
      <c r="M79" s="2"/>
      <c r="N79" s="2"/>
      <c r="O79" s="2"/>
      <c r="P79" s="2"/>
      <c r="Q79" s="2"/>
      <c r="R79" s="2"/>
    </row>
    <row r="80" customFormat="false" ht="15.6" hidden="false" customHeight="false" outlineLevel="0" collapsed="false">
      <c r="A80" s="2"/>
      <c r="B80" s="2"/>
      <c r="C80" s="143"/>
      <c r="D80" s="143"/>
      <c r="E80" s="143"/>
      <c r="F80" s="2"/>
      <c r="G80" s="2"/>
      <c r="H80" s="2"/>
      <c r="I80" s="2"/>
      <c r="J80" s="2"/>
      <c r="K80" s="2"/>
      <c r="L80" s="2"/>
      <c r="M80" s="2"/>
      <c r="N80" s="2"/>
      <c r="O80" s="2"/>
      <c r="P80" s="2"/>
      <c r="Q80" s="2"/>
      <c r="R80" s="2"/>
    </row>
    <row r="81" customFormat="false" ht="15.6" hidden="false" customHeight="false" outlineLevel="0" collapsed="false">
      <c r="A81" s="2"/>
      <c r="B81" s="2"/>
      <c r="C81" s="143"/>
      <c r="D81" s="143"/>
      <c r="E81" s="143"/>
      <c r="F81" s="2"/>
      <c r="G81" s="2"/>
      <c r="H81" s="2"/>
      <c r="I81" s="2"/>
      <c r="J81" s="2"/>
      <c r="K81" s="2"/>
      <c r="L81" s="2"/>
      <c r="M81" s="2"/>
      <c r="N81" s="2"/>
      <c r="O81" s="2"/>
      <c r="P81" s="2"/>
      <c r="Q81" s="2"/>
      <c r="R81" s="2"/>
    </row>
    <row r="82" customFormat="false" ht="15.6" hidden="false" customHeight="false" outlineLevel="0" collapsed="false">
      <c r="A82" s="2"/>
      <c r="B82" s="2"/>
      <c r="C82" s="143"/>
      <c r="D82" s="143"/>
      <c r="E82" s="143"/>
      <c r="F82" s="2"/>
      <c r="G82" s="2"/>
      <c r="H82" s="2"/>
      <c r="I82" s="2"/>
      <c r="J82" s="2"/>
      <c r="K82" s="2"/>
      <c r="L82" s="2"/>
      <c r="M82" s="2"/>
      <c r="N82" s="2"/>
      <c r="O82" s="2"/>
      <c r="P82" s="2"/>
      <c r="Q82" s="2"/>
      <c r="R82" s="2"/>
    </row>
    <row r="83" customFormat="false" ht="15.6" hidden="false" customHeight="false" outlineLevel="0" collapsed="false">
      <c r="A83" s="2"/>
      <c r="B83" s="2"/>
      <c r="C83" s="143"/>
      <c r="D83" s="143"/>
      <c r="E83" s="143"/>
      <c r="F83" s="2"/>
      <c r="G83" s="2"/>
      <c r="H83" s="2"/>
      <c r="I83" s="2"/>
      <c r="J83" s="2"/>
      <c r="K83" s="2"/>
      <c r="L83" s="2"/>
      <c r="M83" s="2"/>
      <c r="N83" s="2"/>
      <c r="O83" s="2"/>
      <c r="P83" s="2"/>
      <c r="Q83" s="2"/>
      <c r="R83" s="2"/>
    </row>
    <row r="84" customFormat="false" ht="15.6" hidden="false" customHeight="false" outlineLevel="0" collapsed="false">
      <c r="A84" s="2"/>
      <c r="B84" s="2"/>
      <c r="C84" s="143"/>
      <c r="D84" s="143"/>
      <c r="E84" s="143"/>
      <c r="F84" s="2"/>
      <c r="G84" s="2"/>
      <c r="H84" s="2"/>
      <c r="I84" s="2"/>
      <c r="J84" s="2"/>
      <c r="K84" s="2"/>
      <c r="L84" s="2"/>
      <c r="M84" s="2"/>
      <c r="N84" s="2"/>
      <c r="O84" s="2"/>
      <c r="P84" s="2"/>
      <c r="Q84" s="2"/>
      <c r="R84" s="2"/>
    </row>
    <row r="85" customFormat="false" ht="15.6" hidden="false" customHeight="false" outlineLevel="0" collapsed="false">
      <c r="A85" s="2"/>
      <c r="B85" s="2"/>
      <c r="C85" s="143"/>
      <c r="D85" s="143"/>
      <c r="E85" s="143"/>
      <c r="F85" s="2"/>
      <c r="G85" s="2"/>
      <c r="H85" s="2"/>
      <c r="I85" s="2"/>
      <c r="J85" s="2"/>
      <c r="K85" s="2"/>
      <c r="L85" s="2"/>
      <c r="M85" s="2"/>
      <c r="N85" s="2"/>
      <c r="O85" s="2"/>
      <c r="P85" s="2"/>
      <c r="Q85" s="2"/>
      <c r="R85" s="2"/>
    </row>
    <row r="86" customFormat="false" ht="15.6" hidden="false" customHeight="false" outlineLevel="0" collapsed="false">
      <c r="A86" s="2"/>
      <c r="B86" s="2"/>
      <c r="C86" s="143"/>
      <c r="D86" s="143"/>
      <c r="E86" s="143"/>
      <c r="F86" s="2"/>
      <c r="G86" s="2"/>
      <c r="H86" s="2"/>
      <c r="I86" s="2"/>
      <c r="J86" s="2"/>
      <c r="K86" s="2"/>
      <c r="L86" s="2"/>
      <c r="M86" s="2"/>
      <c r="N86" s="2"/>
      <c r="O86" s="2"/>
      <c r="P86" s="2"/>
      <c r="Q86" s="2"/>
      <c r="R86" s="2"/>
    </row>
    <row r="87" customFormat="false" ht="15.6" hidden="false" customHeight="false" outlineLevel="0" collapsed="false">
      <c r="A87" s="2"/>
      <c r="B87" s="2"/>
      <c r="C87" s="143"/>
      <c r="D87" s="143"/>
      <c r="E87" s="143"/>
      <c r="F87" s="2"/>
      <c r="G87" s="2"/>
      <c r="H87" s="2"/>
      <c r="I87" s="2"/>
      <c r="J87" s="2"/>
      <c r="K87" s="2"/>
      <c r="L87" s="2"/>
      <c r="M87" s="2"/>
      <c r="N87" s="2"/>
      <c r="O87" s="2"/>
      <c r="P87" s="2"/>
      <c r="Q87" s="2"/>
      <c r="R87" s="2"/>
    </row>
    <row r="88" customFormat="false" ht="15.6" hidden="false" customHeight="false" outlineLevel="0" collapsed="false">
      <c r="A88" s="2"/>
      <c r="B88" s="2"/>
      <c r="C88" s="143"/>
      <c r="D88" s="143"/>
      <c r="E88" s="143"/>
      <c r="F88" s="2"/>
      <c r="G88" s="2"/>
      <c r="H88" s="2"/>
      <c r="I88" s="2"/>
      <c r="J88" s="2"/>
      <c r="K88" s="2"/>
      <c r="L88" s="2"/>
      <c r="M88" s="2"/>
      <c r="N88" s="2"/>
      <c r="O88" s="2"/>
      <c r="P88" s="2"/>
      <c r="Q88" s="2"/>
      <c r="R88" s="2"/>
    </row>
    <row r="89" customFormat="false" ht="15.6" hidden="false" customHeight="false" outlineLevel="0" collapsed="false">
      <c r="A89" s="2"/>
      <c r="B89" s="2"/>
      <c r="C89" s="143"/>
      <c r="D89" s="143"/>
      <c r="E89" s="143"/>
      <c r="F89" s="2"/>
      <c r="G89" s="2"/>
      <c r="H89" s="2"/>
      <c r="I89" s="2"/>
      <c r="J89" s="2"/>
      <c r="K89" s="2"/>
      <c r="L89" s="2"/>
      <c r="M89" s="2"/>
      <c r="N89" s="2"/>
      <c r="O89" s="2"/>
      <c r="P89" s="2"/>
      <c r="Q89" s="2"/>
      <c r="R89" s="2"/>
    </row>
    <row r="90" customFormat="false" ht="15.6" hidden="false" customHeight="false" outlineLevel="0" collapsed="false">
      <c r="A90" s="2"/>
      <c r="B90" s="2"/>
      <c r="C90" s="143"/>
      <c r="D90" s="143"/>
      <c r="E90" s="143"/>
      <c r="F90" s="2"/>
      <c r="G90" s="2"/>
      <c r="H90" s="2"/>
      <c r="I90" s="2"/>
      <c r="J90" s="2"/>
      <c r="K90" s="2"/>
      <c r="L90" s="2"/>
      <c r="M90" s="2"/>
      <c r="N90" s="2"/>
      <c r="O90" s="2"/>
      <c r="P90" s="2"/>
      <c r="Q90" s="2"/>
      <c r="R90" s="2"/>
    </row>
    <row r="91" customFormat="false" ht="15.6" hidden="false" customHeight="false" outlineLevel="0" collapsed="false">
      <c r="A91" s="2"/>
      <c r="B91" s="2"/>
      <c r="C91" s="143"/>
      <c r="D91" s="143"/>
      <c r="E91" s="143"/>
      <c r="F91" s="2"/>
      <c r="G91" s="2"/>
      <c r="H91" s="2"/>
      <c r="I91" s="2"/>
      <c r="J91" s="2"/>
      <c r="K91" s="2"/>
      <c r="L91" s="2"/>
      <c r="M91" s="2"/>
      <c r="N91" s="2"/>
      <c r="O91" s="2"/>
      <c r="P91" s="2"/>
      <c r="Q91" s="2"/>
      <c r="R91" s="2"/>
    </row>
    <row r="92" customFormat="false" ht="15.6" hidden="false" customHeight="false" outlineLevel="0" collapsed="false">
      <c r="A92" s="2"/>
      <c r="B92" s="2"/>
      <c r="C92" s="143"/>
      <c r="D92" s="143"/>
      <c r="E92" s="143"/>
      <c r="F92" s="2"/>
      <c r="G92" s="2"/>
      <c r="H92" s="2"/>
      <c r="I92" s="2"/>
      <c r="J92" s="2"/>
      <c r="K92" s="2"/>
      <c r="L92" s="2"/>
      <c r="M92" s="2"/>
      <c r="N92" s="2"/>
      <c r="O92" s="2"/>
      <c r="P92" s="2"/>
      <c r="Q92" s="2"/>
      <c r="R92" s="2"/>
    </row>
    <row r="93" customFormat="false" ht="15.6" hidden="false" customHeight="false" outlineLevel="0" collapsed="false">
      <c r="A93" s="2"/>
      <c r="B93" s="2"/>
      <c r="C93" s="143"/>
      <c r="D93" s="143"/>
      <c r="E93" s="143"/>
      <c r="F93" s="2"/>
      <c r="G93" s="2"/>
      <c r="H93" s="2"/>
      <c r="I93" s="2"/>
      <c r="J93" s="2"/>
      <c r="K93" s="2"/>
      <c r="L93" s="2"/>
      <c r="M93" s="2"/>
      <c r="N93" s="2"/>
      <c r="O93" s="2"/>
      <c r="P93" s="2"/>
      <c r="Q93" s="2"/>
      <c r="R93" s="2"/>
    </row>
    <row r="94" customFormat="false" ht="15.6" hidden="false" customHeight="false" outlineLevel="0" collapsed="false">
      <c r="A94" s="2"/>
      <c r="B94" s="2"/>
      <c r="C94" s="143"/>
      <c r="D94" s="143"/>
      <c r="E94" s="143"/>
      <c r="F94" s="2"/>
      <c r="G94" s="2"/>
      <c r="H94" s="2"/>
      <c r="I94" s="2"/>
      <c r="J94" s="2"/>
      <c r="K94" s="2"/>
      <c r="L94" s="2"/>
      <c r="M94" s="2"/>
      <c r="N94" s="2"/>
      <c r="O94" s="2"/>
      <c r="P94" s="2"/>
      <c r="Q94" s="2"/>
      <c r="R94" s="2"/>
    </row>
    <row r="95" customFormat="false" ht="15.6" hidden="false" customHeight="false" outlineLevel="0" collapsed="false">
      <c r="A95" s="2"/>
      <c r="B95" s="2"/>
      <c r="C95" s="143"/>
      <c r="D95" s="143"/>
      <c r="E95" s="143"/>
      <c r="F95" s="2"/>
      <c r="G95" s="2"/>
      <c r="H95" s="2"/>
      <c r="I95" s="2"/>
      <c r="J95" s="2"/>
      <c r="K95" s="2"/>
      <c r="L95" s="2"/>
      <c r="M95" s="2"/>
      <c r="N95" s="2"/>
      <c r="O95" s="2"/>
      <c r="P95" s="2"/>
      <c r="Q95" s="2"/>
      <c r="R95" s="2"/>
    </row>
    <row r="96" customFormat="false" ht="15.6" hidden="false" customHeight="false" outlineLevel="0" collapsed="false">
      <c r="A96" s="2"/>
      <c r="B96" s="2"/>
      <c r="C96" s="143"/>
      <c r="D96" s="143"/>
      <c r="E96" s="143"/>
      <c r="F96" s="2"/>
      <c r="G96" s="2"/>
      <c r="H96" s="2"/>
      <c r="I96" s="2"/>
      <c r="J96" s="2"/>
      <c r="K96" s="2"/>
      <c r="L96" s="2"/>
      <c r="M96" s="2"/>
      <c r="N96" s="2"/>
      <c r="O96" s="2"/>
      <c r="P96" s="2"/>
      <c r="Q96" s="2"/>
      <c r="R96" s="2"/>
    </row>
    <row r="97" customFormat="false" ht="15.6" hidden="false" customHeight="false" outlineLevel="0" collapsed="false">
      <c r="A97" s="2"/>
      <c r="B97" s="2"/>
      <c r="C97" s="143"/>
      <c r="D97" s="143"/>
      <c r="E97" s="143"/>
      <c r="F97" s="2"/>
      <c r="G97" s="2"/>
      <c r="H97" s="2"/>
      <c r="I97" s="2"/>
      <c r="J97" s="2"/>
      <c r="K97" s="2"/>
      <c r="L97" s="2"/>
      <c r="M97" s="2"/>
      <c r="N97" s="2"/>
      <c r="O97" s="2"/>
      <c r="P97" s="2"/>
      <c r="Q97" s="2"/>
      <c r="R97" s="2"/>
    </row>
    <row r="98" customFormat="false" ht="15.6" hidden="false" customHeight="false" outlineLevel="0" collapsed="false">
      <c r="A98" s="2"/>
      <c r="B98" s="2"/>
      <c r="C98" s="143"/>
      <c r="D98" s="143"/>
      <c r="E98" s="143"/>
      <c r="F98" s="2"/>
      <c r="G98" s="2"/>
      <c r="H98" s="2"/>
      <c r="I98" s="2"/>
      <c r="J98" s="2"/>
      <c r="K98" s="2"/>
      <c r="L98" s="2"/>
      <c r="M98" s="2"/>
      <c r="N98" s="2"/>
      <c r="O98" s="2"/>
      <c r="P98" s="2"/>
      <c r="Q98" s="2"/>
      <c r="R98" s="2"/>
    </row>
    <row r="99" customFormat="false" ht="15.6" hidden="false" customHeight="false" outlineLevel="0" collapsed="false">
      <c r="A99" s="2"/>
      <c r="B99" s="2"/>
      <c r="C99" s="143"/>
      <c r="D99" s="143"/>
      <c r="E99" s="143"/>
      <c r="F99" s="2"/>
      <c r="G99" s="2"/>
      <c r="H99" s="2"/>
      <c r="I99" s="2"/>
      <c r="J99" s="2"/>
      <c r="K99" s="2"/>
      <c r="L99" s="2"/>
      <c r="M99" s="2"/>
      <c r="N99" s="2"/>
      <c r="O99" s="2"/>
      <c r="P99" s="2"/>
      <c r="Q99" s="2"/>
      <c r="R99" s="2"/>
    </row>
  </sheetData>
  <mergeCells count="1">
    <mergeCell ref="C2:D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N11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E37" activeCellId="0" sqref="E37"/>
    </sheetView>
  </sheetViews>
  <sheetFormatPr defaultColWidth="11.19921875" defaultRowHeight="15.6" zeroHeight="false" outlineLevelRow="0" outlineLevelCol="0"/>
  <cols>
    <col collapsed="false" customWidth="true" hidden="false" outlineLevel="0" max="1" min="1" style="1" width="24.4"/>
    <col collapsed="false" customWidth="true" hidden="false" outlineLevel="0" max="2" min="2" style="1" width="33.2"/>
    <col collapsed="false" customWidth="true" hidden="false" outlineLevel="0" max="5" min="3" style="304" width="18"/>
    <col collapsed="false" customWidth="true" hidden="true" outlineLevel="0" max="13" min="6" style="1" width="16"/>
    <col collapsed="false" customWidth="true" hidden="true" outlineLevel="0" max="14" min="14" style="1" width="12.58"/>
    <col collapsed="false" customWidth="true" hidden="false" outlineLevel="0" max="26" min="15" style="1" width="11.5"/>
  </cols>
  <sheetData>
    <row r="1" customFormat="false" ht="15.6" hidden="false" customHeight="false" outlineLevel="0" collapsed="false">
      <c r="A1" s="305" t="s">
        <v>219</v>
      </c>
      <c r="B1" s="306"/>
      <c r="C1" s="307"/>
      <c r="D1" s="307"/>
      <c r="E1" s="223" t="s">
        <v>83</v>
      </c>
      <c r="F1" s="308"/>
      <c r="G1" s="119"/>
      <c r="H1" s="119"/>
      <c r="I1" s="119"/>
      <c r="J1" s="119"/>
      <c r="K1" s="119"/>
      <c r="L1" s="119"/>
      <c r="M1" s="119"/>
      <c r="N1" s="224"/>
    </row>
    <row r="2" s="128" customFormat="true" ht="15.6" hidden="false" customHeight="false" outlineLevel="0" collapsed="false">
      <c r="A2" s="309"/>
      <c r="B2" s="310"/>
      <c r="C2" s="311" t="n">
        <f aca="false">'Income Statement'!B2</f>
        <v>2023</v>
      </c>
      <c r="D2" s="311" t="n">
        <f aca="false">C2+1</f>
        <v>2024</v>
      </c>
      <c r="E2" s="312" t="n">
        <f aca="false">D2+1</f>
        <v>2025</v>
      </c>
      <c r="F2" s="313" t="n">
        <f aca="false">E2+1</f>
        <v>2026</v>
      </c>
      <c r="G2" s="311" t="n">
        <f aca="false">F2+1</f>
        <v>2027</v>
      </c>
      <c r="H2" s="311" t="n">
        <f aca="false">G2+1</f>
        <v>2028</v>
      </c>
      <c r="I2" s="311" t="n">
        <f aca="false">H2+1</f>
        <v>2029</v>
      </c>
      <c r="J2" s="311" t="n">
        <f aca="false">I2+1</f>
        <v>2030</v>
      </c>
      <c r="K2" s="314" t="s">
        <v>154</v>
      </c>
      <c r="L2" s="315"/>
      <c r="M2" s="315"/>
      <c r="N2" s="315"/>
    </row>
    <row r="3" s="128" customFormat="true" ht="15.6" hidden="false" customHeight="false" outlineLevel="0" collapsed="false">
      <c r="A3" s="36" t="s">
        <v>220</v>
      </c>
      <c r="B3" s="2"/>
      <c r="C3" s="113"/>
      <c r="D3" s="113"/>
      <c r="E3" s="130"/>
      <c r="F3" s="2"/>
      <c r="G3" s="2"/>
      <c r="H3" s="2"/>
      <c r="I3" s="2"/>
      <c r="J3" s="2"/>
      <c r="K3" s="2"/>
      <c r="L3" s="2"/>
      <c r="M3" s="2"/>
      <c r="N3" s="2"/>
    </row>
    <row r="4" s="128" customFormat="true" ht="15.6" hidden="false" customHeight="false" outlineLevel="0" collapsed="false">
      <c r="A4" s="36"/>
      <c r="B4" s="2" t="s">
        <v>151</v>
      </c>
      <c r="C4" s="205" t="n">
        <v>-4309011.2</v>
      </c>
      <c r="D4" s="205" t="n">
        <v>-503276.25</v>
      </c>
      <c r="E4" s="206" t="n">
        <v>4420495.2155</v>
      </c>
      <c r="F4" s="161" t="n">
        <f aca="false">'Income Statement'!E78</f>
        <v>6579139.87662171</v>
      </c>
      <c r="G4" s="161" t="n">
        <f aca="false">'Income Statement'!F78</f>
        <v>8455162.39044624</v>
      </c>
      <c r="H4" s="161" t="n">
        <f aca="false">'Income Statement'!G78</f>
        <v>8572661.93126214</v>
      </c>
      <c r="I4" s="161" t="n">
        <f aca="false">'Income Statement'!H78</f>
        <v>4848321.49916659</v>
      </c>
      <c r="J4" s="161" t="n">
        <f aca="false">'Income Statement'!I78</f>
        <v>13374146.0043913</v>
      </c>
      <c r="K4" s="145"/>
      <c r="L4" s="145"/>
      <c r="M4" s="145"/>
      <c r="N4" s="145"/>
    </row>
    <row r="5" s="128" customFormat="true" ht="15.6" hidden="false" customHeight="false" outlineLevel="0" collapsed="false">
      <c r="A5" s="36"/>
      <c r="B5" s="2"/>
      <c r="C5" s="143"/>
      <c r="D5" s="143"/>
      <c r="E5" s="144"/>
      <c r="F5" s="145"/>
      <c r="G5" s="145"/>
      <c r="H5" s="145"/>
      <c r="I5" s="145"/>
      <c r="J5" s="145"/>
      <c r="K5" s="145"/>
      <c r="L5" s="145"/>
      <c r="M5" s="145"/>
      <c r="N5" s="145"/>
    </row>
    <row r="6" s="128" customFormat="true" ht="15.6" hidden="false" customHeight="false" outlineLevel="0" collapsed="false">
      <c r="A6" s="316"/>
      <c r="B6" s="2" t="s">
        <v>221</v>
      </c>
      <c r="C6" s="205" t="n">
        <v>1432200</v>
      </c>
      <c r="D6" s="205" t="n">
        <v>2375280</v>
      </c>
      <c r="E6" s="206" t="n">
        <v>3131952</v>
      </c>
      <c r="F6" s="161" t="n">
        <f aca="false">'Income Statement'!E69</f>
        <v>3742094.4</v>
      </c>
      <c r="G6" s="161" t="n">
        <f aca="false">'Income Statement'!F69</f>
        <v>5270266.00775904</v>
      </c>
      <c r="H6" s="161" t="n">
        <f aca="false">'Income Statement'!G69</f>
        <v>6736300.28805754</v>
      </c>
      <c r="I6" s="161" t="n">
        <f aca="false">'Income Statement'!H69</f>
        <v>14567897.0477264</v>
      </c>
      <c r="J6" s="161" t="n">
        <f aca="false">'Income Statement'!I69</f>
        <v>16573405.0090053</v>
      </c>
      <c r="K6" s="145"/>
      <c r="L6" s="145"/>
      <c r="M6" s="145"/>
      <c r="N6" s="145"/>
    </row>
    <row r="7" s="128" customFormat="true" ht="15.6" hidden="false" customHeight="false" outlineLevel="0" collapsed="false">
      <c r="A7" s="36"/>
      <c r="B7" s="2"/>
      <c r="C7" s="143"/>
      <c r="D7" s="143"/>
      <c r="E7" s="144"/>
      <c r="F7" s="145"/>
      <c r="G7" s="145"/>
      <c r="H7" s="145"/>
      <c r="I7" s="145"/>
      <c r="J7" s="145"/>
      <c r="K7" s="145"/>
      <c r="L7" s="145"/>
      <c r="M7" s="145"/>
      <c r="N7" s="145"/>
    </row>
    <row r="8" s="128" customFormat="true" ht="15.6" hidden="false" customHeight="false" outlineLevel="0" collapsed="false">
      <c r="A8" s="36" t="s">
        <v>222</v>
      </c>
      <c r="B8" s="2"/>
      <c r="C8" s="143"/>
      <c r="D8" s="143"/>
      <c r="E8" s="144"/>
      <c r="F8" s="145"/>
      <c r="G8" s="145"/>
      <c r="H8" s="145"/>
      <c r="I8" s="145"/>
      <c r="J8" s="145"/>
      <c r="K8" s="145"/>
      <c r="L8" s="145"/>
      <c r="M8" s="145"/>
      <c r="N8" s="145"/>
    </row>
    <row r="9" s="128" customFormat="true" ht="15.6" hidden="false" customHeight="false" outlineLevel="0" collapsed="false">
      <c r="A9" s="316"/>
      <c r="B9" s="2" t="s">
        <v>163</v>
      </c>
      <c r="C9" s="205" t="n">
        <v>-210000</v>
      </c>
      <c r="D9" s="205" t="n">
        <v>-277200</v>
      </c>
      <c r="E9" s="206" t="n">
        <v>-230580</v>
      </c>
      <c r="F9" s="161" t="n">
        <f aca="false">'Balance Sheet'!F11-'Balance Sheet'!G11</f>
        <v>-1372298.64608022</v>
      </c>
      <c r="G9" s="161" t="n">
        <f aca="false">'Balance Sheet'!G11-'Balance Sheet'!H11</f>
        <v>-1769016.35644141</v>
      </c>
      <c r="H9" s="161" t="n">
        <f aca="false">'Balance Sheet'!H11-'Balance Sheet'!I11</f>
        <v>-2243048.15699335</v>
      </c>
      <c r="I9" s="161" t="n">
        <f aca="false">'Balance Sheet'!I11-'Balance Sheet'!J11</f>
        <v>-4294820.08979326</v>
      </c>
      <c r="J9" s="161" t="n">
        <f aca="false">'Balance Sheet'!J11-'Balance Sheet'!K11</f>
        <v>-3256505.98600871</v>
      </c>
      <c r="K9" s="145"/>
      <c r="L9" s="145"/>
      <c r="M9" s="145"/>
      <c r="N9" s="145"/>
    </row>
    <row r="10" s="128" customFormat="true" ht="15.6" hidden="false" customHeight="false" outlineLevel="0" collapsed="false">
      <c r="A10" s="316"/>
      <c r="B10" s="2" t="s">
        <v>161</v>
      </c>
      <c r="C10" s="205" t="n">
        <v>-714000</v>
      </c>
      <c r="D10" s="205" t="n">
        <v>-499800</v>
      </c>
      <c r="E10" s="206" t="n">
        <v>-749700</v>
      </c>
      <c r="F10" s="161" t="n">
        <f aca="false">'Balance Sheet'!F9-'Balance Sheet'!G9</f>
        <v>-997434.040408219</v>
      </c>
      <c r="G10" s="161" t="n">
        <f aca="false">'Balance Sheet'!G9-'Balance Sheet'!H9</f>
        <v>-1255768.07640496</v>
      </c>
      <c r="H10" s="161" t="n">
        <f aca="false">'Balance Sheet'!H9-'Balance Sheet'!I9</f>
        <v>-1478403.40343821</v>
      </c>
      <c r="I10" s="161" t="n">
        <f aca="false">'Balance Sheet'!I9-'Balance Sheet'!J9</f>
        <v>-4133835.48945448</v>
      </c>
      <c r="J10" s="161" t="n">
        <f aca="false">'Balance Sheet'!J9-'Balance Sheet'!K9</f>
        <v>-2208615.68436747</v>
      </c>
      <c r="K10" s="145"/>
      <c r="L10" s="145"/>
      <c r="M10" s="145"/>
      <c r="N10" s="145"/>
    </row>
    <row r="11" s="128" customFormat="true" ht="15.6" hidden="false" customHeight="false" outlineLevel="0" collapsed="false">
      <c r="A11" s="316"/>
      <c r="B11" s="2" t="s">
        <v>166</v>
      </c>
      <c r="C11" s="205" t="n">
        <v>-193000</v>
      </c>
      <c r="D11" s="205" t="n">
        <v>-476700</v>
      </c>
      <c r="E11" s="206" t="n">
        <v>-363390</v>
      </c>
      <c r="F11" s="161" t="n">
        <f aca="false">'Balance Sheet'!F19-'Balance Sheet'!G19</f>
        <v>-473862.6795984</v>
      </c>
      <c r="G11" s="161" t="n">
        <f aca="false">'Balance Sheet'!G19-'Balance Sheet'!H19</f>
        <v>-710901.276620498</v>
      </c>
      <c r="H11" s="161" t="n">
        <f aca="false">'Balance Sheet'!H19-'Balance Sheet'!I19</f>
        <v>-758349.510277977</v>
      </c>
      <c r="I11" s="161" t="n">
        <f aca="false">'Balance Sheet'!I19-'Balance Sheet'!J19</f>
        <v>-1554651.9814998</v>
      </c>
      <c r="J11" s="161" t="n">
        <f aca="false">'Balance Sheet'!J19-'Balance Sheet'!K19</f>
        <v>-1584832.9131909</v>
      </c>
      <c r="K11" s="145"/>
      <c r="L11" s="145"/>
      <c r="M11" s="145"/>
      <c r="N11" s="145"/>
    </row>
    <row r="12" s="128" customFormat="true" ht="15.6" hidden="false" customHeight="false" outlineLevel="0" collapsed="false">
      <c r="A12" s="36" t="s">
        <v>223</v>
      </c>
      <c r="B12" s="2"/>
      <c r="C12" s="143"/>
      <c r="D12" s="143"/>
      <c r="E12" s="144"/>
      <c r="F12" s="145"/>
      <c r="G12" s="145"/>
      <c r="H12" s="145"/>
      <c r="I12" s="145"/>
      <c r="J12" s="145"/>
      <c r="K12" s="145"/>
      <c r="L12" s="145"/>
      <c r="M12" s="145"/>
      <c r="N12" s="145"/>
    </row>
    <row r="13" s="128" customFormat="true" ht="15.6" hidden="false" customHeight="false" outlineLevel="0" collapsed="false">
      <c r="A13" s="316"/>
      <c r="B13" s="2" t="s">
        <v>185</v>
      </c>
      <c r="C13" s="205" t="n">
        <v>36000</v>
      </c>
      <c r="D13" s="205" t="n">
        <v>46800</v>
      </c>
      <c r="E13" s="206" t="n">
        <v>60840</v>
      </c>
      <c r="F13" s="161" t="n">
        <f aca="false">'Balance Sheet'!G38-'Balance Sheet'!F38</f>
        <v>210953.404040822</v>
      </c>
      <c r="G13" s="161" t="n">
        <f aca="false">'Balance Sheet'!H38-'Balance Sheet'!G38</f>
        <v>245610.84997676</v>
      </c>
      <c r="H13" s="161" t="n">
        <f aca="false">'Balance Sheet'!I38-'Balance Sheet'!H38</f>
        <v>401811.574020127</v>
      </c>
      <c r="I13" s="161" t="n">
        <f aca="false">'Balance Sheet'!J38-'Balance Sheet'!I38</f>
        <v>537118.601920274</v>
      </c>
      <c r="J13" s="161" t="n">
        <f aca="false">'Balance Sheet'!K38-'Balance Sheet'!J38</f>
        <v>414249.07415302</v>
      </c>
      <c r="K13" s="145"/>
      <c r="L13" s="145"/>
      <c r="M13" s="145"/>
      <c r="N13" s="145"/>
    </row>
    <row r="14" s="128" customFormat="true" ht="15.6" hidden="false" customHeight="false" outlineLevel="0" collapsed="false">
      <c r="A14" s="316"/>
      <c r="B14" s="73" t="str">
        <f aca="false">'Balance Sheet'!A43</f>
        <v>Nợ vay ngắn hạn</v>
      </c>
      <c r="C14" s="205" t="n">
        <v>-10000</v>
      </c>
      <c r="D14" s="205" t="n">
        <v>18000</v>
      </c>
      <c r="E14" s="206" t="n">
        <v>-5400</v>
      </c>
      <c r="F14" s="161" t="n">
        <f aca="false">'Balance Sheet'!G45-'Balance Sheet'!F45</f>
        <v>0</v>
      </c>
      <c r="G14" s="161" t="n">
        <f aca="false">'Balance Sheet'!H45-'Balance Sheet'!G45</f>
        <v>0</v>
      </c>
      <c r="H14" s="161" t="n">
        <f aca="false">'Balance Sheet'!I45-'Balance Sheet'!H45</f>
        <v>0</v>
      </c>
      <c r="I14" s="161" t="n">
        <f aca="false">'Balance Sheet'!J45-'Balance Sheet'!I45</f>
        <v>0</v>
      </c>
      <c r="J14" s="161" t="n">
        <f aca="false">'Balance Sheet'!K45-'Balance Sheet'!J45</f>
        <v>0</v>
      </c>
      <c r="K14" s="145"/>
      <c r="L14" s="145"/>
      <c r="M14" s="145"/>
      <c r="N14" s="145"/>
    </row>
    <row r="15" s="128" customFormat="true" ht="15.6" hidden="false" customHeight="false" outlineLevel="0" collapsed="false">
      <c r="A15" s="316"/>
      <c r="B15" s="2" t="s">
        <v>224</v>
      </c>
      <c r="C15" s="205" t="n">
        <v>10800</v>
      </c>
      <c r="D15" s="205" t="n">
        <v>14040</v>
      </c>
      <c r="E15" s="206" t="n">
        <v>18252</v>
      </c>
      <c r="F15" s="161" t="n">
        <f aca="false">('Balance Sheet'!G53-'Balance Sheet'!F53)+('Balance Sheet'!G48-'Balance Sheet'!F48)</f>
        <v>48255.63397992</v>
      </c>
      <c r="G15" s="161" t="n">
        <f aca="false">('Balance Sheet'!H53-'Balance Sheet'!G53)+('Balance Sheet'!H48-'Balance Sheet'!G48)</f>
        <v>35545.0638310249</v>
      </c>
      <c r="H15" s="161" t="n">
        <f aca="false">('Balance Sheet'!I53-'Balance Sheet'!H53)+('Balance Sheet'!I48-'Balance Sheet'!H48)</f>
        <v>37917.4755138988</v>
      </c>
      <c r="I15" s="161" t="n">
        <f aca="false">('Balance Sheet'!J53-'Balance Sheet'!I53)+('Balance Sheet'!J48-'Balance Sheet'!I48)</f>
        <v>77732.5990749901</v>
      </c>
      <c r="J15" s="161" t="n">
        <f aca="false">('Balance Sheet'!K53-'Balance Sheet'!J53)+('Balance Sheet'!K48-'Balance Sheet'!J48)</f>
        <v>79241.6456595452</v>
      </c>
      <c r="K15" s="145"/>
      <c r="L15" s="145"/>
      <c r="M15" s="145"/>
      <c r="N15" s="145"/>
    </row>
    <row r="16" s="128" customFormat="true" ht="15.6" hidden="false" customHeight="false" outlineLevel="0" collapsed="false">
      <c r="A16" s="36"/>
      <c r="B16" s="2"/>
      <c r="C16" s="143"/>
      <c r="D16" s="143"/>
      <c r="E16" s="144"/>
      <c r="F16" s="145"/>
      <c r="G16" s="145"/>
      <c r="H16" s="145"/>
      <c r="I16" s="145"/>
      <c r="J16" s="145"/>
      <c r="K16" s="145"/>
      <c r="L16" s="145"/>
      <c r="M16" s="145"/>
      <c r="N16" s="145"/>
    </row>
    <row r="17" s="157" customFormat="true" ht="15.6" hidden="false" customHeight="false" outlineLevel="0" collapsed="false">
      <c r="A17" s="317" t="s">
        <v>225</v>
      </c>
      <c r="B17" s="318"/>
      <c r="C17" s="319" t="n">
        <v>-3957011.2</v>
      </c>
      <c r="D17" s="319" t="n">
        <v>697143.75</v>
      </c>
      <c r="E17" s="320" t="n">
        <v>6282469.2155</v>
      </c>
      <c r="F17" s="321" t="n">
        <f aca="false">SUM(F4:F16)</f>
        <v>7736847.94855561</v>
      </c>
      <c r="G17" s="321" t="n">
        <f aca="false">SUM(G4:G16)</f>
        <v>10270898.6025462</v>
      </c>
      <c r="H17" s="321" t="n">
        <f aca="false">SUM(H4:H16)</f>
        <v>11268890.1981442</v>
      </c>
      <c r="I17" s="321" t="n">
        <f aca="false">SUM(I4:I16)</f>
        <v>10047762.1871408</v>
      </c>
      <c r="J17" s="321" t="n">
        <f aca="false">SUM(J4:J16)</f>
        <v>23391087.1496421</v>
      </c>
      <c r="K17" s="193"/>
      <c r="L17" s="193"/>
      <c r="M17" s="193"/>
      <c r="N17" s="193"/>
    </row>
    <row r="18" s="128" customFormat="true" ht="15.6" hidden="false" customHeight="false" outlineLevel="0" collapsed="false">
      <c r="A18" s="36"/>
      <c r="B18" s="2"/>
      <c r="C18" s="143"/>
      <c r="D18" s="143"/>
      <c r="E18" s="144"/>
      <c r="F18" s="145"/>
      <c r="G18" s="145"/>
      <c r="H18" s="145"/>
      <c r="I18" s="145"/>
      <c r="J18" s="145"/>
      <c r="K18" s="145"/>
      <c r="L18" s="145"/>
      <c r="M18" s="145"/>
      <c r="N18" s="145"/>
    </row>
    <row r="19" s="128" customFormat="true" ht="15.6" hidden="false" customHeight="false" outlineLevel="0" collapsed="false">
      <c r="A19" s="36" t="s">
        <v>226</v>
      </c>
      <c r="B19" s="2"/>
      <c r="C19" s="143"/>
      <c r="D19" s="143"/>
      <c r="E19" s="144"/>
      <c r="F19" s="145"/>
      <c r="G19" s="145"/>
      <c r="H19" s="145"/>
      <c r="I19" s="145"/>
      <c r="J19" s="145"/>
      <c r="K19" s="145"/>
      <c r="L19" s="145"/>
      <c r="M19" s="145"/>
      <c r="N19" s="145"/>
    </row>
    <row r="20" s="128" customFormat="true" ht="15.6" hidden="false" customHeight="false" outlineLevel="0" collapsed="false">
      <c r="A20" s="316"/>
      <c r="B20" s="2" t="s">
        <v>227</v>
      </c>
      <c r="C20" s="205" t="n">
        <v>-5009000</v>
      </c>
      <c r="D20" s="205" t="n">
        <v>-6305600</v>
      </c>
      <c r="E20" s="206" t="n">
        <v>-5084520</v>
      </c>
      <c r="F20" s="161" t="n">
        <f aca="false">SUM('Balance Sheet'!F27:F29)-SUM('Balance Sheet'!G27:G29)</f>
        <v>-12734763.397992</v>
      </c>
      <c r="G20" s="161" t="n">
        <f aca="false">SUM('Balance Sheet'!G27:G29)-SUM('Balance Sheet'!H27:H29)</f>
        <v>-12216952.3358209</v>
      </c>
      <c r="H20" s="161" t="n">
        <f aca="false">SUM('Balance Sheet'!H27:H29)-SUM('Balance Sheet'!I27:I29)</f>
        <v>-65263306.3305742</v>
      </c>
      <c r="I20" s="161" t="n">
        <f aca="false">SUM('Balance Sheet'!I27:I29)-SUM('Balance Sheet'!J27:J29)</f>
        <v>-16712566.34399</v>
      </c>
      <c r="J20" s="161" t="n">
        <f aca="false">SUM('Balance Sheet'!J27:J29)-SUM('Balance Sheet'!K27:K29)</f>
        <v>-17889220.9029689</v>
      </c>
      <c r="K20" s="145"/>
      <c r="L20" s="145"/>
      <c r="M20" s="145"/>
      <c r="N20" s="145"/>
    </row>
    <row r="21" s="128" customFormat="true" ht="15.6" hidden="false" customHeight="false" outlineLevel="0" collapsed="false">
      <c r="A21" s="36"/>
      <c r="B21" s="2"/>
      <c r="C21" s="143"/>
      <c r="D21" s="143"/>
      <c r="E21" s="144"/>
      <c r="F21" s="145"/>
      <c r="G21" s="145"/>
      <c r="H21" s="145"/>
      <c r="I21" s="145"/>
      <c r="J21" s="145"/>
      <c r="K21" s="145"/>
      <c r="L21" s="145"/>
      <c r="M21" s="145"/>
      <c r="N21" s="145"/>
    </row>
    <row r="22" s="157" customFormat="true" ht="15.6" hidden="false" customHeight="false" outlineLevel="0" collapsed="false">
      <c r="A22" s="317" t="s">
        <v>228</v>
      </c>
      <c r="B22" s="318"/>
      <c r="C22" s="319" t="n">
        <v>-5009000</v>
      </c>
      <c r="D22" s="319" t="n">
        <v>-6305600</v>
      </c>
      <c r="E22" s="320" t="n">
        <v>-5084520</v>
      </c>
      <c r="F22" s="321" t="n">
        <f aca="false">SUM(F20:F21)</f>
        <v>-12734763.397992</v>
      </c>
      <c r="G22" s="321" t="n">
        <f aca="false">SUM(G20:G21)</f>
        <v>-12216952.3358209</v>
      </c>
      <c r="H22" s="321" t="n">
        <f aca="false">SUM(H20:H21)</f>
        <v>-65263306.3305742</v>
      </c>
      <c r="I22" s="321" t="n">
        <f aca="false">SUM(I20:I21)</f>
        <v>-16712566.34399</v>
      </c>
      <c r="J22" s="321" t="n">
        <f aca="false">SUM(J20:J21)</f>
        <v>-17889220.9029689</v>
      </c>
      <c r="K22" s="193"/>
      <c r="L22" s="193"/>
      <c r="M22" s="193"/>
      <c r="N22" s="193"/>
    </row>
    <row r="23" s="128" customFormat="true" ht="15.6" hidden="false" customHeight="false" outlineLevel="0" collapsed="false">
      <c r="A23" s="36"/>
      <c r="B23" s="2"/>
      <c r="C23" s="143"/>
      <c r="D23" s="143"/>
      <c r="E23" s="144"/>
      <c r="F23" s="145"/>
      <c r="G23" s="145"/>
      <c r="H23" s="145"/>
      <c r="I23" s="145"/>
      <c r="J23" s="145"/>
      <c r="K23" s="145"/>
      <c r="L23" s="145"/>
      <c r="M23" s="145"/>
      <c r="N23" s="145"/>
    </row>
    <row r="24" s="128" customFormat="true" ht="15.6" hidden="false" customHeight="false" outlineLevel="0" collapsed="false">
      <c r="A24" s="36" t="s">
        <v>229</v>
      </c>
      <c r="B24" s="2"/>
      <c r="C24" s="143"/>
      <c r="D24" s="143"/>
      <c r="E24" s="144"/>
      <c r="F24" s="145"/>
      <c r="G24" s="145"/>
      <c r="H24" s="145"/>
      <c r="I24" s="145"/>
      <c r="J24" s="145"/>
      <c r="K24" s="145"/>
      <c r="L24" s="145"/>
      <c r="M24" s="145"/>
      <c r="N24" s="145"/>
    </row>
    <row r="25" s="128" customFormat="true" ht="15.6" hidden="false" customHeight="false" outlineLevel="0" collapsed="false">
      <c r="A25" s="316"/>
      <c r="B25" s="2" t="s">
        <v>230</v>
      </c>
      <c r="C25" s="205" t="n">
        <v>8100000</v>
      </c>
      <c r="D25" s="205" t="n">
        <v>7000000</v>
      </c>
      <c r="E25" s="206" t="n">
        <v>0</v>
      </c>
      <c r="F25" s="161" t="n">
        <f aca="false">'Balance Sheet'!G69</f>
        <v>40464671.3598887</v>
      </c>
      <c r="G25" s="161" t="n">
        <f aca="false">'Balance Sheet'!H69</f>
        <v>0</v>
      </c>
      <c r="H25" s="161" t="n">
        <f aca="false">'Balance Sheet'!I69</f>
        <v>0</v>
      </c>
      <c r="I25" s="161" t="n">
        <f aca="false">'Balance Sheet'!J69</f>
        <v>0</v>
      </c>
      <c r="J25" s="161" t="n">
        <f aca="false">'Balance Sheet'!K69</f>
        <v>0</v>
      </c>
      <c r="K25" s="145"/>
      <c r="L25" s="145"/>
      <c r="M25" s="145"/>
      <c r="N25" s="145"/>
    </row>
    <row r="26" s="128" customFormat="true" ht="15.6" hidden="false" customHeight="false" outlineLevel="0" collapsed="false">
      <c r="A26" s="316"/>
      <c r="B26" s="2" t="s">
        <v>231</v>
      </c>
      <c r="C26" s="205" t="n">
        <v>0</v>
      </c>
      <c r="D26" s="205" t="n">
        <v>300000</v>
      </c>
      <c r="E26" s="206" t="n">
        <v>0</v>
      </c>
      <c r="F26" s="159" t="n">
        <f aca="false">('Balance Sheet'!G58-'Balance Sheet'!F58)</f>
        <v>0</v>
      </c>
      <c r="G26" s="159" t="n">
        <f aca="false">('Balance Sheet'!H58-'Balance Sheet'!G58)</f>
        <v>0</v>
      </c>
      <c r="H26" s="159" t="n">
        <f aca="false">('Balance Sheet'!I58-'Balance Sheet'!H58)</f>
        <v>39157983.7983445</v>
      </c>
      <c r="I26" s="159" t="n">
        <f aca="false">('Balance Sheet'!J58-'Balance Sheet'!I58)</f>
        <v>0</v>
      </c>
      <c r="J26" s="159" t="n">
        <f aca="false">('Balance Sheet'!K58-'Balance Sheet'!J58)</f>
        <v>-7831596.75966891</v>
      </c>
      <c r="K26" s="143"/>
      <c r="L26" s="143"/>
      <c r="M26" s="143"/>
      <c r="N26" s="143"/>
    </row>
    <row r="27" s="128" customFormat="true" ht="15.6" hidden="false" customHeight="false" outlineLevel="0" collapsed="false">
      <c r="A27" s="36"/>
      <c r="B27" s="2"/>
      <c r="C27" s="143"/>
      <c r="D27" s="143"/>
      <c r="E27" s="144"/>
      <c r="F27" s="145"/>
      <c r="G27" s="145"/>
      <c r="H27" s="145"/>
      <c r="I27" s="145"/>
      <c r="J27" s="145"/>
      <c r="K27" s="145"/>
      <c r="L27" s="145"/>
      <c r="M27" s="145"/>
      <c r="N27" s="145"/>
    </row>
    <row r="28" s="157" customFormat="true" ht="15.6" hidden="false" customHeight="false" outlineLevel="0" collapsed="false">
      <c r="A28" s="317" t="s">
        <v>232</v>
      </c>
      <c r="B28" s="318"/>
      <c r="C28" s="319" t="n">
        <v>8100000</v>
      </c>
      <c r="D28" s="319" t="n">
        <v>7300000</v>
      </c>
      <c r="E28" s="320" t="n">
        <v>0</v>
      </c>
      <c r="F28" s="321" t="n">
        <f aca="false">SUM(F25:F27)</f>
        <v>40464671.3598887</v>
      </c>
      <c r="G28" s="321" t="n">
        <f aca="false">SUM(G25:G27)</f>
        <v>0</v>
      </c>
      <c r="H28" s="321" t="n">
        <f aca="false">SUM(H25:H27)</f>
        <v>39157983.7983445</v>
      </c>
      <c r="I28" s="321" t="n">
        <f aca="false">SUM(I25:I27)</f>
        <v>0</v>
      </c>
      <c r="J28" s="321" t="n">
        <f aca="false">SUM(J25:J27)</f>
        <v>-7831596.75966891</v>
      </c>
      <c r="K28" s="193"/>
      <c r="L28" s="193"/>
      <c r="M28" s="193"/>
      <c r="N28" s="193"/>
    </row>
    <row r="29" s="128" customFormat="true" ht="15.6" hidden="false" customHeight="false" outlineLevel="0" collapsed="false">
      <c r="A29" s="36"/>
      <c r="B29" s="2"/>
      <c r="C29" s="143"/>
      <c r="D29" s="143"/>
      <c r="E29" s="144"/>
      <c r="F29" s="145"/>
      <c r="G29" s="145"/>
      <c r="H29" s="145"/>
      <c r="I29" s="145"/>
      <c r="J29" s="145"/>
      <c r="K29" s="145"/>
      <c r="L29" s="145"/>
      <c r="M29" s="145"/>
      <c r="N29" s="145"/>
    </row>
    <row r="30" s="128" customFormat="true" ht="15.6" hidden="false" customHeight="false" outlineLevel="0" collapsed="false">
      <c r="A30" s="21" t="s">
        <v>233</v>
      </c>
      <c r="B30" s="322"/>
      <c r="C30" s="323" t="n">
        <v>910000</v>
      </c>
      <c r="D30" s="323" t="n">
        <v>43988.8000000008</v>
      </c>
      <c r="E30" s="324" t="n">
        <v>1735532.55</v>
      </c>
      <c r="F30" s="171" t="n">
        <f aca="false">E34</f>
        <v>2933481.76549999</v>
      </c>
      <c r="G30" s="171" t="n">
        <f aca="false">F34</f>
        <v>38400237.6759523</v>
      </c>
      <c r="H30" s="171" t="n">
        <f aca="false">G34</f>
        <v>36454183.9426777</v>
      </c>
      <c r="I30" s="171" t="n">
        <f aca="false">H34</f>
        <v>21617751.6085921</v>
      </c>
      <c r="J30" s="171" t="n">
        <f aca="false">I34</f>
        <v>14952947.4517429</v>
      </c>
      <c r="K30" s="193"/>
      <c r="L30" s="193"/>
      <c r="M30" s="193"/>
      <c r="N30" s="193"/>
    </row>
    <row r="31" s="128" customFormat="true" ht="15.6" hidden="false" customHeight="false" outlineLevel="0" collapsed="false">
      <c r="A31" s="21"/>
      <c r="B31" s="322"/>
      <c r="C31" s="191"/>
      <c r="D31" s="191"/>
      <c r="E31" s="192"/>
      <c r="F31" s="193"/>
      <c r="G31" s="193"/>
      <c r="H31" s="193"/>
      <c r="I31" s="193"/>
      <c r="J31" s="193"/>
      <c r="K31" s="193"/>
      <c r="L31" s="193"/>
      <c r="M31" s="193"/>
      <c r="N31" s="193"/>
    </row>
    <row r="32" s="128" customFormat="true" ht="15.6" hidden="false" customHeight="false" outlineLevel="0" collapsed="false">
      <c r="A32" s="21" t="s">
        <v>234</v>
      </c>
      <c r="B32" s="265"/>
      <c r="C32" s="323" t="n">
        <v>-866011.199999999</v>
      </c>
      <c r="D32" s="323" t="n">
        <v>1691543.75</v>
      </c>
      <c r="E32" s="324" t="n">
        <v>1197949.21549999</v>
      </c>
      <c r="F32" s="171" t="n">
        <f aca="false">SUM(F17,F22,F28)</f>
        <v>35466755.9104523</v>
      </c>
      <c r="G32" s="171" t="n">
        <f aca="false">SUM(G17,G22,G28)</f>
        <v>-1946053.73327467</v>
      </c>
      <c r="H32" s="171" t="n">
        <f aca="false">SUM(H17,H22,H28)</f>
        <v>-14836432.3340855</v>
      </c>
      <c r="I32" s="171" t="n">
        <f aca="false">SUM(I17,I22,I28)</f>
        <v>-6664804.15684927</v>
      </c>
      <c r="J32" s="171" t="n">
        <f aca="false">SUM(J17,J22,J28)</f>
        <v>-2329730.51299577</v>
      </c>
      <c r="K32" s="193"/>
      <c r="L32" s="193"/>
      <c r="M32" s="193"/>
      <c r="N32" s="193"/>
    </row>
    <row r="33" s="128" customFormat="true" ht="15.6" hidden="false" customHeight="false" outlineLevel="0" collapsed="false">
      <c r="A33" s="21"/>
      <c r="B33" s="265"/>
      <c r="C33" s="191"/>
      <c r="D33" s="191"/>
      <c r="E33" s="192"/>
      <c r="F33" s="193"/>
      <c r="G33" s="193"/>
      <c r="H33" s="193"/>
      <c r="I33" s="193"/>
      <c r="J33" s="193"/>
      <c r="K33" s="193"/>
      <c r="L33" s="193"/>
      <c r="M33" s="193"/>
      <c r="N33" s="193"/>
    </row>
    <row r="34" s="128" customFormat="true" ht="15.75" hidden="false" customHeight="true" outlineLevel="0" collapsed="false">
      <c r="A34" s="325" t="s">
        <v>235</v>
      </c>
      <c r="B34" s="326"/>
      <c r="C34" s="327" t="n">
        <v>43988.8000000008</v>
      </c>
      <c r="D34" s="327" t="n">
        <v>1735532.55</v>
      </c>
      <c r="E34" s="328" t="n">
        <v>2933481.76549999</v>
      </c>
      <c r="F34" s="321" t="n">
        <f aca="false">SUM(F32,F30)</f>
        <v>38400237.6759523</v>
      </c>
      <c r="G34" s="321" t="n">
        <f aca="false">SUM(G32,G30)</f>
        <v>36454183.9426777</v>
      </c>
      <c r="H34" s="321" t="n">
        <f aca="false">SUM(H32,H30)</f>
        <v>21617751.6085921</v>
      </c>
      <c r="I34" s="321" t="n">
        <f aca="false">SUM(I32,I30)</f>
        <v>14952947.4517429</v>
      </c>
      <c r="J34" s="321" t="n">
        <f aca="false">SUM(J32,J30)</f>
        <v>12623216.9387471</v>
      </c>
      <c r="K34" s="193"/>
      <c r="L34" s="193"/>
      <c r="M34" s="193"/>
      <c r="N34" s="193"/>
    </row>
    <row r="35" customFormat="false" ht="15.6" hidden="false" customHeight="false" outlineLevel="0" collapsed="false">
      <c r="A35" s="2"/>
      <c r="B35" s="2"/>
      <c r="C35" s="143"/>
      <c r="D35" s="143"/>
      <c r="E35" s="143"/>
    </row>
    <row r="36" customFormat="false" ht="15.6" hidden="false" customHeight="false" outlineLevel="0" collapsed="false">
      <c r="A36" s="2"/>
      <c r="B36" s="2"/>
      <c r="C36" s="143"/>
      <c r="D36" s="143"/>
      <c r="E36" s="143"/>
    </row>
    <row r="37" customFormat="false" ht="15.6" hidden="false" customHeight="false" outlineLevel="0" collapsed="false">
      <c r="A37" s="2"/>
      <c r="B37" s="2"/>
      <c r="C37" s="143"/>
      <c r="D37" s="143"/>
      <c r="E37" s="143"/>
    </row>
    <row r="38" customFormat="false" ht="15.6" hidden="false" customHeight="false" outlineLevel="0" collapsed="false">
      <c r="A38" s="2"/>
      <c r="B38" s="2"/>
      <c r="C38" s="143"/>
      <c r="D38" s="143"/>
      <c r="E38" s="143"/>
    </row>
    <row r="39" customFormat="false" ht="15.6" hidden="false" customHeight="false" outlineLevel="0" collapsed="false">
      <c r="A39" s="2"/>
      <c r="B39" s="2"/>
      <c r="C39" s="143"/>
      <c r="D39" s="143"/>
      <c r="E39" s="143"/>
    </row>
    <row r="40" customFormat="false" ht="15.6" hidden="false" customHeight="false" outlineLevel="0" collapsed="false">
      <c r="A40" s="2"/>
      <c r="B40" s="2"/>
      <c r="C40" s="143"/>
      <c r="D40" s="143"/>
      <c r="E40" s="143"/>
    </row>
    <row r="41" customFormat="false" ht="15.6" hidden="false" customHeight="false" outlineLevel="0" collapsed="false">
      <c r="A41" s="2"/>
      <c r="B41" s="2"/>
      <c r="C41" s="143"/>
      <c r="D41" s="143"/>
      <c r="E41" s="143"/>
    </row>
    <row r="42" customFormat="false" ht="15.6" hidden="false" customHeight="false" outlineLevel="0" collapsed="false">
      <c r="A42" s="2"/>
      <c r="B42" s="2"/>
      <c r="C42" s="143"/>
      <c r="D42" s="143"/>
      <c r="E42" s="143"/>
    </row>
    <row r="43" customFormat="false" ht="15.6" hidden="false" customHeight="false" outlineLevel="0" collapsed="false">
      <c r="A43" s="2"/>
      <c r="B43" s="2"/>
      <c r="C43" s="143"/>
      <c r="D43" s="143"/>
      <c r="E43" s="143"/>
    </row>
    <row r="44" customFormat="false" ht="15.6" hidden="false" customHeight="false" outlineLevel="0" collapsed="false">
      <c r="A44" s="2"/>
      <c r="B44" s="2"/>
      <c r="C44" s="143"/>
      <c r="D44" s="143"/>
      <c r="E44" s="143"/>
    </row>
    <row r="45" customFormat="false" ht="15.6" hidden="false" customHeight="false" outlineLevel="0" collapsed="false">
      <c r="A45" s="2"/>
      <c r="B45" s="2"/>
      <c r="C45" s="143"/>
      <c r="D45" s="143"/>
      <c r="E45" s="143"/>
    </row>
    <row r="46" customFormat="false" ht="15.6" hidden="false" customHeight="false" outlineLevel="0" collapsed="false">
      <c r="A46" s="2"/>
      <c r="B46" s="2"/>
      <c r="C46" s="143"/>
      <c r="D46" s="143"/>
      <c r="E46" s="143"/>
    </row>
    <row r="47" customFormat="false" ht="15.6" hidden="false" customHeight="false" outlineLevel="0" collapsed="false">
      <c r="A47" s="2"/>
      <c r="B47" s="2"/>
      <c r="C47" s="143"/>
      <c r="D47" s="143"/>
      <c r="E47" s="143"/>
    </row>
    <row r="48" customFormat="false" ht="15.6" hidden="false" customHeight="false" outlineLevel="0" collapsed="false">
      <c r="A48" s="2"/>
      <c r="B48" s="2"/>
      <c r="C48" s="143"/>
      <c r="D48" s="191"/>
      <c r="E48" s="191"/>
      <c r="F48" s="329"/>
      <c r="G48" s="329"/>
      <c r="H48" s="329"/>
      <c r="I48" s="329"/>
      <c r="J48" s="329"/>
      <c r="K48" s="329"/>
      <c r="L48" s="329"/>
      <c r="M48" s="329"/>
      <c r="N48" s="329"/>
    </row>
    <row r="49" customFormat="false" ht="15.6" hidden="false" customHeight="false" outlineLevel="0" collapsed="false">
      <c r="A49" s="2"/>
      <c r="B49" s="2"/>
      <c r="C49" s="143"/>
      <c r="D49" s="143"/>
      <c r="E49" s="143"/>
    </row>
    <row r="50" customFormat="false" ht="15.6" hidden="false" customHeight="false" outlineLevel="0" collapsed="false">
      <c r="A50" s="2"/>
      <c r="B50" s="2"/>
      <c r="C50" s="143"/>
      <c r="D50" s="143"/>
      <c r="E50" s="143"/>
    </row>
    <row r="51" customFormat="false" ht="15.6" hidden="false" customHeight="false" outlineLevel="0" collapsed="false">
      <c r="A51" s="2"/>
      <c r="B51" s="2"/>
      <c r="C51" s="143"/>
      <c r="D51" s="143"/>
      <c r="E51" s="143"/>
    </row>
    <row r="52" customFormat="false" ht="15.6" hidden="false" customHeight="false" outlineLevel="0" collapsed="false">
      <c r="A52" s="2"/>
      <c r="B52" s="2"/>
      <c r="C52" s="143"/>
      <c r="D52" s="143"/>
      <c r="E52" s="143"/>
    </row>
    <row r="53" customFormat="false" ht="15.6" hidden="false" customHeight="false" outlineLevel="0" collapsed="false">
      <c r="A53" s="2"/>
      <c r="B53" s="2"/>
      <c r="C53" s="143"/>
      <c r="D53" s="143"/>
      <c r="E53" s="143"/>
    </row>
    <row r="54" customFormat="false" ht="15.6" hidden="false" customHeight="false" outlineLevel="0" collapsed="false">
      <c r="A54" s="2"/>
      <c r="B54" s="2"/>
      <c r="C54" s="143"/>
      <c r="D54" s="143"/>
      <c r="E54" s="143"/>
    </row>
    <row r="55" customFormat="false" ht="15.6" hidden="false" customHeight="false" outlineLevel="0" collapsed="false">
      <c r="A55" s="2"/>
      <c r="B55" s="2"/>
      <c r="C55" s="143"/>
      <c r="D55" s="143"/>
      <c r="E55" s="143"/>
    </row>
    <row r="56" customFormat="false" ht="15.6" hidden="false" customHeight="false" outlineLevel="0" collapsed="false">
      <c r="A56" s="2"/>
      <c r="B56" s="2"/>
      <c r="C56" s="143"/>
      <c r="D56" s="191"/>
      <c r="E56" s="191"/>
      <c r="F56" s="329"/>
      <c r="G56" s="329"/>
      <c r="H56" s="329"/>
      <c r="I56" s="329"/>
      <c r="J56" s="329"/>
      <c r="K56" s="329"/>
      <c r="L56" s="329"/>
      <c r="M56" s="329"/>
      <c r="N56" s="329"/>
    </row>
    <row r="57" customFormat="false" ht="15.6" hidden="false" customHeight="false" outlineLevel="0" collapsed="false">
      <c r="A57" s="2"/>
      <c r="B57" s="2"/>
      <c r="C57" s="143"/>
      <c r="D57" s="143"/>
      <c r="E57" s="143"/>
    </row>
    <row r="58" customFormat="false" ht="15.6" hidden="false" customHeight="false" outlineLevel="0" collapsed="false">
      <c r="A58" s="2"/>
      <c r="B58" s="2"/>
      <c r="C58" s="143"/>
      <c r="D58" s="143"/>
      <c r="E58" s="143"/>
    </row>
    <row r="59" customFormat="false" ht="15.6" hidden="false" customHeight="false" outlineLevel="0" collapsed="false">
      <c r="A59" s="2"/>
      <c r="B59" s="2"/>
      <c r="C59" s="143"/>
      <c r="D59" s="143"/>
      <c r="E59" s="143"/>
    </row>
    <row r="60" customFormat="false" ht="15.6" hidden="false" customHeight="false" outlineLevel="0" collapsed="false">
      <c r="A60" s="2"/>
      <c r="B60" s="2"/>
      <c r="C60" s="143"/>
      <c r="D60" s="143"/>
      <c r="E60" s="143"/>
    </row>
    <row r="61" customFormat="false" ht="15.6" hidden="false" customHeight="false" outlineLevel="0" collapsed="false">
      <c r="A61" s="2"/>
      <c r="B61" s="2"/>
      <c r="C61" s="143"/>
      <c r="D61" s="143"/>
      <c r="E61" s="143"/>
    </row>
    <row r="62" customFormat="false" ht="15.6" hidden="false" customHeight="false" outlineLevel="0" collapsed="false">
      <c r="A62" s="2"/>
      <c r="B62" s="2"/>
      <c r="C62" s="143"/>
      <c r="D62" s="143"/>
      <c r="E62" s="143"/>
    </row>
    <row r="63" customFormat="false" ht="15.6" hidden="false" customHeight="false" outlineLevel="0" collapsed="false">
      <c r="A63" s="2"/>
      <c r="B63" s="2"/>
      <c r="C63" s="143"/>
      <c r="D63" s="143"/>
      <c r="E63" s="143"/>
    </row>
    <row r="64" customFormat="false" ht="15.6" hidden="false" customHeight="false" outlineLevel="0" collapsed="false">
      <c r="A64" s="2"/>
      <c r="B64" s="2"/>
      <c r="C64" s="143"/>
      <c r="D64" s="143"/>
      <c r="E64" s="143"/>
    </row>
    <row r="65" customFormat="false" ht="15.6" hidden="false" customHeight="false" outlineLevel="0" collapsed="false">
      <c r="A65" s="2"/>
      <c r="B65" s="2"/>
      <c r="C65" s="143"/>
      <c r="D65" s="143"/>
      <c r="E65" s="143"/>
    </row>
    <row r="66" customFormat="false" ht="15.6" hidden="false" customHeight="false" outlineLevel="0" collapsed="false">
      <c r="A66" s="2"/>
      <c r="B66" s="2"/>
      <c r="C66" s="143"/>
      <c r="D66" s="191"/>
      <c r="E66" s="191"/>
      <c r="F66" s="329"/>
      <c r="G66" s="329"/>
      <c r="H66" s="329"/>
      <c r="I66" s="329"/>
      <c r="J66" s="329"/>
      <c r="K66" s="329"/>
      <c r="L66" s="329"/>
      <c r="M66" s="329"/>
      <c r="N66" s="329"/>
    </row>
    <row r="67" customFormat="false" ht="15.6" hidden="false" customHeight="false" outlineLevel="0" collapsed="false">
      <c r="A67" s="2"/>
      <c r="B67" s="2"/>
      <c r="C67" s="143"/>
      <c r="D67" s="143"/>
      <c r="E67" s="143"/>
    </row>
    <row r="68" customFormat="false" ht="15.6" hidden="false" customHeight="false" outlineLevel="0" collapsed="false">
      <c r="A68" s="2"/>
      <c r="B68" s="2"/>
      <c r="C68" s="143"/>
      <c r="D68" s="191"/>
      <c r="E68" s="191"/>
      <c r="F68" s="329"/>
      <c r="G68" s="329"/>
      <c r="H68" s="329"/>
      <c r="I68" s="329"/>
      <c r="J68" s="329"/>
      <c r="K68" s="329"/>
      <c r="L68" s="329"/>
      <c r="M68" s="329"/>
      <c r="N68" s="329"/>
    </row>
    <row r="69" customFormat="false" ht="15.6" hidden="false" customHeight="false" outlineLevel="0" collapsed="false">
      <c r="A69" s="2"/>
      <c r="B69" s="2"/>
      <c r="C69" s="143"/>
      <c r="D69" s="143"/>
      <c r="E69" s="143"/>
    </row>
    <row r="70" customFormat="false" ht="15.6" hidden="false" customHeight="false" outlineLevel="0" collapsed="false">
      <c r="A70" s="2"/>
      <c r="B70" s="2"/>
      <c r="C70" s="143"/>
      <c r="D70" s="143"/>
      <c r="E70" s="143"/>
    </row>
    <row r="71" customFormat="false" ht="15.6" hidden="false" customHeight="false" outlineLevel="0" collapsed="false">
      <c r="A71" s="2"/>
      <c r="B71" s="2"/>
      <c r="C71" s="143"/>
      <c r="D71" s="143"/>
      <c r="E71" s="143"/>
    </row>
    <row r="72" customFormat="false" ht="15.6" hidden="false" customHeight="false" outlineLevel="0" collapsed="false">
      <c r="A72" s="2"/>
      <c r="B72" s="2"/>
      <c r="C72" s="143"/>
      <c r="D72" s="143"/>
      <c r="E72" s="143"/>
    </row>
    <row r="73" customFormat="false" ht="15.6" hidden="false" customHeight="false" outlineLevel="0" collapsed="false">
      <c r="A73" s="2"/>
      <c r="B73" s="2"/>
      <c r="C73" s="143"/>
      <c r="D73" s="143"/>
      <c r="E73" s="143"/>
    </row>
    <row r="74" customFormat="false" ht="15.6" hidden="false" customHeight="false" outlineLevel="0" collapsed="false">
      <c r="A74" s="2"/>
      <c r="B74" s="2"/>
      <c r="C74" s="143"/>
      <c r="D74" s="143"/>
      <c r="E74" s="143"/>
    </row>
    <row r="75" customFormat="false" ht="15.6" hidden="false" customHeight="false" outlineLevel="0" collapsed="false">
      <c r="A75" s="2"/>
      <c r="B75" s="2"/>
      <c r="C75" s="143"/>
      <c r="D75" s="143"/>
      <c r="E75" s="143"/>
    </row>
    <row r="76" customFormat="false" ht="15.6" hidden="false" customHeight="false" outlineLevel="0" collapsed="false">
      <c r="A76" s="2"/>
      <c r="B76" s="2"/>
      <c r="C76" s="143"/>
      <c r="D76" s="143"/>
      <c r="E76" s="143"/>
    </row>
    <row r="77" customFormat="false" ht="15.6" hidden="false" customHeight="false" outlineLevel="0" collapsed="false">
      <c r="A77" s="2"/>
      <c r="B77" s="2"/>
      <c r="C77" s="143"/>
      <c r="D77" s="143"/>
      <c r="E77" s="143"/>
    </row>
    <row r="78" customFormat="false" ht="15.6" hidden="false" customHeight="false" outlineLevel="0" collapsed="false">
      <c r="A78" s="2"/>
      <c r="B78" s="2"/>
      <c r="C78" s="143"/>
      <c r="D78" s="143"/>
      <c r="E78" s="143"/>
    </row>
    <row r="79" customFormat="false" ht="15.6" hidden="false" customHeight="false" outlineLevel="0" collapsed="false">
      <c r="A79" s="2"/>
      <c r="B79" s="2"/>
      <c r="C79" s="143"/>
      <c r="D79" s="143"/>
      <c r="E79" s="143"/>
    </row>
    <row r="80" customFormat="false" ht="15.6" hidden="false" customHeight="false" outlineLevel="0" collapsed="false">
      <c r="A80" s="2"/>
      <c r="B80" s="2"/>
      <c r="C80" s="143"/>
      <c r="D80" s="143"/>
      <c r="E80" s="143"/>
    </row>
    <row r="81" customFormat="false" ht="15.6" hidden="false" customHeight="false" outlineLevel="0" collapsed="false">
      <c r="A81" s="2"/>
      <c r="B81" s="2"/>
      <c r="C81" s="143"/>
      <c r="D81" s="143"/>
      <c r="E81" s="143"/>
    </row>
    <row r="82" customFormat="false" ht="15.6" hidden="false" customHeight="false" outlineLevel="0" collapsed="false">
      <c r="A82" s="2"/>
      <c r="B82" s="2"/>
      <c r="C82" s="143"/>
      <c r="D82" s="143"/>
      <c r="E82" s="143"/>
    </row>
    <row r="83" customFormat="false" ht="15.6" hidden="false" customHeight="false" outlineLevel="0" collapsed="false">
      <c r="A83" s="2"/>
      <c r="B83" s="2"/>
      <c r="C83" s="143"/>
      <c r="D83" s="143"/>
      <c r="E83" s="143"/>
    </row>
    <row r="84" customFormat="false" ht="15.6" hidden="false" customHeight="false" outlineLevel="0" collapsed="false">
      <c r="A84" s="2"/>
      <c r="B84" s="2"/>
      <c r="C84" s="143"/>
      <c r="D84" s="143"/>
      <c r="E84" s="143"/>
    </row>
    <row r="85" customFormat="false" ht="15.6" hidden="false" customHeight="false" outlineLevel="0" collapsed="false">
      <c r="A85" s="2"/>
      <c r="B85" s="2"/>
      <c r="C85" s="143"/>
      <c r="D85" s="143"/>
      <c r="E85" s="143"/>
    </row>
    <row r="86" customFormat="false" ht="15.6" hidden="false" customHeight="false" outlineLevel="0" collapsed="false">
      <c r="A86" s="2"/>
      <c r="B86" s="2"/>
      <c r="C86" s="143"/>
      <c r="D86" s="143"/>
      <c r="E86" s="143"/>
    </row>
    <row r="87" customFormat="false" ht="15.6" hidden="false" customHeight="false" outlineLevel="0" collapsed="false">
      <c r="A87" s="2"/>
      <c r="B87" s="2"/>
      <c r="C87" s="143"/>
      <c r="D87" s="143"/>
      <c r="E87" s="143"/>
    </row>
    <row r="88" customFormat="false" ht="15.6" hidden="false" customHeight="false" outlineLevel="0" collapsed="false">
      <c r="A88" s="2"/>
      <c r="B88" s="2"/>
      <c r="C88" s="143"/>
      <c r="D88" s="143"/>
      <c r="E88" s="143"/>
    </row>
    <row r="89" customFormat="false" ht="15.6" hidden="false" customHeight="false" outlineLevel="0" collapsed="false">
      <c r="A89" s="2"/>
      <c r="B89" s="2"/>
      <c r="C89" s="143"/>
      <c r="D89" s="143"/>
      <c r="E89" s="143"/>
    </row>
    <row r="90" customFormat="false" ht="15.6" hidden="false" customHeight="false" outlineLevel="0" collapsed="false">
      <c r="A90" s="2"/>
      <c r="B90" s="2"/>
      <c r="C90" s="143"/>
      <c r="D90" s="143"/>
      <c r="E90" s="143"/>
    </row>
    <row r="91" customFormat="false" ht="15.6" hidden="false" customHeight="false" outlineLevel="0" collapsed="false">
      <c r="A91" s="2"/>
      <c r="B91" s="2"/>
      <c r="C91" s="143"/>
      <c r="D91" s="143"/>
      <c r="E91" s="143"/>
    </row>
    <row r="92" customFormat="false" ht="15.6" hidden="false" customHeight="false" outlineLevel="0" collapsed="false">
      <c r="A92" s="2"/>
      <c r="B92" s="2"/>
      <c r="C92" s="143"/>
      <c r="D92" s="143"/>
      <c r="E92" s="143"/>
    </row>
    <row r="93" customFormat="false" ht="15.6" hidden="false" customHeight="false" outlineLevel="0" collapsed="false">
      <c r="A93" s="2"/>
      <c r="B93" s="2"/>
      <c r="C93" s="143"/>
      <c r="D93" s="143"/>
      <c r="E93" s="143"/>
    </row>
    <row r="94" customFormat="false" ht="15.6" hidden="false" customHeight="false" outlineLevel="0" collapsed="false">
      <c r="A94" s="2"/>
      <c r="B94" s="2"/>
      <c r="C94" s="143"/>
      <c r="D94" s="143"/>
      <c r="E94" s="143"/>
    </row>
    <row r="95" customFormat="false" ht="15.6" hidden="false" customHeight="false" outlineLevel="0" collapsed="false">
      <c r="A95" s="2"/>
      <c r="B95" s="2"/>
      <c r="C95" s="143"/>
      <c r="D95" s="143"/>
      <c r="E95" s="143"/>
    </row>
    <row r="96" customFormat="false" ht="15.6" hidden="false" customHeight="false" outlineLevel="0" collapsed="false">
      <c r="A96" s="2"/>
      <c r="B96" s="2"/>
      <c r="C96" s="143"/>
      <c r="D96" s="143"/>
      <c r="E96" s="143"/>
    </row>
    <row r="97" customFormat="false" ht="15.6" hidden="false" customHeight="false" outlineLevel="0" collapsed="false">
      <c r="A97" s="2"/>
      <c r="B97" s="2"/>
      <c r="C97" s="143"/>
      <c r="D97" s="143"/>
      <c r="E97" s="143"/>
    </row>
    <row r="98" customFormat="false" ht="15.6" hidden="false" customHeight="false" outlineLevel="0" collapsed="false">
      <c r="A98" s="2"/>
      <c r="B98" s="2"/>
      <c r="C98" s="143"/>
      <c r="D98" s="143"/>
      <c r="E98" s="143"/>
    </row>
    <row r="99" customFormat="false" ht="15.6" hidden="false" customHeight="false" outlineLevel="0" collapsed="false">
      <c r="A99" s="2"/>
      <c r="B99" s="2"/>
      <c r="C99" s="143"/>
      <c r="D99" s="143"/>
      <c r="E99" s="143"/>
    </row>
    <row r="100" customFormat="false" ht="15.6" hidden="false" customHeight="false" outlineLevel="0" collapsed="false">
      <c r="A100" s="2"/>
      <c r="B100" s="2"/>
      <c r="C100" s="143"/>
      <c r="D100" s="143"/>
      <c r="E100" s="143"/>
    </row>
    <row r="101" customFormat="false" ht="15.6" hidden="false" customHeight="false" outlineLevel="0" collapsed="false">
      <c r="A101" s="2"/>
      <c r="B101" s="2"/>
      <c r="C101" s="143"/>
      <c r="D101" s="143"/>
      <c r="E101" s="143"/>
    </row>
    <row r="102" customFormat="false" ht="15.6" hidden="false" customHeight="false" outlineLevel="0" collapsed="false">
      <c r="A102" s="2"/>
      <c r="B102" s="2"/>
      <c r="C102" s="143"/>
      <c r="D102" s="143"/>
      <c r="E102" s="143"/>
    </row>
    <row r="103" customFormat="false" ht="15.6" hidden="false" customHeight="false" outlineLevel="0" collapsed="false">
      <c r="A103" s="2"/>
      <c r="B103" s="2"/>
      <c r="C103" s="143"/>
      <c r="D103" s="143"/>
      <c r="E103" s="143"/>
    </row>
    <row r="104" customFormat="false" ht="15.6" hidden="false" customHeight="false" outlineLevel="0" collapsed="false">
      <c r="A104" s="2"/>
      <c r="B104" s="2"/>
      <c r="C104" s="143"/>
      <c r="D104" s="143"/>
      <c r="E104" s="143"/>
    </row>
    <row r="105" customFormat="false" ht="15.6" hidden="false" customHeight="false" outlineLevel="0" collapsed="false">
      <c r="A105" s="2"/>
      <c r="B105" s="2"/>
      <c r="C105" s="143"/>
      <c r="D105" s="143"/>
      <c r="E105" s="143"/>
    </row>
    <row r="106" customFormat="false" ht="15.6" hidden="false" customHeight="false" outlineLevel="0" collapsed="false">
      <c r="A106" s="2"/>
      <c r="B106" s="2"/>
      <c r="C106" s="143"/>
      <c r="D106" s="143"/>
      <c r="E106" s="143"/>
    </row>
    <row r="107" customFormat="false" ht="15.6" hidden="false" customHeight="false" outlineLevel="0" collapsed="false">
      <c r="A107" s="2"/>
      <c r="B107" s="2"/>
      <c r="C107" s="143"/>
      <c r="D107" s="143"/>
      <c r="E107" s="143"/>
    </row>
    <row r="108" customFormat="false" ht="15.6" hidden="false" customHeight="false" outlineLevel="0" collapsed="false">
      <c r="A108" s="2"/>
      <c r="B108" s="2"/>
      <c r="C108" s="143"/>
      <c r="D108" s="143"/>
      <c r="E108" s="143"/>
    </row>
    <row r="109" customFormat="false" ht="15.6" hidden="false" customHeight="false" outlineLevel="0" collapsed="false">
      <c r="A109" s="2"/>
      <c r="B109" s="2"/>
      <c r="C109" s="143"/>
      <c r="D109" s="143"/>
      <c r="E109" s="143"/>
    </row>
    <row r="110" customFormat="false" ht="15.6" hidden="false" customHeight="false" outlineLevel="0" collapsed="false">
      <c r="A110" s="2"/>
      <c r="B110" s="2"/>
      <c r="C110" s="143"/>
      <c r="D110" s="143"/>
      <c r="E110" s="143"/>
    </row>
    <row r="111" customFormat="false" ht="15.6" hidden="false" customHeight="false" outlineLevel="0" collapsed="false">
      <c r="A111" s="2"/>
      <c r="B111" s="2"/>
      <c r="C111" s="143"/>
      <c r="D111" s="143"/>
      <c r="E111" s="143"/>
    </row>
    <row r="112" customFormat="false" ht="15.6" hidden="false" customHeight="false" outlineLevel="0" collapsed="false">
      <c r="A112" s="2"/>
      <c r="B112" s="2"/>
      <c r="C112" s="143"/>
      <c r="D112" s="143"/>
      <c r="E112" s="143"/>
    </row>
    <row r="113" customFormat="false" ht="15.6" hidden="false" customHeight="false" outlineLevel="0" collapsed="false">
      <c r="A113" s="2"/>
      <c r="B113" s="2"/>
      <c r="C113" s="143"/>
      <c r="D113" s="143"/>
      <c r="E113" s="143"/>
    </row>
    <row r="114" customFormat="false" ht="15.6" hidden="false" customHeight="false" outlineLevel="0" collapsed="false">
      <c r="A114" s="2"/>
      <c r="B114" s="2"/>
      <c r="C114" s="143"/>
      <c r="D114" s="143"/>
      <c r="E114" s="143"/>
    </row>
    <row r="115" customFormat="false" ht="15.6" hidden="false" customHeight="false" outlineLevel="0" collapsed="false">
      <c r="A115" s="2"/>
      <c r="B115" s="2"/>
      <c r="C115" s="143"/>
      <c r="D115" s="143"/>
      <c r="E115" s="143"/>
    </row>
    <row r="116" customFormat="false" ht="15.6" hidden="false" customHeight="false" outlineLevel="0" collapsed="false">
      <c r="A116" s="2"/>
      <c r="B116" s="2"/>
      <c r="C116" s="143"/>
      <c r="D116" s="143"/>
      <c r="E116" s="143"/>
    </row>
    <row r="117" customFormat="false" ht="15.6" hidden="false" customHeight="false" outlineLevel="0" collapsed="false">
      <c r="A117" s="2"/>
      <c r="B117" s="2"/>
      <c r="C117" s="143"/>
      <c r="D117" s="143"/>
      <c r="E117" s="143"/>
    </row>
    <row r="118" customFormat="false" ht="15.6" hidden="false" customHeight="false" outlineLevel="0" collapsed="false">
      <c r="A118" s="2"/>
      <c r="B118" s="2"/>
      <c r="C118" s="143"/>
      <c r="D118" s="143"/>
      <c r="E118" s="14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G3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703125" defaultRowHeight="16.2" zeroHeight="false" outlineLevelRow="0" outlineLevelCol="0"/>
  <cols>
    <col collapsed="false" customWidth="true" hidden="false" outlineLevel="0" max="1" min="1" style="62" width="52"/>
    <col collapsed="false" customWidth="true" hidden="false" outlineLevel="0" max="2" min="2" style="62" width="14"/>
    <col collapsed="false" customWidth="true" hidden="false" outlineLevel="0" max="4" min="3" style="62" width="70"/>
    <col collapsed="false" customWidth="true" hidden="false" outlineLevel="0" max="5" min="5" style="62" width="9.5"/>
    <col collapsed="false" customWidth="true" hidden="false" outlineLevel="0" max="6" min="6" style="62" width="10.1"/>
    <col collapsed="false" customWidth="true" hidden="false" outlineLevel="0" max="7" min="7" style="62" width="21.2"/>
    <col collapsed="false" customWidth="false" hidden="false" outlineLevel="0" max="16384" min="8" style="62" width="8.7"/>
  </cols>
  <sheetData>
    <row r="1" customFormat="false" ht="27" hidden="false" customHeight="true" outlineLevel="0" collapsed="false">
      <c r="A1" s="330" t="s">
        <v>236</v>
      </c>
      <c r="B1" s="64"/>
      <c r="C1" s="64"/>
      <c r="D1" s="64"/>
      <c r="E1" s="65"/>
      <c r="F1" s="2"/>
      <c r="G1" s="2"/>
    </row>
    <row r="2" customFormat="false" ht="16.2" hidden="false" customHeight="false" outlineLevel="0" collapsed="false">
      <c r="A2" s="331" t="s">
        <v>237</v>
      </c>
      <c r="B2" s="332" t="n">
        <f aca="false">B22</f>
        <v>1.50064964521184</v>
      </c>
      <c r="C2" s="333"/>
      <c r="D2" s="334" t="s">
        <v>238</v>
      </c>
      <c r="E2" s="335" t="n">
        <f aca="false">B3+B2*(B4-B3)</f>
        <v>0.167882816155723</v>
      </c>
      <c r="F2" s="336"/>
      <c r="G2" s="2"/>
    </row>
    <row r="3" customFormat="false" ht="16.2" hidden="false" customHeight="false" outlineLevel="0" collapsed="false">
      <c r="A3" s="337" t="s">
        <v>239</v>
      </c>
      <c r="B3" s="338" t="n">
        <f aca="false">B12</f>
        <v>0.04588</v>
      </c>
      <c r="C3" s="73"/>
      <c r="D3" s="339" t="s">
        <v>240</v>
      </c>
      <c r="E3" s="340" t="n">
        <f aca="false">B14*(1-Assumption!B13)</f>
        <v>0.08</v>
      </c>
      <c r="F3" s="336"/>
      <c r="G3" s="2"/>
    </row>
    <row r="4" customFormat="false" ht="16.5" hidden="false" customHeight="true" outlineLevel="0" collapsed="false">
      <c r="A4" s="341" t="s">
        <v>241</v>
      </c>
      <c r="B4" s="342" t="n">
        <f aca="false">B23</f>
        <v>0.12718</v>
      </c>
      <c r="C4" s="343"/>
      <c r="D4" s="344" t="s">
        <v>34</v>
      </c>
      <c r="E4" s="345" t="n">
        <f aca="false">(B6*E2+B7*E3)/B8</f>
        <v>0.141309839519679</v>
      </c>
      <c r="F4" s="336"/>
      <c r="G4" s="2"/>
    </row>
    <row r="5" customFormat="false" ht="16.5" hidden="false" customHeight="true" outlineLevel="0" collapsed="false">
      <c r="A5" s="339"/>
      <c r="B5" s="73"/>
      <c r="C5" s="73"/>
      <c r="D5" s="73"/>
      <c r="E5" s="73"/>
      <c r="F5" s="2"/>
      <c r="G5" s="2"/>
    </row>
    <row r="6" customFormat="false" ht="16.2" hidden="false" customHeight="false" outlineLevel="0" collapsed="false">
      <c r="A6" s="331" t="s">
        <v>242</v>
      </c>
      <c r="B6" s="346" t="n">
        <f aca="false">'Balance Sheet'!I73</f>
        <v>94043843.3237188</v>
      </c>
      <c r="C6" s="73"/>
      <c r="D6" s="73"/>
      <c r="E6" s="347"/>
      <c r="F6" s="73"/>
      <c r="G6" s="73"/>
    </row>
    <row r="7" customFormat="false" ht="16.2" hidden="false" customHeight="false" outlineLevel="0" collapsed="false">
      <c r="A7" s="337" t="s">
        <v>204</v>
      </c>
      <c r="B7" s="348" t="n">
        <f aca="false">SUM('Balance Sheet'!I58,'Balance Sheet'!I45)</f>
        <v>40760583.7983445</v>
      </c>
      <c r="C7" s="73"/>
      <c r="D7" s="73"/>
      <c r="E7" s="349"/>
      <c r="F7" s="73"/>
      <c r="G7" s="73"/>
    </row>
    <row r="8" customFormat="false" ht="16.5" hidden="false" customHeight="true" outlineLevel="0" collapsed="false">
      <c r="A8" s="341" t="s">
        <v>243</v>
      </c>
      <c r="B8" s="350" t="n">
        <f aca="false">SUM(B6:B7)</f>
        <v>134804427.122063</v>
      </c>
      <c r="C8" s="73"/>
      <c r="D8" s="351"/>
      <c r="E8" s="352"/>
      <c r="F8" s="353"/>
      <c r="G8" s="73"/>
    </row>
    <row r="9" customFormat="false" ht="16.2" hidden="false" customHeight="false" outlineLevel="0" collapsed="false">
      <c r="A9" s="2"/>
      <c r="B9" s="2"/>
      <c r="C9" s="2"/>
      <c r="D9" s="73"/>
      <c r="E9" s="73"/>
      <c r="F9" s="73"/>
      <c r="G9" s="73"/>
    </row>
    <row r="10" customFormat="false" ht="16.5" hidden="false" customHeight="true" outlineLevel="0" collapsed="false">
      <c r="A10" s="2"/>
      <c r="B10" s="2"/>
      <c r="C10" s="2"/>
      <c r="D10" s="2"/>
      <c r="E10" s="2"/>
      <c r="F10" s="2"/>
      <c r="G10" s="2"/>
    </row>
    <row r="11" customFormat="false" ht="16.5" hidden="false" customHeight="true" outlineLevel="0" collapsed="false">
      <c r="A11" s="354" t="s">
        <v>244</v>
      </c>
      <c r="B11" s="355"/>
      <c r="C11" s="356" t="s">
        <v>245</v>
      </c>
      <c r="D11" s="2"/>
      <c r="E11" s="2"/>
      <c r="F11" s="2"/>
      <c r="G11" s="2"/>
    </row>
    <row r="12" customFormat="false" ht="29.85" hidden="false" customHeight="false" outlineLevel="0" collapsed="false">
      <c r="A12" s="357" t="s">
        <v>246</v>
      </c>
      <c r="B12" s="358" t="n">
        <v>0.04588</v>
      </c>
      <c r="C12" s="359" t="s">
        <v>247</v>
      </c>
      <c r="D12" s="2"/>
      <c r="E12" s="2"/>
      <c r="F12" s="2"/>
      <c r="G12" s="2"/>
    </row>
    <row r="13" customFormat="false" ht="29.85" hidden="false" customHeight="false" outlineLevel="0" collapsed="false">
      <c r="A13" s="360" t="s">
        <v>248</v>
      </c>
      <c r="B13" s="361" t="n">
        <v>0.0423</v>
      </c>
      <c r="C13" s="359" t="s">
        <v>249</v>
      </c>
      <c r="D13" s="2"/>
      <c r="E13" s="2"/>
      <c r="F13" s="2"/>
      <c r="G13" s="2"/>
    </row>
    <row r="14" customFormat="false" ht="30.75" hidden="false" customHeight="true" outlineLevel="0" collapsed="false">
      <c r="A14" s="360" t="s">
        <v>250</v>
      </c>
      <c r="B14" s="361" t="n">
        <v>0.1</v>
      </c>
      <c r="C14" s="359" t="s">
        <v>251</v>
      </c>
      <c r="D14" s="2"/>
      <c r="E14" s="2"/>
      <c r="F14" s="2"/>
      <c r="G14" s="2"/>
    </row>
    <row r="15" customFormat="false" ht="65" hidden="false" customHeight="true" outlineLevel="0" collapsed="false">
      <c r="A15" s="360" t="s">
        <v>252</v>
      </c>
      <c r="B15" s="361" t="n">
        <v>0.039</v>
      </c>
      <c r="C15" s="359" t="s">
        <v>253</v>
      </c>
      <c r="D15" s="2"/>
      <c r="E15" s="2"/>
      <c r="F15" s="2"/>
      <c r="G15" s="2"/>
    </row>
    <row r="16" customFormat="false" ht="16.35" hidden="false" customHeight="false" outlineLevel="0" collapsed="false">
      <c r="A16" s="360" t="s">
        <v>254</v>
      </c>
      <c r="B16" s="362" t="n">
        <f aca="false">SUM(B13,B15)</f>
        <v>0.0813</v>
      </c>
      <c r="C16" s="363"/>
      <c r="D16" s="2"/>
      <c r="E16" s="2"/>
      <c r="F16" s="2"/>
      <c r="G16" s="2"/>
    </row>
    <row r="17" customFormat="false" ht="51" hidden="false" customHeight="true" outlineLevel="0" collapsed="false">
      <c r="A17" s="360" t="s">
        <v>255</v>
      </c>
      <c r="B17" s="364" t="n">
        <v>0.78</v>
      </c>
      <c r="C17" s="359" t="s">
        <v>256</v>
      </c>
      <c r="D17" s="2"/>
      <c r="E17" s="2"/>
      <c r="F17" s="2"/>
      <c r="G17" s="2"/>
    </row>
    <row r="18" customFormat="false" ht="30.75" hidden="false" customHeight="true" outlineLevel="0" collapsed="false">
      <c r="A18" s="360" t="s">
        <v>257</v>
      </c>
      <c r="B18" s="365" t="n">
        <f aca="false">B7/B6</f>
        <v>0.433421076359438</v>
      </c>
      <c r="C18" s="359" t="s">
        <v>258</v>
      </c>
      <c r="D18" s="2"/>
      <c r="E18" s="2"/>
      <c r="F18" s="2"/>
      <c r="G18" s="2"/>
    </row>
    <row r="19" customFormat="false" ht="16.35" hidden="false" customHeight="false" outlineLevel="0" collapsed="false">
      <c r="A19" s="360" t="s">
        <v>259</v>
      </c>
      <c r="B19" s="366" t="n">
        <f aca="false">Assumption!B13</f>
        <v>0.2</v>
      </c>
      <c r="C19" s="359" t="s">
        <v>260</v>
      </c>
      <c r="D19" s="2"/>
      <c r="E19" s="2"/>
      <c r="F19" s="2"/>
      <c r="G19" s="2"/>
    </row>
    <row r="20" customFormat="false" ht="16.35" hidden="false" customHeight="false" outlineLevel="0" collapsed="false">
      <c r="A20" s="360" t="s">
        <v>261</v>
      </c>
      <c r="B20" s="367" t="n">
        <f aca="false">B17*(1+(1-B19)*B18)</f>
        <v>1.05045475164829</v>
      </c>
      <c r="C20" s="363"/>
      <c r="D20" s="2"/>
      <c r="E20" s="2"/>
      <c r="F20" s="2"/>
      <c r="G20" s="2"/>
    </row>
    <row r="21" customFormat="false" ht="62.25" hidden="false" customHeight="true" outlineLevel="0" collapsed="false">
      <c r="A21" s="360" t="s">
        <v>262</v>
      </c>
      <c r="B21" s="364" t="n">
        <v>0.7</v>
      </c>
      <c r="C21" s="359" t="s">
        <v>263</v>
      </c>
      <c r="D21" s="2"/>
      <c r="E21" s="2"/>
      <c r="F21" s="2"/>
      <c r="G21" s="2"/>
    </row>
    <row r="22" customFormat="false" ht="16.35" hidden="false" customHeight="false" outlineLevel="0" collapsed="false">
      <c r="A22" s="360" t="s">
        <v>264</v>
      </c>
      <c r="B22" s="367" t="n">
        <f aca="false">B20/B21</f>
        <v>1.50064964521184</v>
      </c>
      <c r="C22" s="363"/>
      <c r="D22" s="2"/>
      <c r="E22" s="2"/>
      <c r="F22" s="2"/>
      <c r="G22" s="2"/>
    </row>
    <row r="23" customFormat="false" ht="16.5" hidden="false" customHeight="true" outlineLevel="0" collapsed="false">
      <c r="A23" s="360" t="s">
        <v>265</v>
      </c>
      <c r="B23" s="362" t="n">
        <f aca="false">SUM(B12,B16)</f>
        <v>0.12718</v>
      </c>
      <c r="C23" s="363"/>
      <c r="D23" s="2"/>
      <c r="E23" s="2"/>
      <c r="F23" s="2"/>
      <c r="G23" s="2"/>
    </row>
    <row r="24" customFormat="false" ht="16.2" hidden="false" customHeight="false" outlineLevel="0" collapsed="false">
      <c r="A24" s="2"/>
      <c r="B24" s="2"/>
      <c r="C24" s="2"/>
      <c r="D24" s="2"/>
      <c r="E24" s="2"/>
      <c r="F24" s="2"/>
      <c r="G24" s="2"/>
    </row>
    <row r="25" customFormat="false" ht="16.2" hidden="false" customHeight="false" outlineLevel="0" collapsed="false">
      <c r="A25" s="368"/>
      <c r="B25" s="73"/>
      <c r="C25" s="73"/>
      <c r="D25" s="73"/>
      <c r="E25" s="2"/>
      <c r="F25" s="2"/>
      <c r="G25" s="2"/>
    </row>
    <row r="26" customFormat="false" ht="16.2" hidden="false" customHeight="false" outlineLevel="0" collapsed="false">
      <c r="A26" s="369"/>
      <c r="B26" s="369"/>
      <c r="C26" s="369"/>
      <c r="D26" s="369"/>
      <c r="E26" s="2"/>
      <c r="F26" s="2"/>
      <c r="G26" s="2"/>
    </row>
    <row r="27" customFormat="false" ht="16.2" hidden="false" customHeight="false" outlineLevel="0" collapsed="false">
      <c r="A27" s="370"/>
      <c r="B27" s="371"/>
      <c r="C27" s="42"/>
      <c r="D27" s="372"/>
      <c r="E27" s="2"/>
      <c r="F27" s="2"/>
      <c r="G27" s="2"/>
    </row>
    <row r="28" customFormat="false" ht="16.2" hidden="false" customHeight="false" outlineLevel="0" collapsed="false">
      <c r="A28" s="370"/>
      <c r="B28" s="371"/>
      <c r="C28" s="42"/>
      <c r="D28" s="372"/>
      <c r="E28" s="2"/>
      <c r="F28" s="2"/>
      <c r="G28" s="2"/>
    </row>
    <row r="29" customFormat="false" ht="16.2" hidden="false" customHeight="false" outlineLevel="0" collapsed="false">
      <c r="A29" s="370"/>
      <c r="B29" s="371"/>
      <c r="C29" s="42"/>
      <c r="D29" s="372"/>
      <c r="E29" s="2"/>
      <c r="F29" s="2"/>
      <c r="G29" s="2"/>
    </row>
    <row r="30" customFormat="false" ht="16.2" hidden="false" customHeight="false" outlineLevel="0" collapsed="false">
      <c r="A30" s="370"/>
      <c r="B30" s="371"/>
      <c r="C30" s="42"/>
      <c r="D30" s="372"/>
      <c r="E30" s="2"/>
      <c r="F30" s="2"/>
      <c r="G30" s="2"/>
    </row>
    <row r="31" customFormat="false" ht="16.2" hidden="false" customHeight="false" outlineLevel="0" collapsed="false">
      <c r="A31" s="370"/>
      <c r="B31" s="371"/>
      <c r="C31" s="42"/>
      <c r="D31" s="372"/>
      <c r="E31" s="2"/>
      <c r="F31" s="2"/>
      <c r="G31" s="2"/>
    </row>
    <row r="32" customFormat="false" ht="16.2" hidden="false" customHeight="false" outlineLevel="0" collapsed="false">
      <c r="A32" s="370"/>
      <c r="B32" s="371"/>
      <c r="C32" s="42"/>
      <c r="D32" s="372"/>
      <c r="E32" s="2"/>
      <c r="F32" s="2"/>
      <c r="G32" s="2"/>
    </row>
    <row r="33" customFormat="false" ht="16.2" hidden="false" customHeight="false" outlineLevel="0" collapsed="false">
      <c r="A33" s="370"/>
      <c r="B33" s="371"/>
      <c r="C33" s="42"/>
      <c r="D33" s="372"/>
      <c r="E33" s="2"/>
      <c r="F33" s="2"/>
      <c r="G33" s="2"/>
    </row>
    <row r="34" customFormat="false" ht="16.2" hidden="false" customHeight="false" outlineLevel="0" collapsed="false">
      <c r="A34" s="370"/>
      <c r="B34" s="371"/>
      <c r="C34" s="42"/>
      <c r="D34" s="372"/>
      <c r="E34" s="2"/>
      <c r="F34" s="2"/>
      <c r="G34" s="2"/>
    </row>
    <row r="35" customFormat="false" ht="16.2" hidden="false" customHeight="false" outlineLevel="0" collapsed="false">
      <c r="A35" s="370"/>
      <c r="B35" s="371"/>
      <c r="C35" s="42"/>
      <c r="D35" s="372"/>
      <c r="E35" s="2"/>
      <c r="F35" s="2"/>
      <c r="G35" s="2"/>
    </row>
    <row r="36" customFormat="false" ht="16.2" hidden="false" customHeight="false" outlineLevel="0" collapsed="false">
      <c r="A36" s="370"/>
      <c r="B36" s="371"/>
      <c r="C36" s="42"/>
      <c r="D36" s="372"/>
      <c r="E36" s="2"/>
      <c r="F36" s="2"/>
      <c r="G36" s="2"/>
    </row>
    <row r="37" customFormat="false" ht="16.2" hidden="false" customHeight="false" outlineLevel="0" collapsed="false">
      <c r="A37" s="368"/>
      <c r="B37" s="373"/>
      <c r="C37" s="73"/>
      <c r="D37" s="73"/>
      <c r="E37" s="2"/>
      <c r="F37" s="2"/>
      <c r="G37" s="2"/>
    </row>
    <row r="38" customFormat="false" ht="16.2" hidden="false" customHeight="false" outlineLevel="0" collapsed="false">
      <c r="A38" s="372"/>
      <c r="B38" s="73"/>
      <c r="C38" s="73"/>
      <c r="D38" s="73"/>
      <c r="E38" s="2"/>
      <c r="F38" s="2"/>
      <c r="G38"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G2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703125" defaultRowHeight="13.8" zeroHeight="false" outlineLevelRow="0" outlineLevelCol="0"/>
  <cols>
    <col collapsed="false" customWidth="true" hidden="false" outlineLevel="0" max="1" min="1" style="374" width="54.3"/>
    <col collapsed="false" customWidth="true" hidden="false" outlineLevel="0" max="7" min="2" style="374" width="13.7"/>
    <col collapsed="false" customWidth="false" hidden="false" outlineLevel="0" max="16384" min="8" style="374" width="8.7"/>
  </cols>
  <sheetData>
    <row r="1" customFormat="false" ht="24" hidden="false" customHeight="true" outlineLevel="0" collapsed="false">
      <c r="A1" s="375" t="s">
        <v>42</v>
      </c>
      <c r="B1" s="376" t="n">
        <f aca="false">'Income Statement'!D2</f>
        <v>2025</v>
      </c>
      <c r="C1" s="376" t="n">
        <f aca="false">B1+1</f>
        <v>2026</v>
      </c>
      <c r="D1" s="376" t="n">
        <f aca="false">C1+1</f>
        <v>2027</v>
      </c>
      <c r="E1" s="376" t="n">
        <f aca="false">D1+1</f>
        <v>2028</v>
      </c>
      <c r="F1" s="376" t="n">
        <f aca="false">E1+1</f>
        <v>2029</v>
      </c>
      <c r="G1" s="377" t="n">
        <f aca="false">F1+1</f>
        <v>2030</v>
      </c>
    </row>
    <row r="2" customFormat="false" ht="15" hidden="false" customHeight="true" outlineLevel="0" collapsed="false">
      <c r="A2" s="378" t="s">
        <v>266</v>
      </c>
      <c r="B2" s="379" t="n">
        <f aca="false">'Income Statement'!D11/'Income Statement'!C11-1</f>
        <v>0.537315376523464</v>
      </c>
      <c r="C2" s="380" t="n">
        <f aca="false">Drivers!F40</f>
        <v>0.339189621922363</v>
      </c>
      <c r="D2" s="380" t="n">
        <f aca="false">Drivers!G40</f>
        <v>0.279118368517389</v>
      </c>
      <c r="E2" s="380" t="n">
        <f aca="false">Drivers!H40</f>
        <v>0.232775784448645</v>
      </c>
      <c r="F2" s="380" t="n">
        <f aca="false">Drivers!I40</f>
        <v>0.387094925460996</v>
      </c>
      <c r="G2" s="381" t="n">
        <f aca="false">Drivers!J40</f>
        <v>0.284486454187359</v>
      </c>
    </row>
    <row r="3" customFormat="false" ht="15" hidden="false" customHeight="true" outlineLevel="0" collapsed="false">
      <c r="A3" s="378" t="s">
        <v>267</v>
      </c>
      <c r="B3" s="379" t="n">
        <f aca="false">'Income Statement'!D18/'Income Statement'!D11</f>
        <v>0.489658932310139</v>
      </c>
      <c r="C3" s="382" t="n">
        <f aca="false">Drivers!F84</f>
        <v>0.482445875488389</v>
      </c>
      <c r="D3" s="382" t="n">
        <f aca="false">Drivers!G84</f>
        <v>0.484702538744627</v>
      </c>
      <c r="E3" s="382" t="n">
        <f aca="false">Drivers!H84</f>
        <v>0.493304433144389</v>
      </c>
      <c r="F3" s="382" t="n">
        <f aca="false">Drivers!I84</f>
        <v>0.548522733823865</v>
      </c>
      <c r="G3" s="383" t="n">
        <f aca="false">Drivers!J84</f>
        <v>0.526406614385447</v>
      </c>
    </row>
    <row r="4" customFormat="false" ht="15" hidden="false" customHeight="true" outlineLevel="0" collapsed="false">
      <c r="A4" s="378" t="s">
        <v>268</v>
      </c>
      <c r="B4" s="379" t="n">
        <f aca="false">'Income Statement'!D61/'Income Statement'!D11</f>
        <v>0.41437870413087</v>
      </c>
      <c r="C4" s="382" t="n">
        <f aca="false">Drivers!F90</f>
        <v>0.39753446814561</v>
      </c>
      <c r="D4" s="382" t="n">
        <f aca="false">Drivers!G90</f>
        <v>0.383563956534244</v>
      </c>
      <c r="E4" s="382" t="n">
        <f aca="false">Drivers!H90</f>
        <v>0.378873490996597</v>
      </c>
      <c r="F4" s="382" t="n">
        <f aca="false">Drivers!I90</f>
        <v>0.378695192769884</v>
      </c>
      <c r="G4" s="383" t="n">
        <f aca="false">Drivers!J90</f>
        <v>0.359546154837979</v>
      </c>
    </row>
    <row r="5" customFormat="false" ht="15" hidden="false" customHeight="true" outlineLevel="0" collapsed="false">
      <c r="A5" s="378" t="s">
        <v>269</v>
      </c>
      <c r="B5" s="379" t="n">
        <f aca="false">'Income Statement'!D67/'Income Statement'!D11</f>
        <v>0.00299037607332679</v>
      </c>
      <c r="C5" s="379" t="n">
        <f aca="false">Drivers!F131</f>
        <v>0.00251689010610546</v>
      </c>
      <c r="D5" s="379" t="n">
        <f aca="false">Drivers!G131</f>
        <v>0.00196767568041631</v>
      </c>
      <c r="E5" s="379" t="n">
        <f aca="false">Drivers!H131</f>
        <v>0.021096134272946</v>
      </c>
      <c r="F5" s="379" t="n">
        <f aca="false">Drivers!I131</f>
        <v>0.0292670195296504</v>
      </c>
      <c r="G5" s="384" t="n">
        <f aca="false">Drivers!J131</f>
        <v>0.0205960816395281</v>
      </c>
    </row>
    <row r="6" customFormat="false" ht="15" hidden="false" customHeight="true" outlineLevel="0" collapsed="false">
      <c r="A6" s="378" t="s">
        <v>270</v>
      </c>
      <c r="B6" s="379" t="n">
        <f aca="false">('Balance Sheet'!F21-'Balance Sheet'!F6)/'Income Statement'!D11</f>
        <v>0.159619856659944</v>
      </c>
      <c r="C6" s="382" t="n">
        <f aca="false">SUM(Drivers!F106,Drivers!F108,Drivers!F110)/Drivers!F39</f>
        <v>0.163850164153531</v>
      </c>
      <c r="D6" s="382" t="n">
        <f aca="false">SUM(Drivers!G106,Drivers!G108,Drivers!G110)/Drivers!G39</f>
        <v>0.173962998537823</v>
      </c>
      <c r="E6" s="382" t="n">
        <f aca="false">SUM(Drivers!H106,Drivers!H108,Drivers!H110)/Drivers!H39</f>
        <v>0.185732145314135</v>
      </c>
      <c r="F6" s="382" t="n">
        <f aca="false">SUM(Drivers!I106,Drivers!I108,Drivers!I110)/Drivers!I39</f>
        <v>0.205582499666596</v>
      </c>
      <c r="G6" s="383" t="n">
        <f aca="false">SUM(Drivers!J106,Drivers!J108,Drivers!J110)/Drivers!J39</f>
        <v>0.199459297216549</v>
      </c>
    </row>
    <row r="7" customFormat="false" ht="15" hidden="false" customHeight="true" outlineLevel="0" collapsed="false">
      <c r="A7" s="378" t="s">
        <v>271</v>
      </c>
      <c r="B7" s="379" t="n">
        <f aca="false">('Balance Sheet'!F55-'Balance Sheet'!F45)/'Income Statement'!D11</f>
        <v>0.00720834966707064</v>
      </c>
      <c r="C7" s="382" t="n">
        <f aca="false">SUM(Drivers!F112,Drivers!F114)/Drivers!F39</f>
        <v>0.00945350956603803</v>
      </c>
      <c r="D7" s="382" t="n">
        <f aca="false">SUM(Drivers!G112,Drivers!G114)/Drivers!G39</f>
        <v>0.01084268311221</v>
      </c>
      <c r="E7" s="382" t="n">
        <f aca="false">SUM(Drivers!H112,Drivers!H114)/Drivers!H39</f>
        <v>0.0131748902902709</v>
      </c>
      <c r="F7" s="382" t="n">
        <f aca="false">SUM(Drivers!I112,Drivers!I114)/Drivers!I39</f>
        <v>0.013912959834954</v>
      </c>
      <c r="G7" s="383" t="n">
        <f aca="false">SUM(Drivers!J112,Drivers!J114)/Drivers!J39</f>
        <v>0.0135901274591947</v>
      </c>
    </row>
    <row r="8" customFormat="false" ht="15" hidden="false" customHeight="true" outlineLevel="0" collapsed="false">
      <c r="A8" s="378" t="s">
        <v>272</v>
      </c>
      <c r="B8" s="379" t="n">
        <f aca="false">'Balance Sheet'!F9/('Balance Sheet'!F21-'Balance Sheet'!F6)</f>
        <v>0.493914514643507</v>
      </c>
      <c r="C8" s="382" t="n">
        <f aca="false">Drivers!F106/SUM(Drivers!F106,Drivers!F108,Drivers!F110)</f>
        <v>0.454897900441158</v>
      </c>
      <c r="D8" s="382" t="n">
        <f aca="false">Drivers!G106/SUM(Drivers!G106,Drivers!G108,Drivers!G110)</f>
        <v>0.423590226395538</v>
      </c>
      <c r="E8" s="382" t="n">
        <f aca="false">Drivers!H106/SUM(Drivers!H106,Drivers!H108,Drivers!H110)</f>
        <v>0.401111334151679</v>
      </c>
      <c r="F8" s="382" t="n">
        <f aca="false">Drivers!I106/SUM(Drivers!I106,Drivers!I108,Drivers!I110)</f>
        <v>0.40563140821771</v>
      </c>
      <c r="G8" s="383" t="n">
        <f aca="false">Drivers!J106/SUM(Drivers!J106,Drivers!J108,Drivers!J110)</f>
        <v>0.387384882394043</v>
      </c>
    </row>
    <row r="9" customFormat="false" ht="15" hidden="false" customHeight="true" outlineLevel="0" collapsed="false">
      <c r="A9" s="378" t="s">
        <v>273</v>
      </c>
      <c r="B9" s="379" t="n">
        <f aca="false">'Balance Sheet'!F12/('Balance Sheet'!F21-'Balance Sheet'!F6)</f>
        <v>0.232928424889022</v>
      </c>
      <c r="C9" s="382" t="n">
        <f aca="false">Drivers!F108/SUM(Drivers!F106,Drivers!F108,Drivers!F110)</f>
        <v>0.300976619388318</v>
      </c>
      <c r="D9" s="382" t="n">
        <f aca="false">Drivers!G108/SUM(Drivers!G106,Drivers!G108,Drivers!G110)</f>
        <v>0.346475820199403</v>
      </c>
      <c r="E9" s="382" t="n">
        <f aca="false">Drivers!H108/SUM(Drivers!H106,Drivers!H108,Drivers!H110)</f>
        <v>0.383524761380698</v>
      </c>
      <c r="F9" s="382" t="n">
        <f aca="false">Drivers!I108/SUM(Drivers!I106,Drivers!I108,Drivers!I110)</f>
        <v>0.39979950119885</v>
      </c>
      <c r="G9" s="383" t="n">
        <f aca="false">Drivers!J108/SUM(Drivers!J106,Drivers!J108,Drivers!J110)</f>
        <v>0.412072949062303</v>
      </c>
    </row>
    <row r="10" customFormat="false" ht="15" hidden="false" customHeight="true" outlineLevel="0" collapsed="false">
      <c r="A10" s="378" t="s">
        <v>274</v>
      </c>
      <c r="B10" s="379" t="n">
        <f aca="false">'Balance Sheet'!F38/('Balance Sheet'!F55-'Balance Sheet'!F45)</f>
        <v>0.769230769230769</v>
      </c>
      <c r="C10" s="382" t="n">
        <f aca="false">Drivers!F112/SUM(Drivers!F112,Drivers!F114)</f>
        <v>0.788438358682679</v>
      </c>
      <c r="D10" s="382" t="n">
        <f aca="false">Drivers!G112/SUM(Drivers!G112,Drivers!G114)</f>
        <v>0.815543811499222</v>
      </c>
      <c r="E10" s="382" t="n">
        <f aca="false">Drivers!H112/SUM(Drivers!H112,Drivers!H114)</f>
        <v>0.848196079364933</v>
      </c>
      <c r="F10" s="382" t="n">
        <f aca="false">Drivers!I112/SUM(Drivers!I112,Drivers!I114)</f>
        <v>0.856249135789545</v>
      </c>
      <c r="G10" s="383" t="n">
        <f aca="false">Drivers!J112/SUM(Drivers!J112,Drivers!J114)</f>
        <v>0.852834345667093</v>
      </c>
    </row>
    <row r="11" customFormat="false" ht="15.75" hidden="false" customHeight="true" outlineLevel="0" collapsed="false">
      <c r="A11" s="385" t="s">
        <v>275</v>
      </c>
      <c r="B11" s="386" t="n">
        <f aca="false">'Pro Forma'!B25/'Income Statement'!D11</f>
        <v>0.106937776598666</v>
      </c>
      <c r="C11" s="387" t="n">
        <f aca="false">Drivers!F94</f>
        <v>0.2</v>
      </c>
      <c r="D11" s="387" t="n">
        <f aca="false">Drivers!G94</f>
        <v>0.15</v>
      </c>
      <c r="E11" s="388" t="n">
        <f aca="false">Drivers!H94</f>
        <v>0.65</v>
      </c>
      <c r="F11" s="387" t="n">
        <f aca="false">Drivers!I94</f>
        <v>0.12</v>
      </c>
      <c r="G11" s="389" t="n">
        <f aca="false">Drivers!J94</f>
        <v>0.1</v>
      </c>
    </row>
    <row r="12" customFormat="false" ht="15.75" hidden="false" customHeight="true" outlineLevel="0" collapsed="false">
      <c r="A12" s="2"/>
      <c r="B12" s="2"/>
      <c r="C12" s="2"/>
      <c r="D12" s="2"/>
      <c r="E12" s="2"/>
      <c r="F12" s="2"/>
      <c r="G12" s="2"/>
    </row>
    <row r="13" customFormat="false" ht="15" hidden="false" customHeight="true" outlineLevel="0" collapsed="false">
      <c r="A13" s="390" t="s">
        <v>276</v>
      </c>
      <c r="B13" s="391" t="n">
        <v>0.2</v>
      </c>
      <c r="C13" s="392" t="s">
        <v>277</v>
      </c>
      <c r="D13" s="2"/>
      <c r="E13" s="2"/>
      <c r="F13" s="2"/>
      <c r="G13" s="2"/>
    </row>
    <row r="14" customFormat="false" ht="15" hidden="false" customHeight="true" outlineLevel="0" collapsed="false">
      <c r="A14" s="393" t="s">
        <v>278</v>
      </c>
      <c r="B14" s="394" t="n">
        <v>0.05</v>
      </c>
      <c r="C14" s="395" t="s">
        <v>279</v>
      </c>
      <c r="D14" s="2"/>
      <c r="E14" s="2"/>
      <c r="F14" s="2"/>
      <c r="G14" s="2"/>
    </row>
    <row r="15" customFormat="false" ht="15" hidden="false" customHeight="true" outlineLevel="0" collapsed="false">
      <c r="A15" s="393" t="s">
        <v>280</v>
      </c>
      <c r="B15" s="396" t="n">
        <v>0.12</v>
      </c>
      <c r="C15" s="392"/>
      <c r="D15" s="2"/>
      <c r="E15" s="2"/>
      <c r="F15" s="2"/>
      <c r="G15" s="2"/>
    </row>
    <row r="16" customFormat="false" ht="15" hidden="false" customHeight="true" outlineLevel="0" collapsed="false">
      <c r="A16" s="393" t="s">
        <v>281</v>
      </c>
      <c r="B16" s="397" t="n">
        <f aca="false">'Discount rate'!E4</f>
        <v>0.141309839519679</v>
      </c>
      <c r="C16" s="392"/>
      <c r="D16" s="2"/>
      <c r="E16" s="2"/>
      <c r="F16" s="2"/>
      <c r="G16" s="2"/>
    </row>
    <row r="17" customFormat="false" ht="15.75" hidden="false" customHeight="true" outlineLevel="0" collapsed="false">
      <c r="A17" s="398" t="s">
        <v>282</v>
      </c>
      <c r="B17" s="399" t="n">
        <f aca="false">DCF!B39</f>
        <v>0.123115883251726</v>
      </c>
      <c r="C17" s="392"/>
      <c r="D17" s="2"/>
      <c r="E17" s="2"/>
      <c r="F17" s="2"/>
      <c r="G17" s="2"/>
    </row>
    <row r="18" customFormat="false" ht="15" hidden="false" customHeight="true" outlineLevel="0" collapsed="false">
      <c r="A18" s="2"/>
      <c r="B18" s="2"/>
      <c r="C18" s="2"/>
      <c r="D18" s="2"/>
      <c r="E18" s="2"/>
      <c r="F18" s="2"/>
      <c r="G18" s="2"/>
    </row>
    <row r="19" customFormat="false" ht="15" hidden="false" customHeight="true" outlineLevel="0" collapsed="false">
      <c r="A19" s="400" t="s">
        <v>283</v>
      </c>
      <c r="B19" s="2"/>
      <c r="C19" s="2"/>
      <c r="D19" s="2"/>
      <c r="E19" s="2"/>
      <c r="F19" s="2"/>
      <c r="G19" s="2"/>
    </row>
    <row r="20" customFormat="false" ht="15" hidden="false" customHeight="true" outlineLevel="0" collapsed="false">
      <c r="A20" s="2"/>
      <c r="B20" s="2"/>
      <c r="C20" s="2"/>
      <c r="D20" s="2"/>
      <c r="E20" s="2"/>
      <c r="F20" s="2"/>
      <c r="G20" s="2"/>
    </row>
    <row r="21" customFormat="false" ht="15" hidden="false" customHeight="true" outlineLevel="0" collapsed="false">
      <c r="A21" s="2"/>
      <c r="B21" s="401"/>
      <c r="C21" s="401"/>
      <c r="D21" s="401"/>
      <c r="E21" s="2"/>
      <c r="F21" s="2"/>
      <c r="G21" s="2"/>
    </row>
    <row r="22" customFormat="false" ht="15" hidden="false" customHeight="true" outlineLevel="0" collapsed="false">
      <c r="A22" s="2"/>
      <c r="B22" s="402"/>
      <c r="C22" s="402"/>
      <c r="D22" s="402"/>
      <c r="E22" s="2"/>
      <c r="F22" s="2"/>
      <c r="G22" s="2"/>
    </row>
    <row r="23" customFormat="false" ht="15" hidden="false" customHeight="true" outlineLevel="0" collapsed="false">
      <c r="A23" s="2"/>
      <c r="B23" s="402"/>
      <c r="C23" s="402"/>
      <c r="D23" s="402"/>
      <c r="E23" s="2"/>
      <c r="F23" s="2"/>
      <c r="G23" s="2"/>
    </row>
    <row r="24" customFormat="false" ht="15" hidden="false" customHeight="true" outlineLevel="0" collapsed="false">
      <c r="A24" s="2"/>
      <c r="B24" s="403"/>
      <c r="C24" s="403"/>
      <c r="D24" s="403"/>
      <c r="E24" s="2"/>
      <c r="F24" s="2"/>
      <c r="G24"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L168"/>
  <sheetViews>
    <sheetView showFormulas="false" showGridLines="false" showRowColHeaders="true" showZeros="true" rightToLeft="false" tabSelected="true" showOutlineSymbols="true" defaultGridColor="true" view="normal" topLeftCell="A1" colorId="64" zoomScale="74" zoomScaleNormal="74" zoomScalePageLayoutView="100" workbookViewId="0">
      <pane xSplit="2" ySplit="7" topLeftCell="C120" activePane="bottomRight" state="frozen"/>
      <selection pane="topLeft" activeCell="A1" activeCellId="0" sqref="A1"/>
      <selection pane="topRight" activeCell="C1" activeCellId="0" sqref="C1"/>
      <selection pane="bottomLeft" activeCell="A120" activeCellId="0" sqref="A120"/>
      <selection pane="bottomRight" activeCell="J126" activeCellId="0" sqref="J126"/>
    </sheetView>
  </sheetViews>
  <sheetFormatPr defaultColWidth="8.515625" defaultRowHeight="15.6" zeroHeight="false" outlineLevelRow="0" outlineLevelCol="0"/>
  <cols>
    <col collapsed="false" customWidth="true" hidden="false" outlineLevel="0" max="1" min="1" style="404" width="75.2"/>
    <col collapsed="false" customWidth="true" hidden="false" outlineLevel="0" max="2" min="2" style="405" width="18"/>
    <col collapsed="false" customWidth="true" hidden="false" outlineLevel="0" max="4" min="3" style="1" width="15"/>
    <col collapsed="false" customWidth="true" hidden="false" outlineLevel="0" max="5" min="5" style="406" width="15"/>
    <col collapsed="false" customWidth="true" hidden="false" outlineLevel="0" max="10" min="6" style="1" width="15"/>
    <col collapsed="false" customWidth="true" hidden="false" outlineLevel="0" max="11" min="11" style="407" width="15"/>
    <col collapsed="false" customWidth="true" hidden="false" outlineLevel="0" max="12" min="12" style="1" width="255.39"/>
  </cols>
  <sheetData>
    <row r="1" customFormat="false" ht="19.7" hidden="false" customHeight="false" outlineLevel="0" collapsed="false">
      <c r="A1" s="408" t="s">
        <v>284</v>
      </c>
      <c r="B1" s="409"/>
      <c r="C1" s="2"/>
      <c r="D1" s="2"/>
      <c r="E1" s="410"/>
      <c r="F1" s="2"/>
      <c r="G1" s="2"/>
      <c r="H1" s="2"/>
      <c r="I1" s="2"/>
      <c r="J1" s="2"/>
      <c r="K1" s="73"/>
      <c r="L1" s="2"/>
    </row>
    <row r="2" customFormat="false" ht="15.6" hidden="false" customHeight="false" outlineLevel="0" collapsed="false">
      <c r="A2" s="411" t="s">
        <v>285</v>
      </c>
      <c r="B2" s="409"/>
      <c r="C2" s="2"/>
      <c r="D2" s="2"/>
      <c r="E2" s="410"/>
      <c r="F2" s="2"/>
      <c r="G2" s="2"/>
      <c r="H2" s="2"/>
      <c r="I2" s="2"/>
      <c r="J2" s="2"/>
      <c r="K2" s="73"/>
      <c r="L2" s="2"/>
    </row>
    <row r="3" customFormat="false" ht="15.6" hidden="false" customHeight="false" outlineLevel="0" collapsed="false">
      <c r="A3" s="412" t="s">
        <v>286</v>
      </c>
      <c r="B3" s="409"/>
      <c r="C3" s="413" t="n">
        <v>2</v>
      </c>
      <c r="D3" s="414" t="str">
        <f aca="false">CHOOSE(C3,"Bear","Base","Bull")</f>
        <v>Base</v>
      </c>
      <c r="E3" s="410"/>
      <c r="F3" s="2"/>
      <c r="G3" s="2"/>
      <c r="H3" s="2"/>
      <c r="I3" s="2"/>
      <c r="J3" s="2"/>
      <c r="K3" s="73"/>
      <c r="L3" s="415"/>
    </row>
    <row r="4" customFormat="false" ht="15.6" hidden="false" customHeight="false" outlineLevel="0" collapsed="false">
      <c r="A4" s="412"/>
      <c r="B4" s="409"/>
      <c r="C4" s="2"/>
      <c r="D4" s="2"/>
      <c r="E4" s="410"/>
      <c r="F4" s="2"/>
      <c r="G4" s="2"/>
      <c r="H4" s="2"/>
      <c r="I4" s="2"/>
      <c r="J4" s="2"/>
      <c r="K4" s="73"/>
      <c r="L4" s="2"/>
    </row>
    <row r="5" customFormat="false" ht="15.75" hidden="false" customHeight="true" outlineLevel="0" collapsed="false">
      <c r="A5" s="416"/>
      <c r="B5" s="409"/>
      <c r="C5" s="2"/>
      <c r="D5" s="2"/>
      <c r="E5" s="410"/>
      <c r="F5" s="2"/>
      <c r="G5" s="2"/>
      <c r="H5" s="2"/>
      <c r="I5" s="2"/>
      <c r="J5" s="2"/>
      <c r="K5" s="73"/>
      <c r="L5" s="2"/>
    </row>
    <row r="6" customFormat="false" ht="15.75" hidden="false" customHeight="true" outlineLevel="0" collapsed="false">
      <c r="A6" s="417" t="s">
        <v>287</v>
      </c>
      <c r="B6" s="418" t="s">
        <v>288</v>
      </c>
      <c r="C6" s="419" t="s">
        <v>289</v>
      </c>
      <c r="D6" s="419" t="s">
        <v>290</v>
      </c>
      <c r="E6" s="420" t="s">
        <v>291</v>
      </c>
      <c r="F6" s="419" t="s">
        <v>292</v>
      </c>
      <c r="G6" s="419" t="s">
        <v>293</v>
      </c>
      <c r="H6" s="419" t="s">
        <v>294</v>
      </c>
      <c r="I6" s="419" t="s">
        <v>295</v>
      </c>
      <c r="J6" s="421" t="s">
        <v>296</v>
      </c>
      <c r="K6" s="369"/>
      <c r="L6" s="422" t="s">
        <v>297</v>
      </c>
    </row>
    <row r="7" customFormat="false" ht="15.75" hidden="false" customHeight="true" outlineLevel="0" collapsed="false">
      <c r="A7" s="423" t="s">
        <v>298</v>
      </c>
      <c r="B7" s="409"/>
      <c r="C7" s="424" t="n">
        <v>2023</v>
      </c>
      <c r="D7" s="424" t="n">
        <v>2024</v>
      </c>
      <c r="E7" s="425" t="n">
        <v>2025</v>
      </c>
      <c r="F7" s="424" t="n">
        <v>2026</v>
      </c>
      <c r="G7" s="424" t="n">
        <v>2027</v>
      </c>
      <c r="H7" s="424" t="n">
        <v>2028</v>
      </c>
      <c r="I7" s="424" t="n">
        <v>2029</v>
      </c>
      <c r="J7" s="426" t="n">
        <v>2030</v>
      </c>
      <c r="K7" s="427"/>
      <c r="L7" s="428"/>
    </row>
    <row r="8" customFormat="false" ht="15.75" hidden="false" customHeight="true" outlineLevel="0" collapsed="false">
      <c r="A8" s="429" t="s">
        <v>299</v>
      </c>
      <c r="B8" s="430"/>
      <c r="C8" s="431"/>
      <c r="D8" s="431"/>
      <c r="E8" s="432"/>
      <c r="F8" s="431"/>
      <c r="G8" s="431"/>
      <c r="H8" s="431"/>
      <c r="I8" s="431"/>
      <c r="J8" s="433"/>
      <c r="K8" s="73"/>
      <c r="L8" s="434"/>
    </row>
    <row r="9" customFormat="false" ht="15.6" hidden="false" customHeight="false" outlineLevel="0" collapsed="false">
      <c r="A9" s="435" t="s">
        <v>300</v>
      </c>
      <c r="B9" s="409"/>
      <c r="C9" s="2"/>
      <c r="D9" s="2"/>
      <c r="E9" s="410"/>
      <c r="F9" s="2"/>
      <c r="G9" s="2"/>
      <c r="H9" s="2"/>
      <c r="I9" s="2"/>
      <c r="J9" s="37"/>
      <c r="K9" s="73"/>
      <c r="L9" s="428"/>
    </row>
    <row r="10" customFormat="false" ht="20" hidden="false" customHeight="true" outlineLevel="0" collapsed="false">
      <c r="A10" s="436" t="s">
        <v>301</v>
      </c>
      <c r="B10" s="437" t="s">
        <v>302</v>
      </c>
      <c r="C10" s="2"/>
      <c r="D10" s="2"/>
      <c r="E10" s="438" t="n">
        <v>2.5</v>
      </c>
      <c r="F10" s="439" t="n">
        <f aca="false">E10*(1+F11)</f>
        <v>2.55</v>
      </c>
      <c r="G10" s="439" t="n">
        <f aca="false">F10*(1+G11)</f>
        <v>2.601</v>
      </c>
      <c r="H10" s="439" t="n">
        <f aca="false">G10*(1+H11)</f>
        <v>2.65302</v>
      </c>
      <c r="I10" s="439" t="n">
        <f aca="false">H10*(1+I11)</f>
        <v>2.7060804</v>
      </c>
      <c r="J10" s="440" t="n">
        <f aca="false">I10*(1+J11)</f>
        <v>2.760202008</v>
      </c>
      <c r="K10" s="441"/>
      <c r="L10" s="442" t="s">
        <v>303</v>
      </c>
    </row>
    <row r="11" customFormat="false" ht="15.6" hidden="false" customHeight="false" outlineLevel="0" collapsed="false">
      <c r="A11" s="436" t="s">
        <v>304</v>
      </c>
      <c r="B11" s="437" t="s">
        <v>305</v>
      </c>
      <c r="C11" s="2"/>
      <c r="D11" s="2"/>
      <c r="E11" s="410"/>
      <c r="F11" s="443" t="n">
        <f aca="false">CHOOSE($C$3,$C$144,$D$144,$E$144)</f>
        <v>0.02</v>
      </c>
      <c r="G11" s="443" t="n">
        <f aca="false">CHOOSE($C$3,$C$144,$D$144,$E$144)</f>
        <v>0.02</v>
      </c>
      <c r="H11" s="443" t="n">
        <f aca="false">CHOOSE($C$3,$C$144,$D$144,$E$144)</f>
        <v>0.02</v>
      </c>
      <c r="I11" s="443" t="n">
        <f aca="false">CHOOSE($C$3,$C$144,$D$144,$E$144)</f>
        <v>0.02</v>
      </c>
      <c r="J11" s="444" t="n">
        <f aca="false">CHOOSE($C$3,$C$144,$D$144,$E$144)</f>
        <v>0.02</v>
      </c>
      <c r="K11" s="445"/>
      <c r="L11" s="446" t="s">
        <v>306</v>
      </c>
    </row>
    <row r="12" customFormat="false" ht="15.6" hidden="false" customHeight="false" outlineLevel="0" collapsed="false">
      <c r="A12" s="436" t="s">
        <v>307</v>
      </c>
      <c r="B12" s="437" t="s">
        <v>308</v>
      </c>
      <c r="C12" s="447" t="n">
        <f aca="false">C14/$E$10</f>
        <v>6022000</v>
      </c>
      <c r="D12" s="447" t="n">
        <f aca="false">D14/$E$10</f>
        <v>9635200</v>
      </c>
      <c r="E12" s="448" t="n">
        <f aca="false">E14/$E$10</f>
        <v>15223616</v>
      </c>
      <c r="F12" s="447" t="n">
        <f aca="false">E12*(1+F13)</f>
        <v>20095173.12</v>
      </c>
      <c r="G12" s="447" t="n">
        <f aca="false">F12*(1+G13)</f>
        <v>25118966.4</v>
      </c>
      <c r="H12" s="447" t="n">
        <f aca="false">G12*(1+H13)</f>
        <v>30142759.68</v>
      </c>
      <c r="I12" s="447" t="n">
        <f aca="false">H12*(1+I13)</f>
        <v>40692725.568</v>
      </c>
      <c r="J12" s="449" t="n">
        <f aca="false">I12*(1+J13)</f>
        <v>50865906.96</v>
      </c>
      <c r="K12" s="450"/>
      <c r="L12" s="451" t="s">
        <v>309</v>
      </c>
    </row>
    <row r="13" customFormat="false" ht="30.75" hidden="false" customHeight="true" outlineLevel="0" collapsed="false">
      <c r="A13" s="436" t="s">
        <v>310</v>
      </c>
      <c r="B13" s="437" t="s">
        <v>311</v>
      </c>
      <c r="C13" s="2"/>
      <c r="D13" s="443" t="n">
        <f aca="false">D12/C12-1</f>
        <v>0.6</v>
      </c>
      <c r="E13" s="452" t="n">
        <f aca="false">E12/D12-1</f>
        <v>0.58</v>
      </c>
      <c r="F13" s="443" t="n">
        <f aca="false">F150*CHOOSE($C$3,$C$143,$D$143,$E$143)</f>
        <v>0.32</v>
      </c>
      <c r="G13" s="443" t="n">
        <f aca="false">G150*CHOOSE($C$3,$C$143,$D$143,$E$143)</f>
        <v>0.25</v>
      </c>
      <c r="H13" s="443" t="n">
        <f aca="false">H150*CHOOSE($C$3,$C$143,$D$143,$E$143)</f>
        <v>0.2</v>
      </c>
      <c r="I13" s="443" t="n">
        <f aca="false">I150*CHOOSE($C$3,$C$143,$D$143,$E$143)</f>
        <v>0.35</v>
      </c>
      <c r="J13" s="444" t="n">
        <f aca="false">J150*CHOOSE($C$3,$C$143,$D$143,$E$143)</f>
        <v>0.25</v>
      </c>
      <c r="K13" s="445"/>
      <c r="L13" s="446" t="s">
        <v>312</v>
      </c>
    </row>
    <row r="14" customFormat="false" ht="15.75" hidden="false" customHeight="true" outlineLevel="0" collapsed="false">
      <c r="A14" s="453" t="s">
        <v>313</v>
      </c>
      <c r="B14" s="454" t="s">
        <v>314</v>
      </c>
      <c r="C14" s="455" t="n">
        <f aca="false">'Income Statement'!B4</f>
        <v>15055000</v>
      </c>
      <c r="D14" s="455" t="n">
        <f aca="false">'Income Statement'!C4</f>
        <v>24088000</v>
      </c>
      <c r="E14" s="456" t="n">
        <f aca="false">'Income Statement'!D4</f>
        <v>38059040</v>
      </c>
      <c r="F14" s="457" t="n">
        <f aca="false">F12*F10</f>
        <v>51242691.456</v>
      </c>
      <c r="G14" s="457" t="n">
        <f aca="false">G12*G10</f>
        <v>65334431.6064</v>
      </c>
      <c r="H14" s="457" t="n">
        <f aca="false">H12*H10</f>
        <v>79969344.2862336</v>
      </c>
      <c r="I14" s="457" t="n">
        <f aca="false">I12*I10</f>
        <v>110117787.082144</v>
      </c>
      <c r="J14" s="458" t="n">
        <f aca="false">J12*J10</f>
        <v>140400178.529733</v>
      </c>
      <c r="K14" s="459"/>
      <c r="L14" s="460"/>
    </row>
    <row r="15" customFormat="false" ht="15.75" hidden="false" customHeight="true" outlineLevel="0" collapsed="false">
      <c r="A15" s="416"/>
      <c r="B15" s="409"/>
      <c r="C15" s="2"/>
      <c r="D15" s="2"/>
      <c r="E15" s="410"/>
      <c r="F15" s="2"/>
      <c r="G15" s="2"/>
      <c r="H15" s="2"/>
      <c r="I15" s="2"/>
      <c r="J15" s="2"/>
      <c r="K15" s="73"/>
      <c r="L15" s="460"/>
    </row>
    <row r="16" customFormat="false" ht="15.6" hidden="false" customHeight="false" outlineLevel="0" collapsed="false">
      <c r="A16" s="461" t="s">
        <v>315</v>
      </c>
      <c r="B16" s="462"/>
      <c r="C16" s="463"/>
      <c r="D16" s="463"/>
      <c r="E16" s="464"/>
      <c r="F16" s="463"/>
      <c r="G16" s="463"/>
      <c r="H16" s="463"/>
      <c r="I16" s="463"/>
      <c r="J16" s="465"/>
      <c r="K16" s="73"/>
      <c r="L16" s="460"/>
    </row>
    <row r="17" customFormat="false" ht="15.6" hidden="false" customHeight="false" outlineLevel="0" collapsed="false">
      <c r="A17" s="436" t="s">
        <v>316</v>
      </c>
      <c r="B17" s="437" t="s">
        <v>317</v>
      </c>
      <c r="C17" s="2"/>
      <c r="D17" s="2"/>
      <c r="E17" s="466" t="n">
        <v>20000</v>
      </c>
      <c r="F17" s="447" t="n">
        <f aca="false">E17*(1+F18)</f>
        <v>20400</v>
      </c>
      <c r="G17" s="447" t="n">
        <f aca="false">F17*(1+G18)</f>
        <v>20808</v>
      </c>
      <c r="H17" s="447" t="n">
        <f aca="false">G17*(1+H18)</f>
        <v>21224.16</v>
      </c>
      <c r="I17" s="447" t="n">
        <f aca="false">H17*(1+I18)</f>
        <v>21648.6432</v>
      </c>
      <c r="J17" s="449" t="n">
        <f aca="false">I17*(1+J18)</f>
        <v>22081.616064</v>
      </c>
      <c r="K17" s="450"/>
      <c r="L17" s="446" t="s">
        <v>318</v>
      </c>
    </row>
    <row r="18" customFormat="false" ht="15.6" hidden="false" customHeight="false" outlineLevel="0" collapsed="false">
      <c r="A18" s="436" t="s">
        <v>319</v>
      </c>
      <c r="B18" s="437" t="s">
        <v>305</v>
      </c>
      <c r="C18" s="2"/>
      <c r="D18" s="2"/>
      <c r="E18" s="410"/>
      <c r="F18" s="443" t="n">
        <f aca="false">F11</f>
        <v>0.02</v>
      </c>
      <c r="G18" s="443" t="n">
        <f aca="false">G11</f>
        <v>0.02</v>
      </c>
      <c r="H18" s="443" t="n">
        <f aca="false">H11</f>
        <v>0.02</v>
      </c>
      <c r="I18" s="443" t="n">
        <f aca="false">I11</f>
        <v>0.02</v>
      </c>
      <c r="J18" s="444" t="n">
        <f aca="false">J11</f>
        <v>0.02</v>
      </c>
      <c r="K18" s="445"/>
      <c r="L18" s="460"/>
    </row>
    <row r="19" customFormat="false" ht="15.6" hidden="false" customHeight="false" outlineLevel="0" collapsed="false">
      <c r="A19" s="436" t="s">
        <v>320</v>
      </c>
      <c r="B19" s="437" t="s">
        <v>321</v>
      </c>
      <c r="C19" s="447" t="n">
        <f aca="false">C21/$E$17</f>
        <v>151</v>
      </c>
      <c r="D19" s="447" t="n">
        <f aca="false">D21/$E$17</f>
        <v>211.4</v>
      </c>
      <c r="E19" s="448" t="n">
        <f aca="false">E21/$E$17</f>
        <v>294.903</v>
      </c>
      <c r="F19" s="447" t="n">
        <f aca="false">E19*(1+F20)</f>
        <v>359.78166</v>
      </c>
      <c r="G19" s="447" t="n">
        <f aca="false">F19*(1+G20)</f>
        <v>431.737992</v>
      </c>
      <c r="H19" s="447" t="n">
        <f aca="false">G19*(1+H20)</f>
        <v>500.81607072</v>
      </c>
      <c r="I19" s="447" t="n">
        <f aca="false">H19*(1+I20)</f>
        <v>641.0445705216</v>
      </c>
      <c r="J19" s="449" t="n">
        <f aca="false">I19*(1+J20)</f>
        <v>769.25348462592</v>
      </c>
      <c r="K19" s="450"/>
      <c r="L19" s="460"/>
    </row>
    <row r="20" customFormat="false" ht="15.6" hidden="false" customHeight="false" outlineLevel="0" collapsed="false">
      <c r="A20" s="436" t="s">
        <v>322</v>
      </c>
      <c r="B20" s="437" t="s">
        <v>311</v>
      </c>
      <c r="C20" s="2"/>
      <c r="D20" s="443" t="n">
        <f aca="false">D19/C19-1</f>
        <v>0.4</v>
      </c>
      <c r="E20" s="452" t="n">
        <f aca="false">E19/D19-1</f>
        <v>0.395</v>
      </c>
      <c r="F20" s="443" t="n">
        <f aca="false">F151*CHOOSE($C$3,$C$143,$D$143,$E$143)</f>
        <v>0.22</v>
      </c>
      <c r="G20" s="443" t="n">
        <f aca="false">G151*CHOOSE($C$3,$C$143,$D$143,$E$143)</f>
        <v>0.2</v>
      </c>
      <c r="H20" s="443" t="n">
        <f aca="false">H151*CHOOSE($C$3,$C$143,$D$143,$E$143)</f>
        <v>0.16</v>
      </c>
      <c r="I20" s="443" t="n">
        <f aca="false">I151*CHOOSE($C$3,$C$143,$D$143,$E$143)</f>
        <v>0.28</v>
      </c>
      <c r="J20" s="444" t="n">
        <f aca="false">J151*CHOOSE($C$3,$C$143,$D$143,$E$143)</f>
        <v>0.2</v>
      </c>
      <c r="K20" s="445"/>
      <c r="L20" s="446" t="s">
        <v>323</v>
      </c>
    </row>
    <row r="21" customFormat="false" ht="15.75" hidden="false" customHeight="true" outlineLevel="0" collapsed="false">
      <c r="A21" s="453" t="s">
        <v>324</v>
      </c>
      <c r="B21" s="454" t="s">
        <v>314</v>
      </c>
      <c r="C21" s="455" t="n">
        <f aca="false">'Income Statement'!B5</f>
        <v>3020000</v>
      </c>
      <c r="D21" s="455" t="n">
        <f aca="false">'Income Statement'!C5</f>
        <v>4228000</v>
      </c>
      <c r="E21" s="456" t="n">
        <f aca="false">'Income Statement'!D5</f>
        <v>5898060</v>
      </c>
      <c r="F21" s="457" t="n">
        <f aca="false">F19*F17</f>
        <v>7339545.864</v>
      </c>
      <c r="G21" s="457" t="n">
        <f aca="false">G19*G17</f>
        <v>8983604.137536</v>
      </c>
      <c r="H21" s="457" t="n">
        <f aca="false">H19*H17</f>
        <v>10629400.4155326</v>
      </c>
      <c r="I21" s="457" t="n">
        <f aca="false">I19*I17</f>
        <v>13877745.1825194</v>
      </c>
      <c r="J21" s="458" t="n">
        <f aca="false">J19*J17</f>
        <v>16986360.1034037</v>
      </c>
      <c r="K21" s="459"/>
      <c r="L21" s="460"/>
    </row>
    <row r="22" customFormat="false" ht="15.75" hidden="false" customHeight="true" outlineLevel="0" collapsed="false">
      <c r="A22" s="416"/>
      <c r="B22" s="409"/>
      <c r="C22" s="2"/>
      <c r="D22" s="2"/>
      <c r="E22" s="410"/>
      <c r="F22" s="2"/>
      <c r="G22" s="2"/>
      <c r="H22" s="2"/>
      <c r="I22" s="2"/>
      <c r="J22" s="2"/>
      <c r="K22" s="73"/>
      <c r="L22" s="460"/>
    </row>
    <row r="23" customFormat="false" ht="15.6" hidden="false" customHeight="false" outlineLevel="0" collapsed="false">
      <c r="A23" s="461" t="s">
        <v>325</v>
      </c>
      <c r="B23" s="462"/>
      <c r="C23" s="463"/>
      <c r="D23" s="463"/>
      <c r="E23" s="464"/>
      <c r="F23" s="463"/>
      <c r="G23" s="463"/>
      <c r="H23" s="463"/>
      <c r="I23" s="463"/>
      <c r="J23" s="465"/>
      <c r="K23" s="73"/>
      <c r="L23" s="460"/>
    </row>
    <row r="24" customFormat="false" ht="15.6" hidden="false" customHeight="false" outlineLevel="0" collapsed="false">
      <c r="A24" s="436" t="s">
        <v>326</v>
      </c>
      <c r="B24" s="437" t="s">
        <v>327</v>
      </c>
      <c r="C24" s="2"/>
      <c r="D24" s="2"/>
      <c r="E24" s="438" t="n">
        <v>22.5</v>
      </c>
      <c r="F24" s="439" t="n">
        <f aca="false">E24*(1+F25)</f>
        <v>22.8375</v>
      </c>
      <c r="G24" s="439" t="n">
        <f aca="false">F24*(1+G25)</f>
        <v>23.1800625</v>
      </c>
      <c r="H24" s="439" t="n">
        <f aca="false">G24*(1+H25)</f>
        <v>23.5277634375</v>
      </c>
      <c r="I24" s="439" t="n">
        <f aca="false">H24*(1+I25)</f>
        <v>23.8806798890625</v>
      </c>
      <c r="J24" s="440" t="n">
        <f aca="false">I24*(1+J25)</f>
        <v>24.2388900873984</v>
      </c>
      <c r="K24" s="441"/>
      <c r="L24" s="446" t="s">
        <v>328</v>
      </c>
    </row>
    <row r="25" customFormat="false" ht="15.6" hidden="false" customHeight="false" outlineLevel="0" collapsed="false">
      <c r="A25" s="436" t="s">
        <v>319</v>
      </c>
      <c r="B25" s="437" t="s">
        <v>305</v>
      </c>
      <c r="C25" s="2"/>
      <c r="D25" s="2"/>
      <c r="E25" s="410"/>
      <c r="F25" s="443" t="n">
        <f aca="false">CHOOSE($C$3,$C$145,$D$145,$E$145)</f>
        <v>0.015</v>
      </c>
      <c r="G25" s="443" t="n">
        <f aca="false">CHOOSE($C$3,$C$145,$D$145,$E$145)</f>
        <v>0.015</v>
      </c>
      <c r="H25" s="443" t="n">
        <f aca="false">CHOOSE($C$3,$C$145,$D$145,$E$145)</f>
        <v>0.015</v>
      </c>
      <c r="I25" s="443" t="n">
        <f aca="false">CHOOSE($C$3,$C$145,$D$145,$E$145)</f>
        <v>0.015</v>
      </c>
      <c r="J25" s="444" t="n">
        <f aca="false">CHOOSE($C$3,$C$145,$D$145,$E$145)</f>
        <v>0.015</v>
      </c>
      <c r="K25" s="445"/>
      <c r="L25" s="446" t="s">
        <v>329</v>
      </c>
    </row>
    <row r="26" customFormat="false" ht="15.6" hidden="false" customHeight="false" outlineLevel="0" collapsed="false">
      <c r="A26" s="436" t="s">
        <v>330</v>
      </c>
      <c r="B26" s="437" t="s">
        <v>331</v>
      </c>
      <c r="C26" s="447" t="n">
        <f aca="false">C28/$E$24</f>
        <v>67555.5555555556</v>
      </c>
      <c r="D26" s="447" t="n">
        <f aca="false">D28/$E$24</f>
        <v>101333.333333333</v>
      </c>
      <c r="E26" s="448" t="n">
        <f aca="false">E28/$E$24</f>
        <v>121600</v>
      </c>
      <c r="F26" s="447" t="n">
        <f aca="false">E26*(1+F27)</f>
        <v>158080</v>
      </c>
      <c r="G26" s="447" t="n">
        <f aca="false">F26*(1+G27)</f>
        <v>205504</v>
      </c>
      <c r="H26" s="447" t="n">
        <f aca="false">G26*(1+H27)</f>
        <v>263045.12</v>
      </c>
      <c r="I26" s="447" t="n">
        <f aca="false">H26*(1+I27)</f>
        <v>368263.168</v>
      </c>
      <c r="J26" s="449" t="n">
        <f aca="false">I26*(1+J27)</f>
        <v>486107.38176</v>
      </c>
      <c r="K26" s="450"/>
      <c r="L26" s="460"/>
    </row>
    <row r="27" customFormat="false" ht="15.6" hidden="false" customHeight="false" outlineLevel="0" collapsed="false">
      <c r="A27" s="436" t="s">
        <v>332</v>
      </c>
      <c r="B27" s="437" t="s">
        <v>311</v>
      </c>
      <c r="C27" s="2"/>
      <c r="D27" s="443" t="n">
        <f aca="false">D26/C26-1</f>
        <v>0.5</v>
      </c>
      <c r="E27" s="452" t="n">
        <f aca="false">E26/D26-1</f>
        <v>0.2</v>
      </c>
      <c r="F27" s="443" t="n">
        <f aca="false">F152*CHOOSE($C$3,$C$143,$D$143,$E$143)</f>
        <v>0.3</v>
      </c>
      <c r="G27" s="443" t="n">
        <f aca="false">G152*CHOOSE($C$3,$C$143,$D$143,$E$143)</f>
        <v>0.3</v>
      </c>
      <c r="H27" s="443" t="n">
        <f aca="false">H152*CHOOSE($C$3,$C$143,$D$143,$E$143)</f>
        <v>0.28</v>
      </c>
      <c r="I27" s="443" t="n">
        <f aca="false">I152*CHOOSE($C$3,$C$143,$D$143,$E$143)</f>
        <v>0.4</v>
      </c>
      <c r="J27" s="444" t="n">
        <f aca="false">J152*CHOOSE($C$3,$C$143,$D$143,$E$143)</f>
        <v>0.32</v>
      </c>
      <c r="K27" s="445"/>
      <c r="L27" s="446" t="s">
        <v>333</v>
      </c>
    </row>
    <row r="28" customFormat="false" ht="15.75" hidden="false" customHeight="true" outlineLevel="0" collapsed="false">
      <c r="A28" s="453" t="s">
        <v>334</v>
      </c>
      <c r="B28" s="454" t="s">
        <v>314</v>
      </c>
      <c r="C28" s="455" t="n">
        <f aca="false">'Income Statement'!B6</f>
        <v>1520000</v>
      </c>
      <c r="D28" s="455" t="n">
        <f aca="false">'Income Statement'!C6</f>
        <v>2280000</v>
      </c>
      <c r="E28" s="456" t="n">
        <f aca="false">'Income Statement'!D6</f>
        <v>2736000</v>
      </c>
      <c r="F28" s="457" t="n">
        <f aca="false">F26*F24</f>
        <v>3610152</v>
      </c>
      <c r="G28" s="457" t="n">
        <f aca="false">G26*G24</f>
        <v>4763595.564</v>
      </c>
      <c r="H28" s="457" t="n">
        <f aca="false">H26*H24</f>
        <v>6188863.3567488</v>
      </c>
      <c r="I28" s="457" t="n">
        <f aca="false">I26*I24</f>
        <v>8794374.82994004</v>
      </c>
      <c r="J28" s="458" t="n">
        <f aca="false">J26*J24</f>
        <v>11782703.3971537</v>
      </c>
      <c r="K28" s="459"/>
      <c r="L28" s="460"/>
    </row>
    <row r="29" customFormat="false" ht="15.75" hidden="false" customHeight="true" outlineLevel="0" collapsed="false">
      <c r="A29" s="416"/>
      <c r="B29" s="409"/>
      <c r="C29" s="2"/>
      <c r="D29" s="2"/>
      <c r="E29" s="410"/>
      <c r="F29" s="2"/>
      <c r="G29" s="2"/>
      <c r="H29" s="2"/>
      <c r="I29" s="2"/>
      <c r="J29" s="2"/>
      <c r="K29" s="73"/>
      <c r="L29" s="460"/>
    </row>
    <row r="30" customFormat="false" ht="15.6" hidden="false" customHeight="false" outlineLevel="0" collapsed="false">
      <c r="A30" s="461" t="s">
        <v>335</v>
      </c>
      <c r="B30" s="462"/>
      <c r="C30" s="463"/>
      <c r="D30" s="463"/>
      <c r="E30" s="464"/>
      <c r="F30" s="463"/>
      <c r="G30" s="463"/>
      <c r="H30" s="463"/>
      <c r="I30" s="463"/>
      <c r="J30" s="465"/>
      <c r="K30" s="73"/>
      <c r="L30" s="460"/>
    </row>
    <row r="31" customFormat="false" ht="15.6" hidden="false" customHeight="false" outlineLevel="0" collapsed="false">
      <c r="A31" s="436" t="s">
        <v>326</v>
      </c>
      <c r="B31" s="437" t="s">
        <v>327</v>
      </c>
      <c r="C31" s="2"/>
      <c r="D31" s="2"/>
      <c r="E31" s="438" t="n">
        <v>40</v>
      </c>
      <c r="F31" s="439" t="n">
        <f aca="false">E31*(1+F32)</f>
        <v>40.6</v>
      </c>
      <c r="G31" s="439" t="n">
        <f aca="false">F31*(1+G32)</f>
        <v>41.209</v>
      </c>
      <c r="H31" s="439" t="n">
        <f aca="false">G31*(1+H32)</f>
        <v>41.827135</v>
      </c>
      <c r="I31" s="439" t="n">
        <f aca="false">H31*(1+I32)</f>
        <v>42.454542025</v>
      </c>
      <c r="J31" s="440" t="n">
        <f aca="false">I31*(1+J32)</f>
        <v>43.091360155375</v>
      </c>
      <c r="K31" s="441"/>
      <c r="L31" s="446" t="s">
        <v>336</v>
      </c>
    </row>
    <row r="32" customFormat="false" ht="15.6" hidden="false" customHeight="false" outlineLevel="0" collapsed="false">
      <c r="A32" s="436" t="s">
        <v>319</v>
      </c>
      <c r="B32" s="437" t="s">
        <v>305</v>
      </c>
      <c r="C32" s="2"/>
      <c r="D32" s="2"/>
      <c r="E32" s="410"/>
      <c r="F32" s="443" t="n">
        <f aca="false">F25</f>
        <v>0.015</v>
      </c>
      <c r="G32" s="443" t="n">
        <f aca="false">G25</f>
        <v>0.015</v>
      </c>
      <c r="H32" s="443" t="n">
        <f aca="false">H25</f>
        <v>0.015</v>
      </c>
      <c r="I32" s="443" t="n">
        <f aca="false">I25</f>
        <v>0.015</v>
      </c>
      <c r="J32" s="444" t="n">
        <f aca="false">J25</f>
        <v>0.015</v>
      </c>
      <c r="K32" s="445"/>
      <c r="L32" s="460"/>
    </row>
    <row r="33" customFormat="false" ht="15.6" hidden="false" customHeight="false" outlineLevel="0" collapsed="false">
      <c r="A33" s="436" t="s">
        <v>330</v>
      </c>
      <c r="B33" s="437" t="s">
        <v>331</v>
      </c>
      <c r="C33" s="447" t="n">
        <f aca="false">C35/$E$31</f>
        <v>0</v>
      </c>
      <c r="D33" s="447" t="n">
        <f aca="false">D35/$E$31</f>
        <v>14150</v>
      </c>
      <c r="E33" s="448" t="n">
        <f aca="false">E35/$E$31</f>
        <v>29715</v>
      </c>
      <c r="F33" s="447" t="n">
        <f aca="false">E33*(1+F34)</f>
        <v>47544</v>
      </c>
      <c r="G33" s="447" t="n">
        <f aca="false">F33*(1+G34)</f>
        <v>71316</v>
      </c>
      <c r="H33" s="447" t="n">
        <f aca="false">G33*(1+H34)</f>
        <v>103408.2</v>
      </c>
      <c r="I33" s="447" t="n">
        <f aca="false">H33*(1+I34)</f>
        <v>175793.94</v>
      </c>
      <c r="J33" s="449" t="n">
        <f aca="false">I33*(1+J34)</f>
        <v>254901.213</v>
      </c>
      <c r="K33" s="450"/>
      <c r="L33" s="460"/>
    </row>
    <row r="34" customFormat="false" ht="15.6" hidden="false" customHeight="false" outlineLevel="0" collapsed="false">
      <c r="A34" s="436" t="s">
        <v>332</v>
      </c>
      <c r="B34" s="437" t="s">
        <v>311</v>
      </c>
      <c r="C34" s="2"/>
      <c r="D34" s="2"/>
      <c r="E34" s="452" t="n">
        <f aca="false">E33/D33-1</f>
        <v>1.1</v>
      </c>
      <c r="F34" s="443" t="n">
        <f aca="false">F153*CHOOSE($C$3,$C$143,$D$143,$E$143)</f>
        <v>0.6</v>
      </c>
      <c r="G34" s="443" t="n">
        <f aca="false">G153*CHOOSE($C$3,$C$143,$D$143,$E$143)</f>
        <v>0.5</v>
      </c>
      <c r="H34" s="443" t="n">
        <f aca="false">H153*CHOOSE($C$3,$C$143,$D$143,$E$143)</f>
        <v>0.45</v>
      </c>
      <c r="I34" s="443" t="n">
        <f aca="false">I153*CHOOSE($C$3,$C$143,$D$143,$E$143)</f>
        <v>0.7</v>
      </c>
      <c r="J34" s="444" t="n">
        <f aca="false">J153*CHOOSE($C$3,$C$143,$D$143,$E$143)</f>
        <v>0.45</v>
      </c>
      <c r="K34" s="445"/>
      <c r="L34" s="446" t="s">
        <v>337</v>
      </c>
    </row>
    <row r="35" customFormat="false" ht="15.75" hidden="false" customHeight="true" outlineLevel="0" collapsed="false">
      <c r="A35" s="453" t="s">
        <v>338</v>
      </c>
      <c r="B35" s="454" t="s">
        <v>314</v>
      </c>
      <c r="C35" s="455" t="n">
        <f aca="false">'Income Statement'!B7</f>
        <v>0</v>
      </c>
      <c r="D35" s="455" t="n">
        <f aca="false">'Income Statement'!C7</f>
        <v>566000</v>
      </c>
      <c r="E35" s="456" t="n">
        <f aca="false">'Income Statement'!D7</f>
        <v>1188600</v>
      </c>
      <c r="F35" s="457" t="n">
        <f aca="false">F33*F31</f>
        <v>1930286.4</v>
      </c>
      <c r="G35" s="457" t="n">
        <f aca="false">G33*G31</f>
        <v>2938861.044</v>
      </c>
      <c r="H35" s="457" t="n">
        <f aca="false">H33*H31</f>
        <v>4325268.741507</v>
      </c>
      <c r="I35" s="457" t="n">
        <f aca="false">I33*I31</f>
        <v>7463251.21347033</v>
      </c>
      <c r="J35" s="458" t="n">
        <f aca="false">J33*J31</f>
        <v>10984039.973425</v>
      </c>
      <c r="K35" s="459"/>
      <c r="L35" s="460"/>
    </row>
    <row r="36" customFormat="false" ht="15.75" hidden="false" customHeight="true" outlineLevel="0" collapsed="false">
      <c r="A36" s="467"/>
      <c r="B36" s="437"/>
      <c r="C36" s="468"/>
      <c r="D36" s="468"/>
      <c r="E36" s="468"/>
      <c r="F36" s="469"/>
      <c r="G36" s="469"/>
      <c r="H36" s="469"/>
      <c r="I36" s="469"/>
      <c r="J36" s="469"/>
      <c r="K36" s="459"/>
      <c r="L36" s="460"/>
    </row>
    <row r="37" s="407" customFormat="true" ht="15.6" hidden="false" customHeight="false" outlineLevel="0" collapsed="false">
      <c r="A37" s="470" t="s">
        <v>339</v>
      </c>
      <c r="B37" s="471" t="s">
        <v>314</v>
      </c>
      <c r="C37" s="472" t="n">
        <f aca="false">SUM(C14,C21,C28,C35)</f>
        <v>19595000</v>
      </c>
      <c r="D37" s="472" t="n">
        <f aca="false">SUM(D14,D21,D28,D35)</f>
        <v>31162000</v>
      </c>
      <c r="E37" s="472" t="n">
        <f aca="false">SUM(E14,E21,E28,E35)</f>
        <v>47881700</v>
      </c>
      <c r="F37" s="472" t="n">
        <f aca="false">SUM(F14,F21,F28,F35)</f>
        <v>64122675.72</v>
      </c>
      <c r="G37" s="472" t="n">
        <f aca="false">SUM(G14,G21,G28,G35)</f>
        <v>82020492.351936</v>
      </c>
      <c r="H37" s="472" t="n">
        <f aca="false">SUM(H14,H21,H28,H35)</f>
        <v>101112876.800022</v>
      </c>
      <c r="I37" s="472" t="n">
        <f aca="false">SUM(I14,I21,I28,I35)</f>
        <v>140253158.308073</v>
      </c>
      <c r="J37" s="473" t="n">
        <f aca="false">SUM(J14,J21,J28,J35)</f>
        <v>180153282.003716</v>
      </c>
      <c r="K37" s="459"/>
      <c r="L37" s="474"/>
    </row>
    <row r="38" customFormat="false" ht="15.6" hidden="false" customHeight="false" outlineLevel="0" collapsed="false">
      <c r="A38" s="436" t="s">
        <v>340</v>
      </c>
      <c r="B38" s="437" t="s">
        <v>311</v>
      </c>
      <c r="C38" s="475" t="n">
        <f aca="false">-'Income Statement'!B9/C37</f>
        <v>0.008</v>
      </c>
      <c r="D38" s="475" t="n">
        <f aca="false">-'Income Statement'!C9/D37</f>
        <v>0.0075</v>
      </c>
      <c r="E38" s="475" t="n">
        <f aca="false">-'Income Statement'!D9/E37</f>
        <v>0.007</v>
      </c>
      <c r="F38" s="476" t="n">
        <v>0.007</v>
      </c>
      <c r="G38" s="476" t="n">
        <v>0.007</v>
      </c>
      <c r="H38" s="476" t="n">
        <v>0.007</v>
      </c>
      <c r="I38" s="476" t="n">
        <v>0.007</v>
      </c>
      <c r="J38" s="477" t="n">
        <v>0.007</v>
      </c>
      <c r="K38" s="371"/>
      <c r="L38" s="446" t="s">
        <v>341</v>
      </c>
    </row>
    <row r="39" s="407" customFormat="true" ht="15.6" hidden="false" customHeight="false" outlineLevel="0" collapsed="false">
      <c r="A39" s="478" t="s">
        <v>91</v>
      </c>
      <c r="B39" s="479" t="s">
        <v>314</v>
      </c>
      <c r="C39" s="480" t="n">
        <f aca="false">'Income Statement'!B11</f>
        <v>19438240</v>
      </c>
      <c r="D39" s="480" t="n">
        <f aca="false">'Income Statement'!C11</f>
        <v>30928285</v>
      </c>
      <c r="E39" s="480" t="n">
        <f aca="false">'Income Statement'!D11</f>
        <v>47546528.1</v>
      </c>
      <c r="F39" s="459" t="n">
        <f aca="false">F37*(1-F38)</f>
        <v>63673816.98996</v>
      </c>
      <c r="G39" s="459" t="n">
        <f aca="false">G37*(1-G38)</f>
        <v>81446348.9054724</v>
      </c>
      <c r="H39" s="459" t="n">
        <f aca="false">H37*(1-H38)</f>
        <v>100405086.662422</v>
      </c>
      <c r="I39" s="459" t="n">
        <f aca="false">I37*(1-I38)</f>
        <v>139271386.199917</v>
      </c>
      <c r="J39" s="481" t="n">
        <f aca="false">J37*(1-J38)</f>
        <v>178892209.02969</v>
      </c>
      <c r="K39" s="459"/>
      <c r="L39" s="474"/>
    </row>
    <row r="40" customFormat="false" ht="15.6" hidden="false" customHeight="false" outlineLevel="0" collapsed="false">
      <c r="A40" s="467" t="s">
        <v>342</v>
      </c>
      <c r="B40" s="437" t="s">
        <v>311</v>
      </c>
      <c r="C40" s="2"/>
      <c r="D40" s="482" t="n">
        <f aca="false">D39/C39-1</f>
        <v>0.591105213229181</v>
      </c>
      <c r="E40" s="482" t="n">
        <f aca="false">E39/D39-1</f>
        <v>0.537315376523464</v>
      </c>
      <c r="F40" s="482" t="n">
        <f aca="false">F39/E39-1</f>
        <v>0.339189621922363</v>
      </c>
      <c r="G40" s="482" t="n">
        <f aca="false">G39/F39-1</f>
        <v>0.279118368517389</v>
      </c>
      <c r="H40" s="482" t="n">
        <f aca="false">H39/G39-1</f>
        <v>0.232775784448645</v>
      </c>
      <c r="I40" s="482" t="n">
        <f aca="false">I39/H39-1</f>
        <v>0.387094925460996</v>
      </c>
      <c r="J40" s="483" t="n">
        <f aca="false">J39/I39-1</f>
        <v>0.284486454187359</v>
      </c>
      <c r="K40" s="484"/>
      <c r="L40" s="460"/>
    </row>
    <row r="41" customFormat="false" ht="15.75" hidden="false" customHeight="true" outlineLevel="0" collapsed="false">
      <c r="A41" s="485" t="s">
        <v>343</v>
      </c>
      <c r="B41" s="454" t="s">
        <v>311</v>
      </c>
      <c r="C41" s="486" t="n">
        <f aca="false">C14/C37</f>
        <v>0.768308241898444</v>
      </c>
      <c r="D41" s="486" t="n">
        <f aca="false">D14/D37</f>
        <v>0.772992747577177</v>
      </c>
      <c r="E41" s="486" t="n">
        <f aca="false">E14/E37</f>
        <v>0.794855654665561</v>
      </c>
      <c r="F41" s="486" t="n">
        <f aca="false">F14/F37</f>
        <v>0.799135265031015</v>
      </c>
      <c r="G41" s="486" t="n">
        <f aca="false">G14/G37</f>
        <v>0.796562294774592</v>
      </c>
      <c r="H41" s="486" t="n">
        <f aca="false">H14/H37</f>
        <v>0.790891791600338</v>
      </c>
      <c r="I41" s="486" t="n">
        <f aca="false">I14/I37</f>
        <v>0.785135881505529</v>
      </c>
      <c r="J41" s="487" t="n">
        <f aca="false">J14/J37</f>
        <v>0.779337334119939</v>
      </c>
      <c r="K41" s="445"/>
      <c r="L41" s="460"/>
    </row>
    <row r="42" customFormat="false" ht="15.75" hidden="false" customHeight="true" outlineLevel="0" collapsed="false">
      <c r="A42" s="416"/>
      <c r="B42" s="409"/>
      <c r="C42" s="2"/>
      <c r="D42" s="2"/>
      <c r="E42" s="410"/>
      <c r="F42" s="2"/>
      <c r="G42" s="2"/>
      <c r="H42" s="2"/>
      <c r="I42" s="2"/>
      <c r="J42" s="2"/>
      <c r="K42" s="73"/>
      <c r="L42" s="460"/>
    </row>
    <row r="43" customFormat="false" ht="15.6" hidden="false" customHeight="false" outlineLevel="0" collapsed="false">
      <c r="A43" s="461" t="s">
        <v>344</v>
      </c>
      <c r="B43" s="462"/>
      <c r="C43" s="463"/>
      <c r="D43" s="463"/>
      <c r="E43" s="464"/>
      <c r="F43" s="463"/>
      <c r="G43" s="463"/>
      <c r="H43" s="463"/>
      <c r="I43" s="463"/>
      <c r="J43" s="465"/>
      <c r="K43" s="73"/>
      <c r="L43" s="460"/>
    </row>
    <row r="44" customFormat="false" ht="15.6" hidden="false" customHeight="false" outlineLevel="0" collapsed="false">
      <c r="A44" s="436" t="s">
        <v>345</v>
      </c>
      <c r="B44" s="437" t="s">
        <v>314</v>
      </c>
      <c r="C44" s="447" t="n">
        <f aca="false">SUM('Balance Sheet'!C27:C29,C97)/2</f>
        <v>17289500</v>
      </c>
      <c r="D44" s="447" t="n">
        <f aca="false">SUM(C97:D97)/2</f>
        <v>22946800</v>
      </c>
      <c r="E44" s="448" t="n">
        <f aca="false">SUM(D97:E97)/2</f>
        <v>28641860</v>
      </c>
      <c r="F44" s="447" t="n">
        <f aca="false">SUM(E97:F97)/2</f>
        <v>37551501.698996</v>
      </c>
      <c r="G44" s="447" t="n">
        <f aca="false">SUM(F97:G97)/2</f>
        <v>50027359.5659024</v>
      </c>
      <c r="H44" s="447" t="n">
        <f aca="false">SUM(G97:H97)/2</f>
        <v>88767488.8991</v>
      </c>
      <c r="I44" s="447" t="n">
        <f aca="false">SUM(H97:I97)/2</f>
        <v>129755425.236382</v>
      </c>
      <c r="J44" s="449" t="n">
        <f aca="false">SUM(I97:J97)/2</f>
        <v>147056318.859862</v>
      </c>
      <c r="K44" s="450"/>
      <c r="L44" s="460"/>
    </row>
    <row r="45" customFormat="false" ht="15.6" hidden="false" customHeight="false" outlineLevel="0" collapsed="false">
      <c r="A45" s="436" t="s">
        <v>346</v>
      </c>
      <c r="B45" s="437" t="s">
        <v>347</v>
      </c>
      <c r="C45" s="488" t="n">
        <f aca="false">C39/C44</f>
        <v>1.12428005436826</v>
      </c>
      <c r="D45" s="488" t="n">
        <f aca="false">D39/D44</f>
        <v>1.34782562274478</v>
      </c>
      <c r="E45" s="489" t="n">
        <f aca="false">E39/E44</f>
        <v>1.66003632794798</v>
      </c>
      <c r="F45" s="488" t="n">
        <f aca="false">F39/F44</f>
        <v>1.69563969772379</v>
      </c>
      <c r="G45" s="488" t="n">
        <f aca="false">G39/G44</f>
        <v>1.62803613087317</v>
      </c>
      <c r="H45" s="488" t="n">
        <f aca="false">H39/H44</f>
        <v>1.13110202741625</v>
      </c>
      <c r="I45" s="488" t="n">
        <f aca="false">I39/I44</f>
        <v>1.07333767313543</v>
      </c>
      <c r="J45" s="490" t="n">
        <f aca="false">J39/J44</f>
        <v>1.21648774032054</v>
      </c>
      <c r="K45" s="491"/>
      <c r="L45" s="451" t="s">
        <v>348</v>
      </c>
    </row>
    <row r="46" customFormat="false" ht="15.6" hidden="false" customHeight="false" outlineLevel="0" collapsed="false">
      <c r="A46" s="436" t="s">
        <v>349</v>
      </c>
      <c r="B46" s="437" t="s">
        <v>350</v>
      </c>
      <c r="C46" s="2"/>
      <c r="D46" s="2"/>
      <c r="E46" s="466" t="n">
        <v>26000</v>
      </c>
      <c r="F46" s="492" t="n">
        <v>26300</v>
      </c>
      <c r="G46" s="447" t="n">
        <f aca="false">F46*(1+0.02)</f>
        <v>26826</v>
      </c>
      <c r="H46" s="447" t="n">
        <f aca="false">G46*(1+0.02)</f>
        <v>27362.52</v>
      </c>
      <c r="I46" s="447" t="n">
        <f aca="false">H46*(1+0.02)</f>
        <v>27909.7704</v>
      </c>
      <c r="J46" s="449" t="n">
        <f aca="false">I46*(1+0.02)</f>
        <v>28467.965808</v>
      </c>
      <c r="K46" s="450"/>
      <c r="L46" s="446" t="s">
        <v>351</v>
      </c>
    </row>
    <row r="47" customFormat="false" ht="15.6" hidden="false" customHeight="false" outlineLevel="0" collapsed="false">
      <c r="A47" s="436" t="s">
        <v>352</v>
      </c>
      <c r="B47" s="437" t="s">
        <v>353</v>
      </c>
      <c r="C47" s="2"/>
      <c r="D47" s="2"/>
      <c r="E47" s="493" t="n">
        <f aca="false">E14*1000/E46/1000000</f>
        <v>1.46380923076923</v>
      </c>
      <c r="F47" s="439" t="n">
        <f aca="false">F14*1000/F46/1000000</f>
        <v>1.94839131011407</v>
      </c>
      <c r="G47" s="439" t="n">
        <f aca="false">G14*1000/G46/1000000</f>
        <v>2.43548913764259</v>
      </c>
      <c r="H47" s="439" t="n">
        <f aca="false">H14*1000/H46/1000000</f>
        <v>2.9225869651711</v>
      </c>
      <c r="I47" s="439" t="n">
        <f aca="false">I14*1000/I46/1000000</f>
        <v>3.94549240298099</v>
      </c>
      <c r="J47" s="440" t="n">
        <f aca="false">J14*1000/J46/1000000</f>
        <v>4.93186550372624</v>
      </c>
      <c r="K47" s="441"/>
      <c r="L47" s="460"/>
    </row>
    <row r="48" customFormat="false" ht="15.6" hidden="false" customHeight="false" outlineLevel="0" collapsed="false">
      <c r="A48" s="436" t="s">
        <v>354</v>
      </c>
      <c r="B48" s="437" t="s">
        <v>353</v>
      </c>
      <c r="C48" s="2"/>
      <c r="D48" s="2"/>
      <c r="E48" s="438" t="n">
        <v>33.93</v>
      </c>
      <c r="F48" s="439" t="n">
        <f aca="false">E48*(1+0.0473)</f>
        <v>35.534889</v>
      </c>
      <c r="G48" s="439" t="n">
        <f aca="false">F48*(1+0.0473)</f>
        <v>37.2156892497</v>
      </c>
      <c r="H48" s="439" t="n">
        <f aca="false">G48*(1+0.0473)</f>
        <v>38.9759913512108</v>
      </c>
      <c r="I48" s="439" t="n">
        <f aca="false">H48*(1+0.0473)</f>
        <v>40.8195557421231</v>
      </c>
      <c r="J48" s="440" t="n">
        <f aca="false">I48*(1+0.0473)</f>
        <v>42.7503207287255</v>
      </c>
      <c r="K48" s="441"/>
      <c r="L48" s="446" t="s">
        <v>355</v>
      </c>
    </row>
    <row r="49" customFormat="false" ht="29.85" hidden="false" customHeight="false" outlineLevel="0" collapsed="false">
      <c r="A49" s="436" t="s">
        <v>356</v>
      </c>
      <c r="B49" s="437" t="s">
        <v>311</v>
      </c>
      <c r="C49" s="2"/>
      <c r="D49" s="2"/>
      <c r="E49" s="452" t="n">
        <f aca="false">E47/E48</f>
        <v>0.0431420345054297</v>
      </c>
      <c r="F49" s="443" t="n">
        <f aca="false">F47/F48</f>
        <v>0.05483037558142</v>
      </c>
      <c r="G49" s="443" t="n">
        <f aca="false">G47/G48</f>
        <v>0.0654425374551465</v>
      </c>
      <c r="H49" s="443" t="n">
        <f aca="false">H47/H48</f>
        <v>0.0749842881181857</v>
      </c>
      <c r="I49" s="443" t="n">
        <f aca="false">I47/I48</f>
        <v>0.0966569167951405</v>
      </c>
      <c r="J49" s="444" t="n">
        <f aca="false">J47/J48</f>
        <v>0.115364409427982</v>
      </c>
      <c r="K49" s="445"/>
      <c r="L49" s="451" t="s">
        <v>357</v>
      </c>
    </row>
    <row r="50" customFormat="false" ht="15.6" hidden="false" customHeight="false" outlineLevel="0" collapsed="false">
      <c r="A50" s="436" t="s">
        <v>358</v>
      </c>
      <c r="B50" s="437" t="s">
        <v>353</v>
      </c>
      <c r="C50" s="2"/>
      <c r="D50" s="2"/>
      <c r="E50" s="494" t="n">
        <v>1129.79</v>
      </c>
      <c r="F50" s="495" t="n">
        <f aca="false">E50*(1+0.0415)</f>
        <v>1176.676285</v>
      </c>
      <c r="G50" s="495" t="n">
        <f aca="false">F50*(1+0.0415)</f>
        <v>1225.5083508275</v>
      </c>
      <c r="H50" s="495" t="n">
        <f aca="false">G50*(1+0.0415)</f>
        <v>1276.36694738684</v>
      </c>
      <c r="I50" s="495" t="n">
        <f aca="false">H50*(1+0.0415)</f>
        <v>1329.3361757034</v>
      </c>
      <c r="J50" s="496" t="n">
        <f aca="false">I50*(1+0.0415)</f>
        <v>1384.50362699509</v>
      </c>
      <c r="K50" s="497"/>
      <c r="L50" s="446" t="s">
        <v>359</v>
      </c>
    </row>
    <row r="51" customFormat="false" ht="15.75" hidden="false" customHeight="true" outlineLevel="0" collapsed="false">
      <c r="A51" s="485" t="s">
        <v>360</v>
      </c>
      <c r="B51" s="454" t="s">
        <v>311</v>
      </c>
      <c r="C51" s="498"/>
      <c r="D51" s="498"/>
      <c r="E51" s="499" t="n">
        <f aca="false">(E39*1000/E46/1000000)/E50</f>
        <v>0.00161863055898067</v>
      </c>
      <c r="F51" s="500" t="n">
        <f aca="false">(F39*1000/F46/1000000)/F50</f>
        <v>0.00205753928339485</v>
      </c>
      <c r="G51" s="500" t="n">
        <f aca="false">(G39*1000/G46/1000000)/G50</f>
        <v>0.0024774187788507</v>
      </c>
      <c r="H51" s="500" t="n">
        <f aca="false">(H39*1000/H46/1000000)/H50</f>
        <v>0.00287490881223864</v>
      </c>
      <c r="I51" s="500" t="n">
        <f aca="false">(I39*1000/I46/1000000)/I50</f>
        <v>0.00375379724249462</v>
      </c>
      <c r="J51" s="501" t="n">
        <f aca="false">(J39*1000/J46/1000000)/J50</f>
        <v>0.00453879840515678</v>
      </c>
      <c r="K51" s="502"/>
      <c r="L51" s="460"/>
    </row>
    <row r="52" customFormat="false" ht="15.75" hidden="false" customHeight="true" outlineLevel="0" collapsed="false">
      <c r="A52" s="416"/>
      <c r="B52" s="409"/>
      <c r="C52" s="2"/>
      <c r="D52" s="2"/>
      <c r="E52" s="410"/>
      <c r="F52" s="2"/>
      <c r="G52" s="2"/>
      <c r="H52" s="2"/>
      <c r="I52" s="2"/>
      <c r="J52" s="2"/>
      <c r="K52" s="73"/>
      <c r="L52" s="460"/>
    </row>
    <row r="53" customFormat="false" ht="15.75" hidden="false" customHeight="true" outlineLevel="0" collapsed="false">
      <c r="A53" s="429" t="s">
        <v>361</v>
      </c>
      <c r="B53" s="430"/>
      <c r="C53" s="431"/>
      <c r="D53" s="431"/>
      <c r="E53" s="432"/>
      <c r="F53" s="431"/>
      <c r="G53" s="431"/>
      <c r="H53" s="431"/>
      <c r="I53" s="431"/>
      <c r="J53" s="433"/>
      <c r="K53" s="73"/>
      <c r="L53" s="503"/>
    </row>
    <row r="54" s="407" customFormat="true" ht="15.75" hidden="false" customHeight="true" outlineLevel="0" collapsed="false">
      <c r="A54" s="470" t="s">
        <v>92</v>
      </c>
      <c r="B54" s="504"/>
      <c r="C54" s="505"/>
      <c r="D54" s="505"/>
      <c r="E54" s="506"/>
      <c r="F54" s="505"/>
      <c r="G54" s="505"/>
      <c r="H54" s="505"/>
      <c r="I54" s="505"/>
      <c r="J54" s="507"/>
      <c r="K54" s="73"/>
      <c r="L54" s="474"/>
    </row>
    <row r="55" customFormat="false" ht="30.75" hidden="false" customHeight="true" outlineLevel="0" collapsed="false">
      <c r="A55" s="508" t="s">
        <v>362</v>
      </c>
      <c r="B55" s="509" t="s">
        <v>311</v>
      </c>
      <c r="C55" s="510" t="n">
        <f aca="false">'Income Statement'!B14/C39</f>
        <v>0.255</v>
      </c>
      <c r="D55" s="510" t="n">
        <f aca="false">'Income Statement'!C14/D39</f>
        <v>0.25</v>
      </c>
      <c r="E55" s="511" t="n">
        <f aca="false">'Income Statement'!D14/E39</f>
        <v>0.245</v>
      </c>
      <c r="F55" s="510" t="n">
        <f aca="false">F154+CHOOSE($C$3,$C$146,$D$146,$E$146)</f>
        <v>0.25</v>
      </c>
      <c r="G55" s="510" t="n">
        <f aca="false">G154+CHOOSE($C$3,$C$146,$D$146,$E$146)</f>
        <v>0.25</v>
      </c>
      <c r="H55" s="510" t="n">
        <f aca="false">H154+CHOOSE($C$3,$C$146,$D$146,$E$146)</f>
        <v>0.255</v>
      </c>
      <c r="I55" s="510" t="n">
        <f aca="false">I154+CHOOSE($C$3,$C$146,$D$146,$E$146)</f>
        <v>0.27</v>
      </c>
      <c r="J55" s="512" t="n">
        <f aca="false">J154+CHOOSE($C$3,$C$146,$D$146,$E$146)</f>
        <v>0.265</v>
      </c>
      <c r="K55" s="445"/>
      <c r="L55" s="446" t="s">
        <v>363</v>
      </c>
    </row>
    <row r="56" customFormat="false" ht="15.6" hidden="false" customHeight="false" outlineLevel="0" collapsed="false">
      <c r="A56" s="436" t="s">
        <v>93</v>
      </c>
      <c r="B56" s="437" t="s">
        <v>314</v>
      </c>
      <c r="C56" s="513" t="n">
        <f aca="false">'Income Statement'!B14</f>
        <v>4956751.2</v>
      </c>
      <c r="D56" s="513" t="n">
        <f aca="false">'Income Statement'!C14</f>
        <v>7732071.25</v>
      </c>
      <c r="E56" s="514" t="n">
        <f aca="false">'Income Statement'!D14</f>
        <v>11648899.3845</v>
      </c>
      <c r="F56" s="447" t="n">
        <f aca="false">F39*F55</f>
        <v>15918454.24749</v>
      </c>
      <c r="G56" s="447" t="n">
        <f aca="false">G39*G55</f>
        <v>20361587.2263681</v>
      </c>
      <c r="H56" s="447" t="n">
        <f aca="false">H39*H55</f>
        <v>25603297.0989176</v>
      </c>
      <c r="I56" s="447" t="n">
        <f aca="false">I39*I55</f>
        <v>37603274.2739776</v>
      </c>
      <c r="J56" s="449" t="n">
        <f aca="false">J39*J55</f>
        <v>47406435.3928677</v>
      </c>
      <c r="K56" s="450"/>
      <c r="L56" s="460"/>
    </row>
    <row r="57" customFormat="false" ht="15.6" hidden="false" customHeight="false" outlineLevel="0" collapsed="false">
      <c r="A57" s="436" t="s">
        <v>364</v>
      </c>
      <c r="B57" s="437" t="s">
        <v>314</v>
      </c>
      <c r="C57" s="513" t="n">
        <f aca="false">'Income Statement'!B15</f>
        <v>1055000</v>
      </c>
      <c r="D57" s="513" t="n">
        <f aca="false">'Income Statement'!C15</f>
        <v>1160500</v>
      </c>
      <c r="E57" s="514" t="n">
        <f aca="false">'Income Statement'!D15</f>
        <v>1276550</v>
      </c>
      <c r="F57" s="447" t="n">
        <f aca="false">E57*(1+F58)+F59</f>
        <v>1404205</v>
      </c>
      <c r="G57" s="447" t="n">
        <f aca="false">F57*(1+G58)+G59</f>
        <v>1544625.5</v>
      </c>
      <c r="H57" s="447" t="n">
        <f aca="false">G57*(1+H58)+H59</f>
        <v>1699088.05</v>
      </c>
      <c r="I57" s="447" t="n">
        <f aca="false">H57*(1+I58)+I59</f>
        <v>2768996.855</v>
      </c>
      <c r="J57" s="449" t="n">
        <f aca="false">I57*(1+J58)+J59</f>
        <v>3045896.5405</v>
      </c>
      <c r="K57" s="450"/>
      <c r="L57" s="460"/>
    </row>
    <row r="58" customFormat="false" ht="15.6" hidden="false" customHeight="false" outlineLevel="0" collapsed="false">
      <c r="A58" s="436" t="s">
        <v>365</v>
      </c>
      <c r="B58" s="437" t="s">
        <v>311</v>
      </c>
      <c r="C58" s="2"/>
      <c r="D58" s="443" t="n">
        <f aca="false">D57/C57-1</f>
        <v>0.1</v>
      </c>
      <c r="E58" s="452" t="n">
        <f aca="false">E57/D57-1</f>
        <v>0.1</v>
      </c>
      <c r="F58" s="515" t="n">
        <v>0.1</v>
      </c>
      <c r="G58" s="515" t="n">
        <v>0.1</v>
      </c>
      <c r="H58" s="515" t="n">
        <v>0.1</v>
      </c>
      <c r="I58" s="515" t="n">
        <v>0.1</v>
      </c>
      <c r="J58" s="516" t="n">
        <v>0.1</v>
      </c>
      <c r="K58" s="517"/>
      <c r="L58" s="446" t="s">
        <v>366</v>
      </c>
    </row>
    <row r="59" customFormat="false" ht="15.6" hidden="false" customHeight="false" outlineLevel="0" collapsed="false">
      <c r="A59" s="436" t="s">
        <v>367</v>
      </c>
      <c r="B59" s="437" t="s">
        <v>314</v>
      </c>
      <c r="C59" s="2"/>
      <c r="D59" s="2"/>
      <c r="E59" s="410"/>
      <c r="F59" s="447" t="n">
        <f aca="false">IF(F$7=$C$156+1,$C$160,0)</f>
        <v>0</v>
      </c>
      <c r="G59" s="447" t="n">
        <f aca="false">IF(G$7=$C$156+1,$C$160,0)</f>
        <v>0</v>
      </c>
      <c r="H59" s="447" t="n">
        <f aca="false">IF(H$7=$C$156+1,$C$160,0)</f>
        <v>0</v>
      </c>
      <c r="I59" s="447" t="n">
        <f aca="false">IF(I$7=$C$156+1,$C$160,0)</f>
        <v>900000</v>
      </c>
      <c r="J59" s="449" t="n">
        <f aca="false">IF(J$7=$C$156+1,$C$160,0)</f>
        <v>0</v>
      </c>
      <c r="K59" s="450"/>
      <c r="L59" s="446" t="s">
        <v>368</v>
      </c>
    </row>
    <row r="60" customFormat="false" ht="15.75" hidden="false" customHeight="true" outlineLevel="0" collapsed="false">
      <c r="A60" s="518" t="s">
        <v>369</v>
      </c>
      <c r="B60" s="454" t="s">
        <v>314</v>
      </c>
      <c r="C60" s="457" t="n">
        <f aca="false">SUM(C56:C57)</f>
        <v>6011751.2</v>
      </c>
      <c r="D60" s="457" t="n">
        <f aca="false">SUM(D56:D57)</f>
        <v>8892571.25</v>
      </c>
      <c r="E60" s="519" t="n">
        <f aca="false">SUM(E56:E57)</f>
        <v>12925449.3845</v>
      </c>
      <c r="F60" s="457" t="n">
        <f aca="false">SUM(F56:F57)</f>
        <v>17322659.24749</v>
      </c>
      <c r="G60" s="457" t="n">
        <f aca="false">SUM(G56:G57)</f>
        <v>21906212.7263681</v>
      </c>
      <c r="H60" s="457" t="n">
        <f aca="false">SUM(H56:H57)</f>
        <v>27302385.1489176</v>
      </c>
      <c r="I60" s="457" t="n">
        <f aca="false">SUM(I56:I57)</f>
        <v>40372271.1289776</v>
      </c>
      <c r="J60" s="458" t="n">
        <f aca="false">SUM(J56:J57)</f>
        <v>50452331.9333677</v>
      </c>
      <c r="K60" s="459"/>
      <c r="L60" s="451" t="s">
        <v>370</v>
      </c>
    </row>
    <row r="61" customFormat="false" ht="15.75" hidden="false" customHeight="true" outlineLevel="0" collapsed="false">
      <c r="A61" s="520" t="s">
        <v>371</v>
      </c>
      <c r="B61" s="521"/>
      <c r="C61" s="522"/>
      <c r="D61" s="522"/>
      <c r="E61" s="523"/>
      <c r="F61" s="522"/>
      <c r="G61" s="522"/>
      <c r="H61" s="522"/>
      <c r="I61" s="522"/>
      <c r="J61" s="524"/>
      <c r="K61" s="73"/>
      <c r="L61" s="460"/>
    </row>
    <row r="62" customFormat="false" ht="15.6" hidden="false" customHeight="false" outlineLevel="0" collapsed="false">
      <c r="A62" s="508" t="s">
        <v>372</v>
      </c>
      <c r="B62" s="509" t="s">
        <v>311</v>
      </c>
      <c r="C62" s="510" t="n">
        <f aca="false">'Income Statement'!B53/C39</f>
        <v>0.35970334762818</v>
      </c>
      <c r="D62" s="510" t="n">
        <f aca="false">'Income Statement'!C53/D39</f>
        <v>0.248678515475397</v>
      </c>
      <c r="E62" s="511" t="n">
        <f aca="false">'Income Statement'!D53/E39</f>
        <v>0.226466167568605</v>
      </c>
      <c r="F62" s="510" t="n">
        <f aca="false">F155+CHOOSE($C$3,$C$147,$D$147,$E$147)</f>
        <v>0.225</v>
      </c>
      <c r="G62" s="510" t="n">
        <f aca="false">G155+CHOOSE($C$3,$C$147,$D$147,$E$147)</f>
        <v>0.225</v>
      </c>
      <c r="H62" s="510" t="n">
        <f aca="false">H155+CHOOSE($C$3,$C$147,$D$147,$E$147)</f>
        <v>0.23</v>
      </c>
      <c r="I62" s="510" t="n">
        <f aca="false">I155+CHOOSE($C$3,$C$147,$D$147,$E$147)</f>
        <v>0.235</v>
      </c>
      <c r="J62" s="512" t="n">
        <f aca="false">J155+CHOOSE($C$3,$C$147,$D$147,$E$147)</f>
        <v>0.23</v>
      </c>
      <c r="K62" s="445"/>
      <c r="L62" s="446" t="s">
        <v>373</v>
      </c>
    </row>
    <row r="63" customFormat="false" ht="15.6" hidden="false" customHeight="false" outlineLevel="0" collapsed="false">
      <c r="A63" s="436" t="s">
        <v>374</v>
      </c>
      <c r="B63" s="437" t="s">
        <v>314</v>
      </c>
      <c r="C63" s="513" t="n">
        <f aca="false">'Income Statement'!B53</f>
        <v>6992000</v>
      </c>
      <c r="D63" s="513" t="n">
        <f aca="false">'Income Statement'!C53</f>
        <v>7691200</v>
      </c>
      <c r="E63" s="514" t="n">
        <f aca="false">'Income Statement'!D53</f>
        <v>10767680</v>
      </c>
      <c r="F63" s="447" t="n">
        <f aca="false">F39*F62</f>
        <v>14326608.822741</v>
      </c>
      <c r="G63" s="447" t="n">
        <f aca="false">G39*G62</f>
        <v>18325428.5037313</v>
      </c>
      <c r="H63" s="447" t="n">
        <f aca="false">H39*H62</f>
        <v>23093169.932357</v>
      </c>
      <c r="I63" s="447" t="n">
        <f aca="false">I39*I62</f>
        <v>32728775.7569805</v>
      </c>
      <c r="J63" s="449" t="n">
        <f aca="false">J39*J62</f>
        <v>41145208.0768286</v>
      </c>
      <c r="K63" s="450"/>
      <c r="L63" s="460"/>
    </row>
    <row r="64" customFormat="false" ht="15.6" hidden="false" customHeight="false" outlineLevel="0" collapsed="false">
      <c r="A64" s="436" t="s">
        <v>375</v>
      </c>
      <c r="B64" s="437" t="s">
        <v>311</v>
      </c>
      <c r="C64" s="443" t="n">
        <f aca="false">'Income Statement'!B40/'Income Statement'!B53</f>
        <v>0.307494279176201</v>
      </c>
      <c r="D64" s="443" t="n">
        <f aca="false">'Income Statement'!C40/'Income Statement'!C53</f>
        <v>0.335448304555856</v>
      </c>
      <c r="E64" s="452" t="n">
        <f aca="false">'Income Statement'!D40/'Income Statement'!D53</f>
        <v>0.287527118190734</v>
      </c>
      <c r="F64" s="515" t="n">
        <v>0.28</v>
      </c>
      <c r="G64" s="515" t="n">
        <v>0.28</v>
      </c>
      <c r="H64" s="515" t="n">
        <v>0.28</v>
      </c>
      <c r="I64" s="515" t="n">
        <v>0.28</v>
      </c>
      <c r="J64" s="516" t="n">
        <v>0.28</v>
      </c>
      <c r="K64" s="517"/>
      <c r="L64" s="446" t="s">
        <v>376</v>
      </c>
    </row>
    <row r="65" customFormat="false" ht="15.6" hidden="false" customHeight="false" outlineLevel="0" collapsed="false">
      <c r="A65" s="436" t="s">
        <v>377</v>
      </c>
      <c r="B65" s="437" t="s">
        <v>314</v>
      </c>
      <c r="C65" s="513" t="n">
        <f aca="false">'Income Statement'!B40</f>
        <v>2150000</v>
      </c>
      <c r="D65" s="513" t="n">
        <f aca="false">'Income Statement'!C40</f>
        <v>2580000</v>
      </c>
      <c r="E65" s="514" t="n">
        <f aca="false">'Income Statement'!D40</f>
        <v>3096000</v>
      </c>
      <c r="F65" s="447" t="n">
        <f aca="false">F63*F64</f>
        <v>4011450.47036748</v>
      </c>
      <c r="G65" s="447" t="n">
        <f aca="false">G63*G64</f>
        <v>5131119.98104477</v>
      </c>
      <c r="H65" s="447" t="n">
        <f aca="false">H63*H64</f>
        <v>6466087.58105997</v>
      </c>
      <c r="I65" s="447" t="n">
        <f aca="false">I63*I64</f>
        <v>9164057.21195453</v>
      </c>
      <c r="J65" s="449" t="n">
        <f aca="false">J63*J64</f>
        <v>11520658.261512</v>
      </c>
      <c r="K65" s="450"/>
      <c r="L65" s="460"/>
    </row>
    <row r="66" customFormat="false" ht="15.6" hidden="false" customHeight="false" outlineLevel="0" collapsed="false">
      <c r="A66" s="436" t="s">
        <v>378</v>
      </c>
      <c r="B66" s="437" t="s">
        <v>311</v>
      </c>
      <c r="C66" s="2"/>
      <c r="D66" s="443" t="n">
        <f aca="false">D67/C67-1</f>
        <v>0.35</v>
      </c>
      <c r="E66" s="452" t="n">
        <f aca="false">E67/D67-1</f>
        <v>0.41</v>
      </c>
      <c r="F66" s="443" t="n">
        <f aca="false">IF(F$7=$C$156+1,$C$163,IF(F$7=$C$156,$C$162,IF(F$7=2026,$C$164,$C$161)))</f>
        <v>0.12</v>
      </c>
      <c r="G66" s="443" t="n">
        <f aca="false">IF(G$7=$C$156+1,$C$163,IF(G$7=$C$156,$C$162,IF(G$7=2026,$C$164,$C$161)))</f>
        <v>0.12</v>
      </c>
      <c r="H66" s="443" t="n">
        <f aca="false">IF(H$7=$C$156+1,$C$163,IF(H$7=$C$156,$C$162,IF(H$7=2026,$C$164,$C$161)))</f>
        <v>0.15</v>
      </c>
      <c r="I66" s="443" t="n">
        <f aca="false">IF(I$7=$C$156+1,$C$163,IF(I$7=$C$156,$C$162,IF(I$7=2026,$C$164,$C$161)))</f>
        <v>0.3</v>
      </c>
      <c r="J66" s="444" t="n">
        <f aca="false">IF(J$7=$C$156+1,$C$163,IF(J$7=$C$156,$C$162,IF(J$7=2026,$C$164,$C$161)))</f>
        <v>0.12</v>
      </c>
      <c r="K66" s="445"/>
      <c r="L66" s="446" t="s">
        <v>379</v>
      </c>
    </row>
    <row r="67" customFormat="false" ht="15.6" hidden="false" customHeight="false" outlineLevel="0" collapsed="false">
      <c r="A67" s="436" t="s">
        <v>103</v>
      </c>
      <c r="B67" s="437" t="s">
        <v>314</v>
      </c>
      <c r="C67" s="513" t="n">
        <f aca="false">'Income Statement'!B24</f>
        <v>3977000</v>
      </c>
      <c r="D67" s="513" t="n">
        <f aca="false">'Income Statement'!C24</f>
        <v>5368950</v>
      </c>
      <c r="E67" s="514" t="n">
        <f aca="false">'Income Statement'!D24</f>
        <v>7570219.5</v>
      </c>
      <c r="F67" s="447" t="n">
        <f aca="false">E67*(1+F66)</f>
        <v>8478645.84</v>
      </c>
      <c r="G67" s="447" t="n">
        <f aca="false">F67*(1+G66)</f>
        <v>9496083.3408</v>
      </c>
      <c r="H67" s="447" t="n">
        <f aca="false">G67*(1+H66)</f>
        <v>10920495.84192</v>
      </c>
      <c r="I67" s="447" t="n">
        <f aca="false">H67*(1+I66)</f>
        <v>14196644.594496</v>
      </c>
      <c r="J67" s="449" t="n">
        <f aca="false">I67*(1+J66)</f>
        <v>15900241.9458355</v>
      </c>
      <c r="K67" s="450"/>
      <c r="L67" s="460"/>
    </row>
    <row r="68" customFormat="false" ht="15.6" hidden="false" customHeight="false" outlineLevel="0" collapsed="false">
      <c r="A68" s="436" t="s">
        <v>380</v>
      </c>
      <c r="B68" s="437" t="s">
        <v>311</v>
      </c>
      <c r="C68" s="443" t="n">
        <f aca="false">'Income Statement'!B26/C39</f>
        <v>0.048872737449481</v>
      </c>
      <c r="D68" s="443" t="n">
        <f aca="false">'Income Statement'!C26/D39</f>
        <v>0.052217573654666</v>
      </c>
      <c r="E68" s="452" t="n">
        <f aca="false">'Income Statement'!D26/E39</f>
        <v>0.043817079464105</v>
      </c>
      <c r="F68" s="515" t="n">
        <v>0.044</v>
      </c>
      <c r="G68" s="515" t="n">
        <v>0.044</v>
      </c>
      <c r="H68" s="515" t="n">
        <v>0.044</v>
      </c>
      <c r="I68" s="515" t="n">
        <v>0.044</v>
      </c>
      <c r="J68" s="516" t="n">
        <v>0.044</v>
      </c>
      <c r="K68" s="517"/>
      <c r="L68" s="446" t="s">
        <v>381</v>
      </c>
    </row>
    <row r="69" customFormat="false" ht="15.6" hidden="false" customHeight="false" outlineLevel="0" collapsed="false">
      <c r="A69" s="436" t="s">
        <v>105</v>
      </c>
      <c r="B69" s="437" t="s">
        <v>314</v>
      </c>
      <c r="C69" s="513" t="n">
        <f aca="false">'Income Statement'!B26</f>
        <v>950000</v>
      </c>
      <c r="D69" s="513" t="n">
        <f aca="false">'Income Statement'!C26</f>
        <v>1615000</v>
      </c>
      <c r="E69" s="514" t="n">
        <f aca="false">'Income Statement'!D26</f>
        <v>2083350</v>
      </c>
      <c r="F69" s="447" t="n">
        <f aca="false">F39*F68</f>
        <v>2801647.94755824</v>
      </c>
      <c r="G69" s="447" t="n">
        <f aca="false">G39*G68</f>
        <v>3583639.35184079</v>
      </c>
      <c r="H69" s="447" t="n">
        <f aca="false">H39*H68</f>
        <v>4417823.81314656</v>
      </c>
      <c r="I69" s="447" t="n">
        <f aca="false">I39*I68</f>
        <v>6127940.99279634</v>
      </c>
      <c r="J69" s="449" t="n">
        <f aca="false">J39*J68</f>
        <v>7871257.19730634</v>
      </c>
      <c r="K69" s="450"/>
      <c r="L69" s="460"/>
    </row>
    <row r="70" customFormat="false" ht="15.6" hidden="false" customHeight="false" outlineLevel="0" collapsed="false">
      <c r="A70" s="436" t="s">
        <v>382</v>
      </c>
      <c r="B70" s="437" t="s">
        <v>311</v>
      </c>
      <c r="C70" s="443" t="n">
        <f aca="false">'Income Statement'!B28/C39</f>
        <v>0.0617339841467129</v>
      </c>
      <c r="D70" s="443" t="n">
        <f aca="false">'Income Statement'!C28/D39</f>
        <v>0.0581991532993181</v>
      </c>
      <c r="E70" s="452" t="n">
        <f aca="false">'Income Statement'!D28/E39</f>
        <v>0.0473220672446954</v>
      </c>
      <c r="F70" s="515" t="n">
        <v>0.05</v>
      </c>
      <c r="G70" s="515" t="n">
        <v>0.05</v>
      </c>
      <c r="H70" s="515" t="n">
        <v>0.05</v>
      </c>
      <c r="I70" s="515" t="n">
        <v>0.05</v>
      </c>
      <c r="J70" s="516" t="n">
        <v>0.05</v>
      </c>
      <c r="K70" s="517"/>
      <c r="L70" s="446" t="s">
        <v>383</v>
      </c>
    </row>
    <row r="71" customFormat="false" ht="15.6" hidden="false" customHeight="false" outlineLevel="0" collapsed="false">
      <c r="A71" s="436" t="s">
        <v>384</v>
      </c>
      <c r="B71" s="437" t="s">
        <v>314</v>
      </c>
      <c r="C71" s="513" t="n">
        <f aca="false">'Income Statement'!B28</f>
        <v>1200000</v>
      </c>
      <c r="D71" s="513" t="n">
        <f aca="false">'Income Statement'!C28</f>
        <v>1800000</v>
      </c>
      <c r="E71" s="514" t="n">
        <f aca="false">'Income Statement'!D28</f>
        <v>2250000</v>
      </c>
      <c r="F71" s="447" t="n">
        <f aca="false">F39*F70</f>
        <v>3183690.849498</v>
      </c>
      <c r="G71" s="447" t="n">
        <f aca="false">G39*G70</f>
        <v>4072317.44527362</v>
      </c>
      <c r="H71" s="447" t="n">
        <f aca="false">H39*H70</f>
        <v>5020254.33312109</v>
      </c>
      <c r="I71" s="447" t="n">
        <f aca="false">I39*I70</f>
        <v>6963569.30999585</v>
      </c>
      <c r="J71" s="449" t="n">
        <f aca="false">J39*J70</f>
        <v>8944610.45148448</v>
      </c>
      <c r="K71" s="450"/>
      <c r="L71" s="460"/>
    </row>
    <row r="72" customFormat="false" ht="15.6" hidden="false" customHeight="false" outlineLevel="0" collapsed="false">
      <c r="A72" s="436" t="s">
        <v>385</v>
      </c>
      <c r="B72" s="437" t="s">
        <v>311</v>
      </c>
      <c r="C72" s="443" t="n">
        <f aca="false">'Income Statement'!B48/C39</f>
        <v>0.0473293878458132</v>
      </c>
      <c r="D72" s="443" t="n">
        <f aca="false">'Income Statement'!C48/D39</f>
        <v>0.0312335456039674</v>
      </c>
      <c r="E72" s="452" t="n">
        <f aca="false">'Income Statement'!D48/E39</f>
        <v>0.0243803290444671</v>
      </c>
      <c r="F72" s="515" t="n">
        <v>0.028</v>
      </c>
      <c r="G72" s="515" t="n">
        <v>0.03</v>
      </c>
      <c r="H72" s="515" t="n">
        <v>0.03</v>
      </c>
      <c r="I72" s="515" t="n">
        <v>0.03</v>
      </c>
      <c r="J72" s="516" t="n">
        <v>0.028</v>
      </c>
      <c r="K72" s="517"/>
      <c r="L72" s="446" t="s">
        <v>386</v>
      </c>
    </row>
    <row r="73" customFormat="false" ht="15.6" hidden="false" customHeight="false" outlineLevel="0" collapsed="false">
      <c r="A73" s="436" t="s">
        <v>387</v>
      </c>
      <c r="B73" s="437" t="s">
        <v>314</v>
      </c>
      <c r="C73" s="513" t="n">
        <f aca="false">'Income Statement'!B48</f>
        <v>920000</v>
      </c>
      <c r="D73" s="513" t="n">
        <f aca="false">'Income Statement'!C48</f>
        <v>966000</v>
      </c>
      <c r="E73" s="514" t="n">
        <f aca="false">'Income Statement'!D48</f>
        <v>1159200</v>
      </c>
      <c r="F73" s="447" t="n">
        <f aca="false">F39*F72</f>
        <v>1782866.87571888</v>
      </c>
      <c r="G73" s="447" t="n">
        <f aca="false">G39*G72</f>
        <v>2443390.46716417</v>
      </c>
      <c r="H73" s="447" t="n">
        <f aca="false">H39*H72</f>
        <v>3012152.59987266</v>
      </c>
      <c r="I73" s="447" t="n">
        <f aca="false">I39*I72</f>
        <v>4178141.58599751</v>
      </c>
      <c r="J73" s="449" t="n">
        <f aca="false">J39*J72</f>
        <v>5008981.85283131</v>
      </c>
      <c r="K73" s="450"/>
      <c r="L73" s="460"/>
    </row>
    <row r="74" customFormat="false" ht="15.6" hidden="false" customHeight="false" outlineLevel="0" collapsed="false">
      <c r="A74" s="436" t="s">
        <v>388</v>
      </c>
      <c r="B74" s="437" t="s">
        <v>311</v>
      </c>
      <c r="C74" s="443" t="n">
        <v>0</v>
      </c>
      <c r="D74" s="443" t="n">
        <v>0</v>
      </c>
      <c r="E74" s="452" t="n">
        <v>0</v>
      </c>
      <c r="F74" s="515" t="n">
        <v>0.006</v>
      </c>
      <c r="G74" s="515" t="n">
        <v>0.006</v>
      </c>
      <c r="H74" s="515" t="n">
        <v>0.006</v>
      </c>
      <c r="I74" s="515" t="n">
        <v>0.006</v>
      </c>
      <c r="J74" s="516" t="n">
        <v>0.006</v>
      </c>
      <c r="K74" s="517"/>
      <c r="L74" s="446" t="s">
        <v>389</v>
      </c>
    </row>
    <row r="75" customFormat="false" ht="15.6" hidden="false" customHeight="false" outlineLevel="0" collapsed="false">
      <c r="A75" s="436" t="s">
        <v>390</v>
      </c>
      <c r="B75" s="437" t="s">
        <v>314</v>
      </c>
      <c r="C75" s="447" t="n">
        <v>0</v>
      </c>
      <c r="D75" s="447" t="n">
        <v>0</v>
      </c>
      <c r="E75" s="448" t="n">
        <v>0</v>
      </c>
      <c r="F75" s="447" t="n">
        <f aca="false">F39*F74</f>
        <v>382042.90193976</v>
      </c>
      <c r="G75" s="447" t="n">
        <f aca="false">G39*G74</f>
        <v>488678.093432835</v>
      </c>
      <c r="H75" s="447" t="n">
        <f aca="false">H39*H74</f>
        <v>602430.519974531</v>
      </c>
      <c r="I75" s="447" t="n">
        <f aca="false">I39*I74</f>
        <v>835628.317199501</v>
      </c>
      <c r="J75" s="449" t="n">
        <f aca="false">J39*J74</f>
        <v>1073353.25417814</v>
      </c>
      <c r="K75" s="450"/>
      <c r="L75" s="460"/>
    </row>
    <row r="76" customFormat="false" ht="15.75" hidden="false" customHeight="true" outlineLevel="0" collapsed="false">
      <c r="A76" s="518" t="s">
        <v>391</v>
      </c>
      <c r="B76" s="454" t="s">
        <v>314</v>
      </c>
      <c r="C76" s="457" t="n">
        <f aca="false">SUM(C63,C65,C67,C69,C71,C73,C75)</f>
        <v>16189000</v>
      </c>
      <c r="D76" s="457" t="n">
        <f aca="false">SUM(D63,D65,D67,D69,D71,D73,D75)</f>
        <v>20021150</v>
      </c>
      <c r="E76" s="519" t="n">
        <f aca="false">SUM(E63,E65,E67,E69,E71,E73,E75)</f>
        <v>26926449.5</v>
      </c>
      <c r="F76" s="457" t="n">
        <f aca="false">SUM(F63,F65,F67,F69,F71,F73,F75)</f>
        <v>34966953.7078234</v>
      </c>
      <c r="G76" s="457" t="n">
        <f aca="false">SUM(G63,G65,G67,G69,G71,G73,G75)</f>
        <v>43540657.1832875</v>
      </c>
      <c r="H76" s="457" t="n">
        <f aca="false">SUM(H63,H65,H67,H69,H71,H73,H75)</f>
        <v>53532414.6214518</v>
      </c>
      <c r="I76" s="457" t="n">
        <f aca="false">SUM(I63,I65,I67,I69,I71,I73,I75)</f>
        <v>74194757.7694202</v>
      </c>
      <c r="J76" s="458" t="n">
        <f aca="false">SUM(J63,J65,J67,J69,J71,J73,J75)</f>
        <v>91464311.0399764</v>
      </c>
      <c r="K76" s="459"/>
      <c r="L76" s="460"/>
    </row>
    <row r="77" customFormat="false" ht="15.6" hidden="false" customHeight="false" outlineLevel="0" collapsed="false">
      <c r="A77" s="525" t="s">
        <v>392</v>
      </c>
      <c r="B77" s="509" t="s">
        <v>314</v>
      </c>
      <c r="C77" s="526" t="n">
        <f aca="false">C39-C60-C76</f>
        <v>-2762511.2</v>
      </c>
      <c r="D77" s="526" t="n">
        <f aca="false">D39-D60-D76</f>
        <v>2014563.75</v>
      </c>
      <c r="E77" s="527" t="n">
        <f aca="false">E39-E60-E76</f>
        <v>7694629.2155</v>
      </c>
      <c r="F77" s="526" t="n">
        <f aca="false">F39-F60-F76</f>
        <v>11384204.0346466</v>
      </c>
      <c r="G77" s="526" t="n">
        <f aca="false">G39-G60-G76</f>
        <v>15999478.9958168</v>
      </c>
      <c r="H77" s="526" t="n">
        <f aca="false">H39-H60-H76</f>
        <v>19570286.8920524</v>
      </c>
      <c r="I77" s="526" t="n">
        <f aca="false">I39-I60-I76</f>
        <v>24704357.3015191</v>
      </c>
      <c r="J77" s="528" t="n">
        <f aca="false">J39-J60-J76</f>
        <v>36975566.0563454</v>
      </c>
      <c r="K77" s="459"/>
      <c r="L77" s="460"/>
    </row>
    <row r="78" customFormat="false" ht="15.75" hidden="false" customHeight="true" outlineLevel="0" collapsed="false">
      <c r="A78" s="453" t="s">
        <v>153</v>
      </c>
      <c r="B78" s="454" t="s">
        <v>311</v>
      </c>
      <c r="C78" s="529" t="n">
        <f aca="false">C77/C39</f>
        <v>-0.142117352188264</v>
      </c>
      <c r="D78" s="529" t="n">
        <f aca="false">D77/D39</f>
        <v>0.0651366136208328</v>
      </c>
      <c r="E78" s="530" t="n">
        <f aca="false">E77/E39</f>
        <v>0.161833671626173</v>
      </c>
      <c r="F78" s="529" t="n">
        <f aca="false">F77/F39</f>
        <v>0.178789407841557</v>
      </c>
      <c r="G78" s="529" t="n">
        <f aca="false">G77/G39</f>
        <v>0.196441942589545</v>
      </c>
      <c r="H78" s="529" t="n">
        <f aca="false">H77/H39</f>
        <v>0.194913301134343</v>
      </c>
      <c r="I78" s="529" t="n">
        <f aca="false">I77/I39</f>
        <v>0.177382863598825</v>
      </c>
      <c r="J78" s="531" t="n">
        <f aca="false">J77/J39</f>
        <v>0.20669187471551</v>
      </c>
      <c r="K78" s="484"/>
      <c r="L78" s="460"/>
    </row>
    <row r="79" customFormat="false" ht="15.75" hidden="false" customHeight="true" outlineLevel="0" collapsed="false">
      <c r="A79" s="416"/>
      <c r="B79" s="409"/>
      <c r="C79" s="2"/>
      <c r="D79" s="2"/>
      <c r="E79" s="410"/>
      <c r="F79" s="2"/>
      <c r="G79" s="2"/>
      <c r="H79" s="2"/>
      <c r="I79" s="2"/>
      <c r="J79" s="2"/>
      <c r="K79" s="73"/>
      <c r="L79" s="460"/>
    </row>
    <row r="80" customFormat="false" ht="15.75" hidden="false" customHeight="true" outlineLevel="0" collapsed="false">
      <c r="A80" s="532" t="s">
        <v>393</v>
      </c>
      <c r="B80" s="533"/>
      <c r="C80" s="534"/>
      <c r="D80" s="534"/>
      <c r="E80" s="535"/>
      <c r="F80" s="534"/>
      <c r="G80" s="534"/>
      <c r="H80" s="534"/>
      <c r="I80" s="534"/>
      <c r="J80" s="536"/>
      <c r="K80" s="73"/>
      <c r="L80" s="460"/>
    </row>
    <row r="81" customFormat="false" ht="15.6" hidden="false" customHeight="false" outlineLevel="0" collapsed="false">
      <c r="A81" s="436" t="s">
        <v>394</v>
      </c>
      <c r="B81" s="437" t="s">
        <v>314</v>
      </c>
      <c r="C81" s="447" t="n">
        <f aca="false">C63*$C$167</f>
        <v>4894400</v>
      </c>
      <c r="D81" s="447" t="n">
        <f aca="false">D63*$C$167</f>
        <v>5383840</v>
      </c>
      <c r="E81" s="448" t="n">
        <f aca="false">E63*$C$167</f>
        <v>7537376</v>
      </c>
      <c r="F81" s="447" t="n">
        <f aca="false">F63*$C$167</f>
        <v>10028626.1759187</v>
      </c>
      <c r="G81" s="447" t="n">
        <f aca="false">G63*$C$167</f>
        <v>12827799.9526119</v>
      </c>
      <c r="H81" s="447" t="n">
        <f aca="false">H63*$C$167</f>
        <v>16165218.9526499</v>
      </c>
      <c r="I81" s="447" t="n">
        <f aca="false">I63*$C$167</f>
        <v>22910143.0298863</v>
      </c>
      <c r="J81" s="449" t="n">
        <f aca="false">J63*$C$167</f>
        <v>28801645.65378</v>
      </c>
      <c r="K81" s="450"/>
      <c r="L81" s="460"/>
    </row>
    <row r="82" customFormat="false" ht="15.6" hidden="false" customHeight="false" outlineLevel="0" collapsed="false">
      <c r="A82" s="436" t="s">
        <v>395</v>
      </c>
      <c r="B82" s="437" t="s">
        <v>314</v>
      </c>
      <c r="C82" s="447" t="n">
        <f aca="false">C99*$C$168</f>
        <v>1288980</v>
      </c>
      <c r="D82" s="447" t="n">
        <f aca="false">D99*$C$168</f>
        <v>2137752</v>
      </c>
      <c r="E82" s="448" t="n">
        <f aca="false">E99*$C$168</f>
        <v>2818756.8</v>
      </c>
      <c r="F82" s="447" t="n">
        <f aca="false">F99*$C$168</f>
        <v>3367884.96</v>
      </c>
      <c r="G82" s="447" t="n">
        <f aca="false">G99*$C$168</f>
        <v>4743239.40698314</v>
      </c>
      <c r="H82" s="447" t="n">
        <f aca="false">H99*$C$168</f>
        <v>6062670.25925179</v>
      </c>
      <c r="I82" s="447" t="n">
        <f aca="false">I99*$C$168</f>
        <v>13111107.3429538</v>
      </c>
      <c r="J82" s="449" t="n">
        <f aca="false">J99*$C$168</f>
        <v>14916064.5081047</v>
      </c>
      <c r="K82" s="450"/>
      <c r="L82" s="460"/>
    </row>
    <row r="83" customFormat="false" ht="15.6" hidden="false" customHeight="false" outlineLevel="0" collapsed="false">
      <c r="A83" s="467" t="s">
        <v>396</v>
      </c>
      <c r="B83" s="437" t="s">
        <v>314</v>
      </c>
      <c r="C83" s="469" t="n">
        <f aca="false">SUM(C60,C81,C82)</f>
        <v>12195131.2</v>
      </c>
      <c r="D83" s="469" t="n">
        <f aca="false">SUM(D60,D81,D82)</f>
        <v>16414163.25</v>
      </c>
      <c r="E83" s="537" t="n">
        <f aca="false">SUM(E60,E81,E82)</f>
        <v>23281582.1845</v>
      </c>
      <c r="F83" s="469" t="n">
        <f aca="false">SUM(F60,F81,F82)</f>
        <v>30719170.3834087</v>
      </c>
      <c r="G83" s="469" t="n">
        <f aca="false">SUM(G60,G81,G82)</f>
        <v>39477252.0859632</v>
      </c>
      <c r="H83" s="469" t="n">
        <f aca="false">SUM(H60,H81,H82)</f>
        <v>49530274.3608193</v>
      </c>
      <c r="I83" s="469" t="n">
        <f aca="false">SUM(I60,I81,I82)</f>
        <v>76393521.5018177</v>
      </c>
      <c r="J83" s="538" t="n">
        <f aca="false">SUM(J60,J81,J82)</f>
        <v>94170042.0952525</v>
      </c>
      <c r="K83" s="459"/>
      <c r="L83" s="460"/>
    </row>
    <row r="84" customFormat="false" ht="15.6" hidden="false" customHeight="false" outlineLevel="0" collapsed="false">
      <c r="A84" s="436" t="s">
        <v>397</v>
      </c>
      <c r="B84" s="437" t="s">
        <v>311</v>
      </c>
      <c r="C84" s="443" t="n">
        <f aca="false">C83/C39</f>
        <v>0.627378363473236</v>
      </c>
      <c r="D84" s="443" t="n">
        <f aca="false">D83/D39</f>
        <v>0.530716890703768</v>
      </c>
      <c r="E84" s="452" t="n">
        <f aca="false">E83/E39</f>
        <v>0.489658932310139</v>
      </c>
      <c r="F84" s="443" t="n">
        <f aca="false">F83/F39</f>
        <v>0.482445875488389</v>
      </c>
      <c r="G84" s="443" t="n">
        <f aca="false">G83/G39</f>
        <v>0.484702538744627</v>
      </c>
      <c r="H84" s="443" t="n">
        <f aca="false">H83/H39</f>
        <v>0.493304433144389</v>
      </c>
      <c r="I84" s="443" t="n">
        <f aca="false">I83/I39</f>
        <v>0.548522733823865</v>
      </c>
      <c r="J84" s="444" t="n">
        <f aca="false">J83/J39</f>
        <v>0.526406614385447</v>
      </c>
      <c r="K84" s="445"/>
      <c r="L84" s="460"/>
    </row>
    <row r="85" customFormat="false" ht="15.6" hidden="false" customHeight="false" outlineLevel="0" collapsed="false">
      <c r="A85" s="467" t="s">
        <v>398</v>
      </c>
      <c r="B85" s="437" t="s">
        <v>311</v>
      </c>
      <c r="C85" s="482" t="n">
        <f aca="false">1-C84</f>
        <v>0.372621636526764</v>
      </c>
      <c r="D85" s="482" t="n">
        <f aca="false">1-D84</f>
        <v>0.469283109296232</v>
      </c>
      <c r="E85" s="539" t="n">
        <f aca="false">1-E84</f>
        <v>0.510341067689861</v>
      </c>
      <c r="F85" s="482" t="n">
        <f aca="false">1-F84</f>
        <v>0.517554124511611</v>
      </c>
      <c r="G85" s="482" t="n">
        <f aca="false">1-G84</f>
        <v>0.515297461255373</v>
      </c>
      <c r="H85" s="482" t="n">
        <f aca="false">1-H84</f>
        <v>0.506695566855611</v>
      </c>
      <c r="I85" s="482" t="n">
        <f aca="false">1-I84</f>
        <v>0.451477266176135</v>
      </c>
      <c r="J85" s="483" t="n">
        <f aca="false">1-J84</f>
        <v>0.473593385614553</v>
      </c>
      <c r="K85" s="484"/>
      <c r="L85" s="451" t="s">
        <v>399</v>
      </c>
    </row>
    <row r="86" customFormat="false" ht="15.6" hidden="false" customHeight="false" outlineLevel="0" collapsed="false">
      <c r="A86" s="436" t="s">
        <v>400</v>
      </c>
      <c r="B86" s="437" t="s">
        <v>311</v>
      </c>
      <c r="C86" s="443" t="n">
        <f aca="false">1-C60/C39</f>
        <v>0.690725538937682</v>
      </c>
      <c r="D86" s="443" t="n">
        <f aca="false">1-D60/D39</f>
        <v>0.712477712553412</v>
      </c>
      <c r="E86" s="452" t="n">
        <f aca="false">1-E60/E39</f>
        <v>0.728151562248349</v>
      </c>
      <c r="F86" s="443" t="n">
        <f aca="false">1-F60/F39</f>
        <v>0.727946900839612</v>
      </c>
      <c r="G86" s="443" t="n">
        <f aca="false">1-G60/G39</f>
        <v>0.731035055336947</v>
      </c>
      <c r="H86" s="443" t="n">
        <f aca="false">1-H60/H39</f>
        <v>0.728077669603408</v>
      </c>
      <c r="I86" s="443" t="n">
        <f aca="false">1-I60/I39</f>
        <v>0.710117977349452</v>
      </c>
      <c r="J86" s="444" t="n">
        <f aca="false">1-J60/J39</f>
        <v>0.717973565159596</v>
      </c>
      <c r="K86" s="445"/>
      <c r="L86" s="460"/>
    </row>
    <row r="87" customFormat="false" ht="15.6" hidden="false" customHeight="false" outlineLevel="0" collapsed="false">
      <c r="A87" s="436" t="s">
        <v>401</v>
      </c>
      <c r="B87" s="437" t="s">
        <v>314</v>
      </c>
      <c r="C87" s="447" t="n">
        <f aca="false">C63*(1-$C$167)</f>
        <v>2097600</v>
      </c>
      <c r="D87" s="447" t="n">
        <f aca="false">D63*(1-$C$167)</f>
        <v>2307360</v>
      </c>
      <c r="E87" s="448" t="n">
        <f aca="false">E63*(1-$C$167)</f>
        <v>3230304</v>
      </c>
      <c r="F87" s="447" t="n">
        <f aca="false">F63*(1-$C$167)</f>
        <v>4297982.6468223</v>
      </c>
      <c r="G87" s="447" t="n">
        <f aca="false">G63*(1-$C$167)</f>
        <v>5497628.55111939</v>
      </c>
      <c r="H87" s="447" t="n">
        <f aca="false">H63*(1-$C$167)</f>
        <v>6927950.97970711</v>
      </c>
      <c r="I87" s="447" t="n">
        <f aca="false">I63*(1-$C$167)</f>
        <v>9818632.72709414</v>
      </c>
      <c r="J87" s="449" t="n">
        <f aca="false">J63*(1-$C$167)</f>
        <v>12343562.4230486</v>
      </c>
      <c r="K87" s="450"/>
      <c r="L87" s="460"/>
    </row>
    <row r="88" customFormat="false" ht="15.6" hidden="false" customHeight="false" outlineLevel="0" collapsed="false">
      <c r="A88" s="436" t="s">
        <v>402</v>
      </c>
      <c r="B88" s="437" t="s">
        <v>314</v>
      </c>
      <c r="C88" s="447" t="n">
        <f aca="false">C99*(1-$C$168)</f>
        <v>143220</v>
      </c>
      <c r="D88" s="447" t="n">
        <f aca="false">D99*(1-$C$168)</f>
        <v>237528</v>
      </c>
      <c r="E88" s="448" t="n">
        <f aca="false">E99*(1-$C$168)</f>
        <v>313195.2</v>
      </c>
      <c r="F88" s="447" t="n">
        <f aca="false">F99*(1-$C$168)</f>
        <v>374209.44</v>
      </c>
      <c r="G88" s="447" t="n">
        <f aca="false">G99*(1-$C$168)</f>
        <v>527026.600775904</v>
      </c>
      <c r="H88" s="447" t="n">
        <f aca="false">H99*(1-$C$168)</f>
        <v>673630.028805754</v>
      </c>
      <c r="I88" s="447" t="n">
        <f aca="false">I99*(1-$C$168)</f>
        <v>1456789.70477264</v>
      </c>
      <c r="J88" s="449" t="n">
        <f aca="false">J99*(1-$C$168)</f>
        <v>1657340.50090053</v>
      </c>
      <c r="K88" s="450"/>
      <c r="L88" s="460"/>
    </row>
    <row r="89" customFormat="false" ht="15.6" hidden="false" customHeight="false" outlineLevel="0" collapsed="false">
      <c r="A89" s="467" t="s">
        <v>138</v>
      </c>
      <c r="B89" s="437" t="s">
        <v>314</v>
      </c>
      <c r="C89" s="469" t="n">
        <f aca="false">SUM(C87,C65,C67,C69,C71,C73,C75,C88)</f>
        <v>11437820</v>
      </c>
      <c r="D89" s="469" t="n">
        <f aca="false">SUM(D87,D65,D67,D69,D71,D73,D75,D88)</f>
        <v>14874838</v>
      </c>
      <c r="E89" s="537" t="n">
        <f aca="false">SUM(E87,E65,E67,E69,E71,E73,E75,E88)</f>
        <v>19702268.7</v>
      </c>
      <c r="F89" s="469" t="n">
        <f aca="false">SUM(F87,F65,F67,F69,F71,F73,F75,F88)</f>
        <v>25312536.9719047</v>
      </c>
      <c r="G89" s="469" t="n">
        <f aca="false">SUM(G87,G65,G67,G69,G71,G73,G75,G88)</f>
        <v>31239883.8314515</v>
      </c>
      <c r="H89" s="469" t="n">
        <f aca="false">SUM(H87,H65,H67,H69,H71,H73,H75,H88)</f>
        <v>38040825.6976077</v>
      </c>
      <c r="I89" s="469" t="n">
        <f aca="false">SUM(I87,I65,I67,I69,I71,I73,I75,I88)</f>
        <v>52741404.4443065</v>
      </c>
      <c r="J89" s="538" t="n">
        <f aca="false">SUM(J87,J65,J67,J69,J71,J73,J75,J88)</f>
        <v>64320005.8870969</v>
      </c>
      <c r="K89" s="459"/>
      <c r="L89" s="460"/>
    </row>
    <row r="90" customFormat="false" ht="15.6" hidden="false" customHeight="false" outlineLevel="0" collapsed="false">
      <c r="A90" s="436" t="s">
        <v>403</v>
      </c>
      <c r="B90" s="437" t="s">
        <v>311</v>
      </c>
      <c r="C90" s="443" t="n">
        <f aca="false">C89/C39</f>
        <v>0.58841849879413</v>
      </c>
      <c r="D90" s="443" t="n">
        <f aca="false">D89/D39</f>
        <v>0.480946098369179</v>
      </c>
      <c r="E90" s="452" t="n">
        <f aca="false">E89/E39</f>
        <v>0.41437870413087</v>
      </c>
      <c r="F90" s="443" t="n">
        <f aca="false">F89/F39</f>
        <v>0.39753446814561</v>
      </c>
      <c r="G90" s="443" t="n">
        <f aca="false">G89/G39</f>
        <v>0.383563956534244</v>
      </c>
      <c r="H90" s="443" t="n">
        <f aca="false">H89/H39</f>
        <v>0.378873490996597</v>
      </c>
      <c r="I90" s="443" t="n">
        <f aca="false">I89/I39</f>
        <v>0.378695192769884</v>
      </c>
      <c r="J90" s="444" t="n">
        <f aca="false">J89/J39</f>
        <v>0.359546154837979</v>
      </c>
      <c r="K90" s="445"/>
      <c r="L90" s="460"/>
    </row>
    <row r="91" customFormat="false" ht="15.75" hidden="false" customHeight="true" outlineLevel="0" collapsed="false">
      <c r="A91" s="518" t="s">
        <v>404</v>
      </c>
      <c r="B91" s="454" t="s">
        <v>314</v>
      </c>
      <c r="C91" s="457" t="n">
        <f aca="false">C39-C83-C89</f>
        <v>-4194711.2</v>
      </c>
      <c r="D91" s="457" t="n">
        <f aca="false">D39-D83-D89</f>
        <v>-360716.25</v>
      </c>
      <c r="E91" s="519" t="n">
        <f aca="false">E39-E83-E89</f>
        <v>4562677.2155</v>
      </c>
      <c r="F91" s="457" t="n">
        <f aca="false">F39-F83-F89</f>
        <v>7642109.63464664</v>
      </c>
      <c r="G91" s="457" t="n">
        <f aca="false">G39-G83-G89</f>
        <v>10729212.9880578</v>
      </c>
      <c r="H91" s="457" t="n">
        <f aca="false">H39-H83-H89</f>
        <v>12833986.6039949</v>
      </c>
      <c r="I91" s="457" t="n">
        <f aca="false">I39-I83-I89</f>
        <v>10136460.2537927</v>
      </c>
      <c r="J91" s="458" t="n">
        <f aca="false">J39-J83-J89</f>
        <v>20402161.0473402</v>
      </c>
      <c r="K91" s="459"/>
      <c r="L91" s="460"/>
    </row>
    <row r="92" customFormat="false" ht="15.75" hidden="false" customHeight="true" outlineLevel="0" collapsed="false">
      <c r="A92" s="416"/>
      <c r="B92" s="409"/>
      <c r="C92" s="2"/>
      <c r="D92" s="2"/>
      <c r="E92" s="410"/>
      <c r="F92" s="2"/>
      <c r="G92" s="2"/>
      <c r="H92" s="2"/>
      <c r="I92" s="2"/>
      <c r="J92" s="2"/>
      <c r="K92" s="73"/>
      <c r="L92" s="460"/>
    </row>
    <row r="93" customFormat="false" ht="15.75" hidden="false" customHeight="true" outlineLevel="0" collapsed="false">
      <c r="A93" s="429" t="s">
        <v>405</v>
      </c>
      <c r="B93" s="430"/>
      <c r="C93" s="431"/>
      <c r="D93" s="431"/>
      <c r="E93" s="432"/>
      <c r="F93" s="431"/>
      <c r="G93" s="431"/>
      <c r="H93" s="431"/>
      <c r="I93" s="431"/>
      <c r="J93" s="433"/>
      <c r="K93" s="73"/>
      <c r="L93" s="503"/>
    </row>
    <row r="94" customFormat="false" ht="30.75" hidden="false" customHeight="true" outlineLevel="0" collapsed="false">
      <c r="A94" s="467" t="s">
        <v>406</v>
      </c>
      <c r="B94" s="437" t="s">
        <v>311</v>
      </c>
      <c r="C94" s="482" t="n">
        <f aca="false">C96/C39</f>
        <v>0.257687938825737</v>
      </c>
      <c r="D94" s="482" t="n">
        <f aca="false">D96/D39</f>
        <v>0.2038781005801</v>
      </c>
      <c r="E94" s="539" t="n">
        <f aca="false">E96/E39</f>
        <v>0.106937776598666</v>
      </c>
      <c r="F94" s="482" t="n">
        <f aca="false">IF(F$7=$C$156,$C$158,IF(F$7=$C$156+1,$C$159,F95))</f>
        <v>0.2</v>
      </c>
      <c r="G94" s="482" t="n">
        <f aca="false">IF(G$7=$C$156,$C$158,IF(G$7=$C$156+1,$C$159,G95))</f>
        <v>0.15</v>
      </c>
      <c r="H94" s="482" t="n">
        <f aca="false">IF(H$7=$C$156,$C$158,IF(H$7=$C$156+1,$C$159,H95))</f>
        <v>0.65</v>
      </c>
      <c r="I94" s="482" t="n">
        <f aca="false">IF(I$7=$C$156,$C$158,IF(I$7=$C$156+1,$C$159,I95))</f>
        <v>0.12</v>
      </c>
      <c r="J94" s="483" t="n">
        <f aca="false">IF(J$7=$C$156,$C$158,IF(J$7=$C$156+1,$C$159,J95))</f>
        <v>0.1</v>
      </c>
      <c r="K94" s="484"/>
      <c r="L94" s="446" t="s">
        <v>407</v>
      </c>
    </row>
    <row r="95" customFormat="false" ht="15.6" hidden="false" customHeight="false" outlineLevel="0" collapsed="false">
      <c r="A95" s="436" t="s">
        <v>408</v>
      </c>
      <c r="B95" s="437" t="s">
        <v>311</v>
      </c>
      <c r="C95" s="2"/>
      <c r="D95" s="2"/>
      <c r="E95" s="410"/>
      <c r="F95" s="515" t="n">
        <v>0.2</v>
      </c>
      <c r="G95" s="515" t="n">
        <v>0.15</v>
      </c>
      <c r="H95" s="515" t="n">
        <v>0.1</v>
      </c>
      <c r="I95" s="515" t="n">
        <v>0.1</v>
      </c>
      <c r="J95" s="516" t="n">
        <v>0.1</v>
      </c>
      <c r="K95" s="517"/>
      <c r="L95" s="446" t="s">
        <v>409</v>
      </c>
    </row>
    <row r="96" customFormat="false" ht="15.6" hidden="false" customHeight="false" outlineLevel="0" collapsed="false">
      <c r="A96" s="467" t="s">
        <v>410</v>
      </c>
      <c r="B96" s="437" t="s">
        <v>314</v>
      </c>
      <c r="C96" s="469" t="n">
        <f aca="false">SUM('Balance Sheet'!D27:D29)-SUM('Balance Sheet'!C27:C29)</f>
        <v>5009000</v>
      </c>
      <c r="D96" s="469" t="n">
        <f aca="false">SUM('Balance Sheet'!E27:E29)-SUM('Balance Sheet'!D27:D29)</f>
        <v>6305600</v>
      </c>
      <c r="E96" s="537" t="n">
        <f aca="false">SUM('Balance Sheet'!F27:F29)-SUM('Balance Sheet'!E27:E29)</f>
        <v>5084520</v>
      </c>
      <c r="F96" s="469" t="n">
        <f aca="false">F39*F94</f>
        <v>12734763.397992</v>
      </c>
      <c r="G96" s="469" t="n">
        <f aca="false">G39*G94</f>
        <v>12216952.3358209</v>
      </c>
      <c r="H96" s="469" t="n">
        <f aca="false">H39*H94</f>
        <v>65263306.3305742</v>
      </c>
      <c r="I96" s="469" t="n">
        <f aca="false">I39*I94</f>
        <v>16712566.34399</v>
      </c>
      <c r="J96" s="538" t="n">
        <f aca="false">J39*J94</f>
        <v>17889220.902969</v>
      </c>
      <c r="K96" s="459"/>
      <c r="L96" s="460"/>
    </row>
    <row r="97" customFormat="false" ht="15.6" hidden="false" customHeight="false" outlineLevel="0" collapsed="false">
      <c r="A97" s="436" t="s">
        <v>411</v>
      </c>
      <c r="B97" s="437" t="s">
        <v>314</v>
      </c>
      <c r="C97" s="513" t="n">
        <f aca="false">SUM('Balance Sheet'!D27:D29)</f>
        <v>19794000</v>
      </c>
      <c r="D97" s="513" t="n">
        <f aca="false">SUM('Balance Sheet'!E27:E29)</f>
        <v>26099600</v>
      </c>
      <c r="E97" s="514" t="n">
        <f aca="false">SUM('Balance Sheet'!F27:F29)</f>
        <v>31184120</v>
      </c>
      <c r="F97" s="447" t="n">
        <f aca="false">SUM(E97,F96)</f>
        <v>43918883.397992</v>
      </c>
      <c r="G97" s="447" t="n">
        <f aca="false">SUM(F97,G96)</f>
        <v>56135835.7338129</v>
      </c>
      <c r="H97" s="447" t="n">
        <f aca="false">SUM(G97,H96)</f>
        <v>121399142.064387</v>
      </c>
      <c r="I97" s="447" t="n">
        <f aca="false">SUM(H97,I96)</f>
        <v>138111708.408377</v>
      </c>
      <c r="J97" s="449" t="n">
        <f aca="false">SUM(I97,J96)</f>
        <v>156000929.311346</v>
      </c>
      <c r="K97" s="450"/>
      <c r="L97" s="460"/>
    </row>
    <row r="98" customFormat="false" ht="15.6" hidden="false" customHeight="false" outlineLevel="0" collapsed="false">
      <c r="A98" s="436" t="s">
        <v>412</v>
      </c>
      <c r="B98" s="437" t="s">
        <v>311</v>
      </c>
      <c r="C98" s="2"/>
      <c r="D98" s="443" t="n">
        <f aca="false">D99/C97</f>
        <v>0.12</v>
      </c>
      <c r="E98" s="452" t="n">
        <f aca="false">E99/D97</f>
        <v>0.12</v>
      </c>
      <c r="F98" s="540" t="n">
        <f aca="false">Assumption!$B$15</f>
        <v>0.12</v>
      </c>
      <c r="G98" s="540" t="n">
        <f aca="false">Assumption!$B$15</f>
        <v>0.12</v>
      </c>
      <c r="H98" s="540" t="n">
        <f aca="false">Assumption!$B$15</f>
        <v>0.12</v>
      </c>
      <c r="I98" s="540" t="n">
        <f aca="false">Assumption!$B$15</f>
        <v>0.12</v>
      </c>
      <c r="J98" s="541" t="n">
        <f aca="false">Assumption!$B$15</f>
        <v>0.12</v>
      </c>
      <c r="K98" s="542"/>
      <c r="L98" s="446" t="s">
        <v>413</v>
      </c>
    </row>
    <row r="99" customFormat="false" ht="15.6" hidden="false" customHeight="false" outlineLevel="0" collapsed="false">
      <c r="A99" s="436" t="s">
        <v>221</v>
      </c>
      <c r="B99" s="437" t="s">
        <v>314</v>
      </c>
      <c r="C99" s="513" t="n">
        <f aca="false">'Income Statement'!B69</f>
        <v>1432200</v>
      </c>
      <c r="D99" s="513" t="n">
        <f aca="false">'Income Statement'!C69</f>
        <v>2375280</v>
      </c>
      <c r="E99" s="514" t="n">
        <f aca="false">'Income Statement'!D69</f>
        <v>3131952</v>
      </c>
      <c r="F99" s="447" t="n">
        <f aca="false">E97*F98</f>
        <v>3742094.4</v>
      </c>
      <c r="G99" s="447" t="n">
        <f aca="false">F97*G98</f>
        <v>5270266.00775904</v>
      </c>
      <c r="H99" s="447" t="n">
        <f aca="false">G97*H98</f>
        <v>6736300.28805754</v>
      </c>
      <c r="I99" s="447" t="n">
        <f aca="false">H97*I98</f>
        <v>14567897.0477264</v>
      </c>
      <c r="J99" s="449" t="n">
        <f aca="false">I97*J98</f>
        <v>16573405.0090053</v>
      </c>
      <c r="K99" s="450"/>
      <c r="L99" s="460"/>
    </row>
    <row r="100" customFormat="false" ht="15.6" hidden="false" customHeight="false" outlineLevel="0" collapsed="false">
      <c r="A100" s="436" t="s">
        <v>176</v>
      </c>
      <c r="B100" s="437" t="s">
        <v>314</v>
      </c>
      <c r="C100" s="513" t="n">
        <f aca="false">'Balance Sheet'!D24</f>
        <v>4282200</v>
      </c>
      <c r="D100" s="513" t="n">
        <f aca="false">'Balance Sheet'!E24</f>
        <v>6657480</v>
      </c>
      <c r="E100" s="514" t="n">
        <f aca="false">'Balance Sheet'!F24</f>
        <v>9789432</v>
      </c>
      <c r="F100" s="447" t="n">
        <f aca="false">SUM(E100,F99)</f>
        <v>13531526.4</v>
      </c>
      <c r="G100" s="447" t="n">
        <f aca="false">SUM(F100,G99)</f>
        <v>18801792.407759</v>
      </c>
      <c r="H100" s="447" t="n">
        <f aca="false">SUM(G100,H99)</f>
        <v>25538092.6958166</v>
      </c>
      <c r="I100" s="447" t="n">
        <f aca="false">SUM(H100,I99)</f>
        <v>40105989.743543</v>
      </c>
      <c r="J100" s="449" t="n">
        <f aca="false">SUM(I100,J99)</f>
        <v>56679394.7525483</v>
      </c>
      <c r="K100" s="450"/>
      <c r="L100" s="460"/>
    </row>
    <row r="101" customFormat="false" ht="15.6" hidden="false" customHeight="false" outlineLevel="0" collapsed="false">
      <c r="A101" s="467" t="s">
        <v>414</v>
      </c>
      <c r="B101" s="437" t="s">
        <v>314</v>
      </c>
      <c r="C101" s="469" t="n">
        <f aca="false">C97-C100</f>
        <v>15511800</v>
      </c>
      <c r="D101" s="469" t="n">
        <f aca="false">D97-D100</f>
        <v>19442120</v>
      </c>
      <c r="E101" s="537" t="n">
        <f aca="false">E97-E100</f>
        <v>21394688</v>
      </c>
      <c r="F101" s="469" t="n">
        <f aca="false">F97-F100</f>
        <v>30387356.997992</v>
      </c>
      <c r="G101" s="469" t="n">
        <f aca="false">G97-G100</f>
        <v>37334043.3260538</v>
      </c>
      <c r="H101" s="469" t="n">
        <f aca="false">H97-H100</f>
        <v>95861049.3685705</v>
      </c>
      <c r="I101" s="469" t="n">
        <f aca="false">I97-I100</f>
        <v>98005718.6648341</v>
      </c>
      <c r="J101" s="538" t="n">
        <f aca="false">J97-J100</f>
        <v>99321534.5587978</v>
      </c>
      <c r="K101" s="459"/>
      <c r="L101" s="460"/>
    </row>
    <row r="102" customFormat="false" ht="15.75" hidden="false" customHeight="true" outlineLevel="0" collapsed="false">
      <c r="A102" s="485" t="s">
        <v>415</v>
      </c>
      <c r="B102" s="454" t="s">
        <v>311</v>
      </c>
      <c r="C102" s="486" t="n">
        <f aca="false">C99/C39</f>
        <v>0.0736795100791018</v>
      </c>
      <c r="D102" s="486" t="n">
        <f aca="false">D99/D39</f>
        <v>0.0767996026937801</v>
      </c>
      <c r="E102" s="543" t="n">
        <f aca="false">E99/E39</f>
        <v>0.0658713080671815</v>
      </c>
      <c r="F102" s="486" t="n">
        <f aca="false">F99/F39</f>
        <v>0.0587697514755562</v>
      </c>
      <c r="G102" s="486" t="n">
        <f aca="false">G99/G39</f>
        <v>0.0647084378684153</v>
      </c>
      <c r="H102" s="486" t="n">
        <f aca="false">H99/H39</f>
        <v>0.0670912252753297</v>
      </c>
      <c r="I102" s="486" t="n">
        <f aca="false">I99/I39</f>
        <v>0.104600790192574</v>
      </c>
      <c r="J102" s="487" t="n">
        <f aca="false">J99/J39</f>
        <v>0.0926446439389358</v>
      </c>
      <c r="K102" s="445"/>
      <c r="L102" s="460"/>
    </row>
    <row r="103" customFormat="false" ht="15.75" hidden="false" customHeight="true" outlineLevel="0" collapsed="false">
      <c r="A103" s="416"/>
      <c r="B103" s="409"/>
      <c r="C103" s="2"/>
      <c r="D103" s="2"/>
      <c r="E103" s="410"/>
      <c r="F103" s="2"/>
      <c r="G103" s="2"/>
      <c r="H103" s="2"/>
      <c r="I103" s="2"/>
      <c r="J103" s="2"/>
      <c r="K103" s="73"/>
      <c r="L103" s="460"/>
    </row>
    <row r="104" customFormat="false" ht="15.6" hidden="false" customHeight="false" outlineLevel="0" collapsed="false">
      <c r="A104" s="544" t="s">
        <v>416</v>
      </c>
      <c r="B104" s="545"/>
      <c r="C104" s="546"/>
      <c r="D104" s="546"/>
      <c r="E104" s="547"/>
      <c r="F104" s="546"/>
      <c r="G104" s="546"/>
      <c r="H104" s="546"/>
      <c r="I104" s="546"/>
      <c r="J104" s="548"/>
      <c r="K104" s="73"/>
      <c r="L104" s="503"/>
    </row>
    <row r="105" customFormat="false" ht="15.6" hidden="false" customHeight="false" outlineLevel="0" collapsed="false">
      <c r="A105" s="549" t="s">
        <v>417</v>
      </c>
      <c r="B105" s="437" t="s">
        <v>418</v>
      </c>
      <c r="C105" s="550" t="n">
        <f aca="false">'Balance Sheet'!D9/C60*365</f>
        <v>151.72534086241</v>
      </c>
      <c r="D105" s="550" t="n">
        <f aca="false">'Balance Sheet'!E9/D60*365</f>
        <v>123.087234189999</v>
      </c>
      <c r="E105" s="551" t="n">
        <f aca="false">'Balance Sheet'!F9/E60*365</f>
        <v>105.853379584676</v>
      </c>
      <c r="F105" s="552" t="n">
        <v>100</v>
      </c>
      <c r="G105" s="552" t="n">
        <v>100</v>
      </c>
      <c r="H105" s="552" t="n">
        <v>100</v>
      </c>
      <c r="I105" s="552" t="n">
        <v>105</v>
      </c>
      <c r="J105" s="553" t="n">
        <v>100</v>
      </c>
      <c r="K105" s="554"/>
      <c r="L105" s="446" t="s">
        <v>419</v>
      </c>
    </row>
    <row r="106" customFormat="false" ht="15.6" hidden="false" customHeight="false" outlineLevel="0" collapsed="false">
      <c r="A106" s="436" t="s">
        <v>161</v>
      </c>
      <c r="B106" s="437" t="s">
        <v>314</v>
      </c>
      <c r="C106" s="513" t="n">
        <f aca="false">'Balance Sheet'!D9</f>
        <v>2499000</v>
      </c>
      <c r="D106" s="513" t="n">
        <f aca="false">'Balance Sheet'!E9</f>
        <v>2998800</v>
      </c>
      <c r="E106" s="514" t="n">
        <f aca="false">'Balance Sheet'!F9</f>
        <v>3748500</v>
      </c>
      <c r="F106" s="447" t="n">
        <f aca="false">F60*F105/365</f>
        <v>4745934.04040822</v>
      </c>
      <c r="G106" s="447" t="n">
        <f aca="false">G60*G105/365</f>
        <v>6001702.11681318</v>
      </c>
      <c r="H106" s="447" t="n">
        <f aca="false">H60*H105/365</f>
        <v>7480105.52025139</v>
      </c>
      <c r="I106" s="447" t="n">
        <f aca="false">I60*I105/365</f>
        <v>11613941.0097059</v>
      </c>
      <c r="J106" s="449" t="n">
        <f aca="false">J60*J105/365</f>
        <v>13822556.6940733</v>
      </c>
      <c r="K106" s="450"/>
      <c r="L106" s="460"/>
    </row>
    <row r="107" customFormat="false" ht="15.6" hidden="false" customHeight="false" outlineLevel="0" collapsed="false">
      <c r="A107" s="436" t="s">
        <v>420</v>
      </c>
      <c r="B107" s="437" t="s">
        <v>418</v>
      </c>
      <c r="C107" s="550" t="n">
        <f aca="false">'Balance Sheet'!D12/C39*365</f>
        <v>23.6595494242277</v>
      </c>
      <c r="D107" s="550" t="n">
        <f aca="false">'Balance Sheet'!E12/D39*365</f>
        <v>18.1412580749304</v>
      </c>
      <c r="E107" s="551" t="n">
        <f aca="false">'Balance Sheet'!F12/E39*365</f>
        <v>13.5707006543765</v>
      </c>
      <c r="F107" s="552" t="n">
        <v>18</v>
      </c>
      <c r="G107" s="552" t="n">
        <v>22</v>
      </c>
      <c r="H107" s="552" t="n">
        <v>26</v>
      </c>
      <c r="I107" s="552" t="n">
        <v>30</v>
      </c>
      <c r="J107" s="553" t="n">
        <v>30</v>
      </c>
      <c r="K107" s="554"/>
      <c r="L107" s="446" t="s">
        <v>421</v>
      </c>
    </row>
    <row r="108" customFormat="false" ht="15.6" hidden="false" customHeight="false" outlineLevel="0" collapsed="false">
      <c r="A108" s="436" t="s">
        <v>164</v>
      </c>
      <c r="B108" s="437" t="s">
        <v>314</v>
      </c>
      <c r="C108" s="513" t="n">
        <f aca="false">'Balance Sheet'!D12</f>
        <v>1260000</v>
      </c>
      <c r="D108" s="513" t="n">
        <f aca="false">'Balance Sheet'!E12</f>
        <v>1537200</v>
      </c>
      <c r="E108" s="514" t="n">
        <f aca="false">'Balance Sheet'!F12</f>
        <v>1767780</v>
      </c>
      <c r="F108" s="447" t="n">
        <f aca="false">F39*F107/365</f>
        <v>3140078.64608022</v>
      </c>
      <c r="G108" s="447" t="n">
        <f aca="false">G39*G107/365</f>
        <v>4909095.00252163</v>
      </c>
      <c r="H108" s="447" t="n">
        <f aca="false">H39*H107/365</f>
        <v>7152143.15951498</v>
      </c>
      <c r="I108" s="447" t="n">
        <f aca="false">I39*I107/365</f>
        <v>11446963.2493082</v>
      </c>
      <c r="J108" s="449" t="n">
        <f aca="false">J39*J107/365</f>
        <v>14703469.2353169</v>
      </c>
      <c r="K108" s="450"/>
      <c r="L108" s="460"/>
    </row>
    <row r="109" customFormat="false" ht="15.6" hidden="false" customHeight="false" outlineLevel="0" collapsed="false">
      <c r="A109" s="436" t="s">
        <v>422</v>
      </c>
      <c r="B109" s="437" t="s">
        <v>311</v>
      </c>
      <c r="C109" s="443" t="n">
        <f aca="false">'Balance Sheet'!D19/C39</f>
        <v>0.0634316687107475</v>
      </c>
      <c r="D109" s="443" t="n">
        <f aca="false">'Balance Sheet'!E19/D39</f>
        <v>0.055279495775469</v>
      </c>
      <c r="E109" s="452" t="n">
        <f aca="false">'Balance Sheet'!F19/E39</f>
        <v>0.0436012908374692</v>
      </c>
      <c r="F109" s="515" t="n">
        <v>0.04</v>
      </c>
      <c r="G109" s="515" t="n">
        <v>0.04</v>
      </c>
      <c r="H109" s="515" t="n">
        <v>0.04</v>
      </c>
      <c r="I109" s="515" t="n">
        <v>0.04</v>
      </c>
      <c r="J109" s="516" t="n">
        <v>0.04</v>
      </c>
      <c r="K109" s="517"/>
      <c r="L109" s="446" t="s">
        <v>423</v>
      </c>
    </row>
    <row r="110" customFormat="false" ht="15.6" hidden="false" customHeight="false" outlineLevel="0" collapsed="false">
      <c r="A110" s="436" t="s">
        <v>424</v>
      </c>
      <c r="B110" s="437" t="s">
        <v>314</v>
      </c>
      <c r="C110" s="513" t="n">
        <f aca="false">'Balance Sheet'!D19</f>
        <v>1233000</v>
      </c>
      <c r="D110" s="513" t="n">
        <f aca="false">'Balance Sheet'!E19</f>
        <v>1709700</v>
      </c>
      <c r="E110" s="514" t="n">
        <f aca="false">'Balance Sheet'!F19</f>
        <v>2073090</v>
      </c>
      <c r="F110" s="447" t="n">
        <f aca="false">F39*F109</f>
        <v>2546952.6795984</v>
      </c>
      <c r="G110" s="447" t="n">
        <f aca="false">G39*G109</f>
        <v>3257853.9562189</v>
      </c>
      <c r="H110" s="447" t="n">
        <f aca="false">H39*H109</f>
        <v>4016203.46649687</v>
      </c>
      <c r="I110" s="447" t="n">
        <f aca="false">I39*I109</f>
        <v>5570855.44799668</v>
      </c>
      <c r="J110" s="449" t="n">
        <f aca="false">J39*J109</f>
        <v>7155688.36118758</v>
      </c>
      <c r="K110" s="450"/>
      <c r="L110" s="460"/>
    </row>
    <row r="111" customFormat="false" ht="15.6" hidden="false" customHeight="false" outlineLevel="0" collapsed="false">
      <c r="A111" s="549" t="s">
        <v>425</v>
      </c>
      <c r="B111" s="437" t="s">
        <v>418</v>
      </c>
      <c r="C111" s="550" t="n">
        <f aca="false">'Balance Sheet'!D38/C60*365</f>
        <v>9.47144984975426</v>
      </c>
      <c r="D111" s="550" t="n">
        <f aca="false">'Balance Sheet'!E38/D60*365</f>
        <v>8.32402664190068</v>
      </c>
      <c r="E111" s="551" t="n">
        <f aca="false">'Balance Sheet'!F38/E60*365</f>
        <v>7.44489395590345</v>
      </c>
      <c r="F111" s="552" t="n">
        <v>10</v>
      </c>
      <c r="G111" s="552" t="n">
        <v>12</v>
      </c>
      <c r="H111" s="552" t="n">
        <v>15</v>
      </c>
      <c r="I111" s="552" t="n">
        <v>15</v>
      </c>
      <c r="J111" s="553" t="n">
        <v>15</v>
      </c>
      <c r="K111" s="554"/>
      <c r="L111" s="446" t="s">
        <v>426</v>
      </c>
    </row>
    <row r="112" customFormat="false" ht="15.6" hidden="false" customHeight="false" outlineLevel="0" collapsed="false">
      <c r="A112" s="436" t="s">
        <v>186</v>
      </c>
      <c r="B112" s="437" t="s">
        <v>314</v>
      </c>
      <c r="C112" s="513" t="n">
        <f aca="false">'Balance Sheet'!D38</f>
        <v>156000</v>
      </c>
      <c r="D112" s="513" t="n">
        <f aca="false">'Balance Sheet'!E38</f>
        <v>202800</v>
      </c>
      <c r="E112" s="514" t="n">
        <f aca="false">'Balance Sheet'!F38</f>
        <v>263640</v>
      </c>
      <c r="F112" s="447" t="n">
        <f aca="false">F60*F111/365</f>
        <v>474593.404040822</v>
      </c>
      <c r="G112" s="447" t="n">
        <f aca="false">G60*G111/365</f>
        <v>720204.254017582</v>
      </c>
      <c r="H112" s="447" t="n">
        <f aca="false">H60*H111/365</f>
        <v>1122015.82803771</v>
      </c>
      <c r="I112" s="447" t="n">
        <f aca="false">I60*I111/365</f>
        <v>1659134.42995798</v>
      </c>
      <c r="J112" s="449" t="n">
        <f aca="false">J60*J111/365</f>
        <v>2073383.504111</v>
      </c>
      <c r="K112" s="450"/>
      <c r="L112" s="460"/>
    </row>
    <row r="113" customFormat="false" ht="15.6" hidden="false" customHeight="false" outlineLevel="0" collapsed="false">
      <c r="A113" s="436" t="s">
        <v>427</v>
      </c>
      <c r="B113" s="437" t="s">
        <v>311</v>
      </c>
      <c r="C113" s="475" t="n">
        <f aca="false">'Balance Sheet'!D53/C39</f>
        <v>0.0024076253817218</v>
      </c>
      <c r="D113" s="475" t="n">
        <f aca="false">'Balance Sheet'!E53/D39</f>
        <v>0.00196713138151695</v>
      </c>
      <c r="E113" s="555" t="n">
        <f aca="false">'Balance Sheet'!F53/E39</f>
        <v>0.00166346530778553</v>
      </c>
      <c r="F113" s="476" t="n">
        <v>0.002</v>
      </c>
      <c r="G113" s="476" t="n">
        <v>0.002</v>
      </c>
      <c r="H113" s="476" t="n">
        <v>0.002</v>
      </c>
      <c r="I113" s="476" t="n">
        <v>0.002</v>
      </c>
      <c r="J113" s="477" t="n">
        <v>0.002</v>
      </c>
      <c r="K113" s="371"/>
      <c r="L113" s="446" t="s">
        <v>428</v>
      </c>
    </row>
    <row r="114" customFormat="false" ht="15.6" hidden="false" customHeight="false" outlineLevel="0" collapsed="false">
      <c r="A114" s="436" t="s">
        <v>224</v>
      </c>
      <c r="B114" s="437" t="s">
        <v>314</v>
      </c>
      <c r="C114" s="513" t="n">
        <f aca="false">'Balance Sheet'!D53</f>
        <v>46800</v>
      </c>
      <c r="D114" s="513" t="n">
        <f aca="false">'Balance Sheet'!E53</f>
        <v>60840</v>
      </c>
      <c r="E114" s="514" t="n">
        <f aca="false">'Balance Sheet'!F53</f>
        <v>79092</v>
      </c>
      <c r="F114" s="447" t="n">
        <f aca="false">F39*F113</f>
        <v>127347.63397992</v>
      </c>
      <c r="G114" s="447" t="n">
        <f aca="false">G39*G113</f>
        <v>162892.697810945</v>
      </c>
      <c r="H114" s="447" t="n">
        <f aca="false">H39*H113</f>
        <v>200810.173324844</v>
      </c>
      <c r="I114" s="447" t="n">
        <f aca="false">I39*I113</f>
        <v>278542.772399834</v>
      </c>
      <c r="J114" s="449" t="n">
        <f aca="false">J39*J113</f>
        <v>357784.418059379</v>
      </c>
      <c r="K114" s="450"/>
      <c r="L114" s="460"/>
    </row>
    <row r="115" customFormat="false" ht="15.6" hidden="false" customHeight="false" outlineLevel="0" collapsed="false">
      <c r="A115" s="467" t="s">
        <v>429</v>
      </c>
      <c r="B115" s="437" t="s">
        <v>314</v>
      </c>
      <c r="C115" s="469" t="n">
        <f aca="false">C106+C108+C110-C112-C114</f>
        <v>4789200</v>
      </c>
      <c r="D115" s="469" t="n">
        <f aca="false">D106+D108+D110-D112-D114</f>
        <v>5982060</v>
      </c>
      <c r="E115" s="537" t="n">
        <f aca="false">E106+E108+E110-E112-E114</f>
        <v>7246638</v>
      </c>
      <c r="F115" s="469" t="n">
        <f aca="false">F106+F108+F110-F112-F114</f>
        <v>9831024.3280661</v>
      </c>
      <c r="G115" s="469" t="n">
        <f aca="false">G106+G108+G110-G112-G114</f>
        <v>13285554.1237252</v>
      </c>
      <c r="H115" s="469" t="n">
        <f aca="false">H106+H108+H110-H112-H114</f>
        <v>17325626.1449007</v>
      </c>
      <c r="I115" s="469" t="n">
        <f aca="false">I106+I108+I110-I112-I114</f>
        <v>26694082.504653</v>
      </c>
      <c r="J115" s="538" t="n">
        <f aca="false">J106+J108+J110-J112-J114</f>
        <v>33250546.3684075</v>
      </c>
      <c r="K115" s="459"/>
      <c r="L115" s="460"/>
    </row>
    <row r="116" customFormat="false" ht="15.6" hidden="false" customHeight="false" outlineLevel="0" collapsed="false">
      <c r="A116" s="436" t="s">
        <v>430</v>
      </c>
      <c r="B116" s="437" t="s">
        <v>314</v>
      </c>
      <c r="C116" s="2"/>
      <c r="D116" s="447" t="n">
        <f aca="false">D115-C115</f>
        <v>1192860</v>
      </c>
      <c r="E116" s="448" t="n">
        <f aca="false">E115-D115</f>
        <v>1264578</v>
      </c>
      <c r="F116" s="447" t="n">
        <f aca="false">F115-E115</f>
        <v>2584386.3280661</v>
      </c>
      <c r="G116" s="447" t="n">
        <f aca="false">G115-F115</f>
        <v>3454529.79565909</v>
      </c>
      <c r="H116" s="447" t="n">
        <f aca="false">H115-G115</f>
        <v>4040072.02117551</v>
      </c>
      <c r="I116" s="447" t="n">
        <f aca="false">I115-H115</f>
        <v>9368456.35975228</v>
      </c>
      <c r="J116" s="449" t="n">
        <f aca="false">J115-I115</f>
        <v>6556463.86375452</v>
      </c>
      <c r="K116" s="450"/>
      <c r="L116" s="460"/>
    </row>
    <row r="117" customFormat="false" ht="15.75" hidden="false" customHeight="true" outlineLevel="0" collapsed="false">
      <c r="A117" s="485" t="s">
        <v>431</v>
      </c>
      <c r="B117" s="454" t="s">
        <v>311</v>
      </c>
      <c r="C117" s="486" t="n">
        <f aca="false">C115/C39</f>
        <v>0.246380330729531</v>
      </c>
      <c r="D117" s="486" t="n">
        <f aca="false">D115/D39</f>
        <v>0.193417126103177</v>
      </c>
      <c r="E117" s="543" t="n">
        <f aca="false">E115/E39</f>
        <v>0.152411506992873</v>
      </c>
      <c r="F117" s="486" t="n">
        <f aca="false">F115/F39</f>
        <v>0.154396654587493</v>
      </c>
      <c r="G117" s="486" t="n">
        <f aca="false">G115/G39</f>
        <v>0.163120315425613</v>
      </c>
      <c r="H117" s="486" t="n">
        <f aca="false">H115/H39</f>
        <v>0.172557255023864</v>
      </c>
      <c r="I117" s="486" t="n">
        <f aca="false">I115/I39</f>
        <v>0.191669539831642</v>
      </c>
      <c r="J117" s="487" t="n">
        <f aca="false">J115/J39</f>
        <v>0.185869169757354</v>
      </c>
      <c r="K117" s="445"/>
      <c r="L117" s="460"/>
    </row>
    <row r="118" customFormat="false" ht="15.75" hidden="false" customHeight="true" outlineLevel="0" collapsed="false">
      <c r="A118" s="416"/>
      <c r="B118" s="409"/>
      <c r="C118" s="2"/>
      <c r="D118" s="2"/>
      <c r="E118" s="410"/>
      <c r="F118" s="2"/>
      <c r="G118" s="2"/>
      <c r="H118" s="2"/>
      <c r="I118" s="2"/>
      <c r="J118" s="2"/>
      <c r="K118" s="73"/>
      <c r="L118" s="460"/>
    </row>
    <row r="119" customFormat="false" ht="15.6" hidden="false" customHeight="false" outlineLevel="0" collapsed="false">
      <c r="A119" s="544" t="s">
        <v>432</v>
      </c>
      <c r="B119" s="545"/>
      <c r="C119" s="546"/>
      <c r="D119" s="546"/>
      <c r="E119" s="547"/>
      <c r="F119" s="546"/>
      <c r="G119" s="546"/>
      <c r="H119" s="546"/>
      <c r="I119" s="546"/>
      <c r="J119" s="548"/>
      <c r="K119" s="73"/>
      <c r="L119" s="503"/>
    </row>
    <row r="120" customFormat="false" ht="15.6" hidden="false" customHeight="false" outlineLevel="0" collapsed="false">
      <c r="A120" s="436" t="s">
        <v>433</v>
      </c>
      <c r="B120" s="437" t="s">
        <v>311</v>
      </c>
      <c r="C120" s="2"/>
      <c r="D120" s="2"/>
      <c r="E120" s="410"/>
      <c r="F120" s="515" t="n">
        <v>0.05</v>
      </c>
      <c r="G120" s="515" t="n">
        <v>0.05</v>
      </c>
      <c r="H120" s="515" t="n">
        <v>0.05</v>
      </c>
      <c r="I120" s="515" t="n">
        <v>0.05</v>
      </c>
      <c r="J120" s="516" t="n">
        <v>0.05</v>
      </c>
      <c r="K120" s="517"/>
      <c r="L120" s="446" t="s">
        <v>434</v>
      </c>
    </row>
    <row r="121" customFormat="false" ht="15.6" hidden="false" customHeight="false" outlineLevel="0" collapsed="false">
      <c r="A121" s="436" t="s">
        <v>435</v>
      </c>
      <c r="B121" s="437" t="s">
        <v>314</v>
      </c>
      <c r="C121" s="2"/>
      <c r="D121" s="2"/>
      <c r="E121" s="410"/>
      <c r="F121" s="447" t="n">
        <f aca="false">F39*F120</f>
        <v>3183690.849498</v>
      </c>
      <c r="G121" s="447" t="n">
        <f aca="false">G39*G120</f>
        <v>4072317.44527362</v>
      </c>
      <c r="H121" s="447" t="n">
        <f aca="false">H39*H120</f>
        <v>5020254.33312109</v>
      </c>
      <c r="I121" s="447" t="n">
        <f aca="false">I39*I120</f>
        <v>6963569.30999585</v>
      </c>
      <c r="J121" s="449" t="n">
        <f aca="false">J39*J120</f>
        <v>8944610.45148448</v>
      </c>
      <c r="K121" s="450"/>
      <c r="L121" s="460"/>
    </row>
    <row r="122" customFormat="false" ht="15.6" hidden="false" customHeight="false" outlineLevel="0" collapsed="false">
      <c r="A122" s="436" t="s">
        <v>436</v>
      </c>
      <c r="B122" s="437" t="s">
        <v>314</v>
      </c>
      <c r="C122" s="513" t="n">
        <f aca="false">'Balance Sheet'!D45</f>
        <v>90000</v>
      </c>
      <c r="D122" s="513" t="n">
        <f aca="false">'Balance Sheet'!E45</f>
        <v>108000</v>
      </c>
      <c r="E122" s="514" t="n">
        <f aca="false">'Balance Sheet'!F45</f>
        <v>102600</v>
      </c>
      <c r="F122" s="447" t="n">
        <f aca="false">E122</f>
        <v>102600</v>
      </c>
      <c r="G122" s="447" t="n">
        <f aca="false">F122</f>
        <v>102600</v>
      </c>
      <c r="H122" s="447" t="n">
        <f aca="false">G122</f>
        <v>102600</v>
      </c>
      <c r="I122" s="447" t="n">
        <f aca="false">H122</f>
        <v>102600</v>
      </c>
      <c r="J122" s="449" t="n">
        <f aca="false">I122</f>
        <v>102600</v>
      </c>
      <c r="K122" s="450"/>
      <c r="L122" s="446" t="s">
        <v>437</v>
      </c>
    </row>
    <row r="123" customFormat="false" ht="15.6" hidden="false" customHeight="false" outlineLevel="0" collapsed="false">
      <c r="A123" s="436" t="s">
        <v>438</v>
      </c>
      <c r="B123" s="437" t="s">
        <v>314</v>
      </c>
      <c r="C123" s="513" t="n">
        <f aca="false">'Balance Sheet'!D58</f>
        <v>1200000</v>
      </c>
      <c r="D123" s="513" t="n">
        <f aca="false">'Balance Sheet'!E58</f>
        <v>1500000</v>
      </c>
      <c r="E123" s="514" t="n">
        <f aca="false">'Balance Sheet'!F58</f>
        <v>1500000</v>
      </c>
      <c r="F123" s="447" t="n">
        <f aca="false">E123</f>
        <v>1500000</v>
      </c>
      <c r="G123" s="447" t="n">
        <f aca="false">F123</f>
        <v>1500000</v>
      </c>
      <c r="H123" s="447" t="n">
        <f aca="false">G123</f>
        <v>1500000</v>
      </c>
      <c r="I123" s="447" t="n">
        <f aca="false">H123</f>
        <v>1500000</v>
      </c>
      <c r="J123" s="449" t="n">
        <f aca="false">I123</f>
        <v>1500000</v>
      </c>
      <c r="K123" s="450"/>
      <c r="L123" s="446" t="s">
        <v>439</v>
      </c>
    </row>
    <row r="124" customFormat="false" ht="15.6" hidden="false" customHeight="false" outlineLevel="0" collapsed="false">
      <c r="A124" s="549" t="s">
        <v>440</v>
      </c>
      <c r="B124" s="437" t="s">
        <v>311</v>
      </c>
      <c r="C124" s="2"/>
      <c r="D124" s="2"/>
      <c r="E124" s="556"/>
      <c r="F124" s="2"/>
      <c r="G124" s="2"/>
      <c r="H124" s="557" t="n">
        <v>0.6</v>
      </c>
      <c r="I124" s="2"/>
      <c r="J124" s="37"/>
      <c r="K124" s="73"/>
      <c r="L124" s="446" t="s">
        <v>441</v>
      </c>
    </row>
    <row r="125" customFormat="false" ht="15.6" hidden="false" customHeight="false" outlineLevel="0" collapsed="false">
      <c r="A125" s="436" t="s">
        <v>442</v>
      </c>
      <c r="B125" s="437" t="s">
        <v>314</v>
      </c>
      <c r="C125" s="2"/>
      <c r="D125" s="2"/>
      <c r="E125" s="410"/>
      <c r="F125" s="447" t="n">
        <f aca="false">IF(F$7=$C$156,F96*$H$124,0)</f>
        <v>0</v>
      </c>
      <c r="G125" s="447" t="n">
        <f aca="false">IF(G$7=$C$156,G96*$H$124,0)</f>
        <v>0</v>
      </c>
      <c r="H125" s="447" t="n">
        <f aca="false">IF(H$7=$C$156,H96*$H$124,0)</f>
        <v>39157983.7983445</v>
      </c>
      <c r="I125" s="447" t="n">
        <f aca="false">IF(I$7=$C$156,I96*$H$124,0)</f>
        <v>0</v>
      </c>
      <c r="J125" s="449" t="n">
        <f aca="false">IF(J$7=$C$156,J96*$H$124,0)</f>
        <v>0</v>
      </c>
      <c r="K125" s="450"/>
      <c r="L125" s="460"/>
    </row>
    <row r="126" customFormat="false" ht="15.6" hidden="false" customHeight="false" outlineLevel="0" collapsed="false">
      <c r="A126" s="436" t="s">
        <v>443</v>
      </c>
      <c r="B126" s="437" t="s">
        <v>314</v>
      </c>
      <c r="C126" s="2"/>
      <c r="D126" s="2"/>
      <c r="E126" s="410"/>
      <c r="F126" s="447" t="n">
        <f aca="false">IF(F$7&gt;=$C$156+2,SUM($F$125:$J$125)/5,0)</f>
        <v>0</v>
      </c>
      <c r="G126" s="447" t="n">
        <f aca="false">IF(G$7&gt;=$C$156+2,SUM($F$125:$J$125)/5,0)</f>
        <v>0</v>
      </c>
      <c r="H126" s="447" t="n">
        <f aca="false">IF(H$7&gt;=$C$156+2,SUM($F$125:$J$125)/5,0)</f>
        <v>0</v>
      </c>
      <c r="I126" s="447" t="n">
        <f aca="false">IF(I$7&gt;=$C$156+2,SUM($F$125:$J$125)/5,0)</f>
        <v>0</v>
      </c>
      <c r="J126" s="449" t="n">
        <f aca="false">IF(J$7&gt;=$C$156+2,SUM($F$125:$J$125)/5,0)</f>
        <v>7831596.7596689</v>
      </c>
      <c r="K126" s="450"/>
      <c r="L126" s="446" t="s">
        <v>444</v>
      </c>
    </row>
    <row r="127" customFormat="false" ht="15.6" hidden="false" customHeight="false" outlineLevel="0" collapsed="false">
      <c r="A127" s="436" t="s">
        <v>445</v>
      </c>
      <c r="B127" s="437" t="s">
        <v>314</v>
      </c>
      <c r="C127" s="2"/>
      <c r="D127" s="2"/>
      <c r="E127" s="466" t="n">
        <v>0</v>
      </c>
      <c r="F127" s="447" t="n">
        <f aca="false">E127+F125-F126</f>
        <v>0</v>
      </c>
      <c r="G127" s="447" t="n">
        <f aca="false">F127+G125-G126</f>
        <v>0</v>
      </c>
      <c r="H127" s="447" t="n">
        <f aca="false">G127+H125-H126</f>
        <v>39157983.7983445</v>
      </c>
      <c r="I127" s="447" t="n">
        <f aca="false">H127+I125-I126</f>
        <v>39157983.7983445</v>
      </c>
      <c r="J127" s="449" t="n">
        <f aca="false">I127+J125-J126</f>
        <v>31326387.0386756</v>
      </c>
      <c r="K127" s="450"/>
      <c r="L127" s="446" t="s">
        <v>446</v>
      </c>
    </row>
    <row r="128" customFormat="false" ht="15.6" hidden="false" customHeight="false" outlineLevel="0" collapsed="false">
      <c r="A128" s="467" t="s">
        <v>447</v>
      </c>
      <c r="B128" s="437" t="s">
        <v>314</v>
      </c>
      <c r="C128" s="469" t="n">
        <f aca="false">C123</f>
        <v>1200000</v>
      </c>
      <c r="D128" s="469" t="n">
        <f aca="false">D123</f>
        <v>1500000</v>
      </c>
      <c r="E128" s="537" t="n">
        <f aca="false">E123</f>
        <v>1500000</v>
      </c>
      <c r="F128" s="469" t="n">
        <f aca="false">SUM(F123,F127)</f>
        <v>1500000</v>
      </c>
      <c r="G128" s="469" t="n">
        <f aca="false">SUM(G123,G127)</f>
        <v>1500000</v>
      </c>
      <c r="H128" s="469" t="n">
        <f aca="false">SUM(H123,H127)</f>
        <v>40657983.7983445</v>
      </c>
      <c r="I128" s="469" t="n">
        <f aca="false">SUM(I123,I127)</f>
        <v>40657983.7983445</v>
      </c>
      <c r="J128" s="538" t="n">
        <f aca="false">SUM(J123,J127)</f>
        <v>32826387.0386756</v>
      </c>
      <c r="K128" s="459"/>
      <c r="L128" s="460"/>
    </row>
    <row r="129" customFormat="false" ht="15.6" hidden="false" customHeight="false" outlineLevel="0" collapsed="false">
      <c r="A129" s="436" t="s">
        <v>448</v>
      </c>
      <c r="B129" s="437" t="s">
        <v>311</v>
      </c>
      <c r="C129" s="2"/>
      <c r="D129" s="2"/>
      <c r="E129" s="410"/>
      <c r="F129" s="540" t="n">
        <f aca="false">'Discount rate'!$B$14</f>
        <v>0.1</v>
      </c>
      <c r="G129" s="540" t="n">
        <f aca="false">'Discount rate'!$B$14</f>
        <v>0.1</v>
      </c>
      <c r="H129" s="540" t="n">
        <f aca="false">'Discount rate'!$B$14</f>
        <v>0.1</v>
      </c>
      <c r="I129" s="540" t="n">
        <f aca="false">'Discount rate'!$B$14</f>
        <v>0.1</v>
      </c>
      <c r="J129" s="541" t="n">
        <f aca="false">'Discount rate'!$B$14</f>
        <v>0.1</v>
      </c>
      <c r="K129" s="542"/>
      <c r="L129" s="446" t="s">
        <v>251</v>
      </c>
    </row>
    <row r="130" customFormat="false" ht="15.6" hidden="false" customHeight="false" outlineLevel="0" collapsed="false">
      <c r="A130" s="436" t="s">
        <v>449</v>
      </c>
      <c r="B130" s="437" t="s">
        <v>314</v>
      </c>
      <c r="C130" s="513" t="n">
        <f aca="false">'Income Statement'!B67</f>
        <v>114300</v>
      </c>
      <c r="D130" s="513" t="n">
        <f aca="false">'Income Statement'!C67</f>
        <v>142560</v>
      </c>
      <c r="E130" s="514" t="n">
        <f aca="false">'Income Statement'!D67</f>
        <v>142182</v>
      </c>
      <c r="F130" s="447" t="n">
        <f aca="false">F129*(SUM(E122,E128)+SUM(F122,F128))/2</f>
        <v>160260</v>
      </c>
      <c r="G130" s="447" t="n">
        <f aca="false">G129*(SUM(F122,F128)+SUM(G122,G128))/2</f>
        <v>160260</v>
      </c>
      <c r="H130" s="447" t="n">
        <f aca="false">H129*(SUM(G122,G128)+SUM(H122,H128))/2</f>
        <v>2118159.18991723</v>
      </c>
      <c r="I130" s="447" t="n">
        <f aca="false">I129*(SUM(H122,H128)+SUM(I122,I128))/2</f>
        <v>4076058.37983445</v>
      </c>
      <c r="J130" s="449" t="n">
        <f aca="false">J129*(SUM(I122,I128)+SUM(J122,J128))/2</f>
        <v>3684478.54185101</v>
      </c>
      <c r="K130" s="450"/>
      <c r="L130" s="451" t="s">
        <v>450</v>
      </c>
    </row>
    <row r="131" customFormat="false" ht="15.6" hidden="false" customHeight="false" outlineLevel="0" collapsed="false">
      <c r="A131" s="436" t="s">
        <v>451</v>
      </c>
      <c r="B131" s="437" t="s">
        <v>311</v>
      </c>
      <c r="C131" s="475" t="n">
        <f aca="false">C130/C39</f>
        <v>0.0058801619899744</v>
      </c>
      <c r="D131" s="475" t="n">
        <f aca="false">D130/D39</f>
        <v>0.00460937294130599</v>
      </c>
      <c r="E131" s="555" t="n">
        <f aca="false">E130/E39</f>
        <v>0.00299037607332679</v>
      </c>
      <c r="F131" s="475" t="n">
        <f aca="false">F130/F39</f>
        <v>0.00251689010610546</v>
      </c>
      <c r="G131" s="475" t="n">
        <f aca="false">G130/G39</f>
        <v>0.00196767568041631</v>
      </c>
      <c r="H131" s="475" t="n">
        <f aca="false">H130/H39</f>
        <v>0.021096134272946</v>
      </c>
      <c r="I131" s="475" t="n">
        <f aca="false">I130/I39</f>
        <v>0.0292670195296504</v>
      </c>
      <c r="J131" s="558" t="n">
        <f aca="false">J130/J39</f>
        <v>0.0205960816395281</v>
      </c>
      <c r="K131" s="502"/>
      <c r="L131" s="460"/>
    </row>
    <row r="132" customFormat="false" ht="15.6" hidden="false" customHeight="false" outlineLevel="0" collapsed="false">
      <c r="A132" s="467" t="s">
        <v>452</v>
      </c>
      <c r="B132" s="437" t="s">
        <v>314</v>
      </c>
      <c r="C132" s="2"/>
      <c r="D132" s="2"/>
      <c r="E132" s="410"/>
      <c r="F132" s="469" t="n">
        <f aca="false">IF(F$7=2026,'Pro Forma'!$B$61,0)</f>
        <v>40464671.3598887</v>
      </c>
      <c r="G132" s="469" t="n">
        <f aca="false">IF(G$7=2026,'Pro Forma'!$B$61,0)</f>
        <v>0</v>
      </c>
      <c r="H132" s="469" t="n">
        <f aca="false">IF(H$7=2026,'Pro Forma'!$B$61,0)</f>
        <v>0</v>
      </c>
      <c r="I132" s="469" t="n">
        <f aca="false">IF(I$7=2026,'Pro Forma'!$B$61,0)</f>
        <v>0</v>
      </c>
      <c r="J132" s="538" t="n">
        <f aca="false">IF(J$7=2026,'Pro Forma'!$B$61,0)</f>
        <v>0</v>
      </c>
      <c r="K132" s="459"/>
      <c r="L132" s="446" t="s">
        <v>453</v>
      </c>
    </row>
    <row r="133" customFormat="false" ht="15.6" hidden="false" customHeight="false" outlineLevel="0" collapsed="false">
      <c r="A133" s="436" t="s">
        <v>454</v>
      </c>
      <c r="B133" s="437" t="s">
        <v>314</v>
      </c>
      <c r="C133" s="2"/>
      <c r="D133" s="2"/>
      <c r="E133" s="410"/>
      <c r="F133" s="447" t="n">
        <f aca="false">E135</f>
        <v>2171792.2345</v>
      </c>
      <c r="G133" s="447" t="n">
        <f aca="false">F135</f>
        <v>0</v>
      </c>
      <c r="H133" s="447" t="n">
        <f aca="false">G135</f>
        <v>0</v>
      </c>
      <c r="I133" s="447" t="n">
        <f aca="false">H135</f>
        <v>0</v>
      </c>
      <c r="J133" s="449" t="n">
        <f aca="false">I135</f>
        <v>0</v>
      </c>
      <c r="K133" s="450"/>
      <c r="L133" s="460"/>
    </row>
    <row r="134" customFormat="false" ht="15.6" hidden="false" customHeight="false" outlineLevel="0" collapsed="false">
      <c r="A134" s="436" t="s">
        <v>455</v>
      </c>
      <c r="B134" s="437" t="s">
        <v>314</v>
      </c>
      <c r="C134" s="2"/>
      <c r="D134" s="2"/>
      <c r="E134" s="410"/>
      <c r="F134" s="447" t="n">
        <f aca="false">MIN(F133,MAX(0,F137))</f>
        <v>2171792.2345</v>
      </c>
      <c r="G134" s="447" t="n">
        <f aca="false">MIN(G133,MAX(0,G137))</f>
        <v>0</v>
      </c>
      <c r="H134" s="447" t="n">
        <f aca="false">MIN(H133,MAX(0,H137))</f>
        <v>0</v>
      </c>
      <c r="I134" s="447" t="n">
        <f aca="false">MIN(I133,MAX(0,I137))</f>
        <v>0</v>
      </c>
      <c r="J134" s="449" t="n">
        <f aca="false">MIN(J133,MAX(0,J137))</f>
        <v>0</v>
      </c>
      <c r="K134" s="450"/>
      <c r="L134" s="460"/>
    </row>
    <row r="135" customFormat="false" ht="15.6" hidden="false" customHeight="false" outlineLevel="0" collapsed="false">
      <c r="A135" s="436" t="s">
        <v>456</v>
      </c>
      <c r="B135" s="437" t="s">
        <v>314</v>
      </c>
      <c r="C135" s="2"/>
      <c r="D135" s="2"/>
      <c r="E135" s="514" t="n">
        <f aca="false">-'Balance Sheet'!F72</f>
        <v>2171792.2345</v>
      </c>
      <c r="F135" s="447" t="n">
        <f aca="false">F133-F134+MAX(0,-F137)</f>
        <v>0</v>
      </c>
      <c r="G135" s="447" t="n">
        <f aca="false">G133-G134+MAX(0,-G137)</f>
        <v>0</v>
      </c>
      <c r="H135" s="447" t="n">
        <f aca="false">H133-H134+MAX(0,-H137)</f>
        <v>0</v>
      </c>
      <c r="I135" s="447" t="n">
        <f aca="false">I133-I134+MAX(0,-I137)</f>
        <v>0</v>
      </c>
      <c r="J135" s="449" t="n">
        <f aca="false">J133-J134+MAX(0,-J137)</f>
        <v>0</v>
      </c>
      <c r="K135" s="450"/>
      <c r="L135" s="446" t="s">
        <v>457</v>
      </c>
    </row>
    <row r="136" customFormat="false" ht="15.6" hidden="false" customHeight="false" outlineLevel="0" collapsed="false">
      <c r="A136" s="436" t="s">
        <v>458</v>
      </c>
      <c r="B136" s="437" t="s">
        <v>311</v>
      </c>
      <c r="C136" s="2"/>
      <c r="D136" s="2"/>
      <c r="E136" s="410"/>
      <c r="F136" s="443" t="n">
        <f aca="false">IF(E39&lt;=$C$166,$C$165,Assumption!$B$13)</f>
        <v>0.17</v>
      </c>
      <c r="G136" s="443" t="n">
        <f aca="false">IF(F39&lt;=$C$166,$C$165,Assumption!$B$13)</f>
        <v>0.2</v>
      </c>
      <c r="H136" s="443" t="n">
        <f aca="false">IF(G39&lt;=$C$166,$C$165,Assumption!$B$13)</f>
        <v>0.2</v>
      </c>
      <c r="I136" s="443" t="n">
        <f aca="false">IF(H39&lt;=$C$166,$C$165,Assumption!$B$13)</f>
        <v>0.2</v>
      </c>
      <c r="J136" s="444" t="n">
        <f aca="false">IF(I39&lt;=$C$166,$C$165,Assumption!$B$13)</f>
        <v>0.2</v>
      </c>
      <c r="K136" s="445"/>
      <c r="L136" s="446" t="s">
        <v>459</v>
      </c>
    </row>
    <row r="137" customFormat="false" ht="15.6" hidden="false" customHeight="false" outlineLevel="0" collapsed="false">
      <c r="A137" s="436" t="s">
        <v>460</v>
      </c>
      <c r="B137" s="437" t="s">
        <v>314</v>
      </c>
      <c r="C137" s="2"/>
      <c r="D137" s="2"/>
      <c r="E137" s="410"/>
      <c r="F137" s="513" t="n">
        <f aca="false">'Income Statement'!E74</f>
        <v>7481849.63464664</v>
      </c>
      <c r="G137" s="513" t="n">
        <f aca="false">'Income Statement'!F74</f>
        <v>10568952.9880578</v>
      </c>
      <c r="H137" s="513" t="n">
        <f aca="false">'Income Statement'!G74</f>
        <v>10715827.4140777</v>
      </c>
      <c r="I137" s="513" t="n">
        <f aca="false">'Income Statement'!H74</f>
        <v>6060401.87395824</v>
      </c>
      <c r="J137" s="559" t="n">
        <f aca="false">'Income Statement'!I74</f>
        <v>16717682.5054892</v>
      </c>
      <c r="K137" s="560"/>
      <c r="L137" s="460"/>
    </row>
    <row r="138" customFormat="false" ht="15.6" hidden="false" customHeight="false" outlineLevel="0" collapsed="false">
      <c r="A138" s="467" t="s">
        <v>461</v>
      </c>
      <c r="B138" s="437" t="s">
        <v>314</v>
      </c>
      <c r="C138" s="468" t="n">
        <f aca="false">'Income Statement'!B76</f>
        <v>0</v>
      </c>
      <c r="D138" s="468" t="n">
        <f aca="false">'Income Statement'!C76</f>
        <v>0</v>
      </c>
      <c r="E138" s="561" t="n">
        <f aca="false">'Income Statement'!D76</f>
        <v>0</v>
      </c>
      <c r="F138" s="469" t="n">
        <f aca="false">F136*MAX(0,F137-F134)</f>
        <v>902709.758024928</v>
      </c>
      <c r="G138" s="469" t="n">
        <f aca="false">G136*MAX(0,G137-G134)</f>
        <v>2113790.59761156</v>
      </c>
      <c r="H138" s="469" t="n">
        <f aca="false">H136*MAX(0,H137-H134)</f>
        <v>2143165.48281554</v>
      </c>
      <c r="I138" s="469" t="n">
        <f aca="false">I136*MAX(0,I137-I134)</f>
        <v>1212080.37479165</v>
      </c>
      <c r="J138" s="538" t="n">
        <f aca="false">J136*MAX(0,J137-J134)</f>
        <v>3343536.50109784</v>
      </c>
      <c r="K138" s="459"/>
      <c r="L138" s="460"/>
    </row>
    <row r="139" customFormat="false" ht="15.75" hidden="false" customHeight="true" outlineLevel="0" collapsed="false">
      <c r="A139" s="485" t="s">
        <v>462</v>
      </c>
      <c r="B139" s="454" t="s">
        <v>311</v>
      </c>
      <c r="C139" s="498"/>
      <c r="D139" s="498"/>
      <c r="E139" s="562"/>
      <c r="F139" s="486" t="n">
        <f aca="false">IF(F137&gt;0,F138/F137,0)</f>
        <v>0.120653287904197</v>
      </c>
      <c r="G139" s="486" t="n">
        <f aca="false">IF(G137&gt;0,G138/G137,0)</f>
        <v>0.2</v>
      </c>
      <c r="H139" s="486" t="n">
        <f aca="false">IF(H137&gt;0,H138/H137,0)</f>
        <v>0.2</v>
      </c>
      <c r="I139" s="486" t="n">
        <f aca="false">IF(I137&gt;0,I138/I137,0)</f>
        <v>0.2</v>
      </c>
      <c r="J139" s="487" t="n">
        <f aca="false">IF(J137&gt;0,J138/J137,0)</f>
        <v>0.2</v>
      </c>
      <c r="K139" s="445"/>
      <c r="L139" s="460"/>
    </row>
    <row r="140" customFormat="false" ht="15.6" hidden="false" customHeight="false" outlineLevel="0" collapsed="false">
      <c r="A140" s="416"/>
      <c r="B140" s="409"/>
      <c r="C140" s="2"/>
      <c r="D140" s="2"/>
      <c r="E140" s="410"/>
      <c r="F140" s="2"/>
      <c r="G140" s="2"/>
      <c r="H140" s="2"/>
      <c r="I140" s="2"/>
      <c r="J140" s="2"/>
      <c r="K140" s="73"/>
      <c r="L140" s="460"/>
    </row>
    <row r="141" customFormat="false" ht="15.75" hidden="false" customHeight="true" outlineLevel="0" collapsed="false">
      <c r="A141" s="563" t="s">
        <v>463</v>
      </c>
      <c r="B141" s="564"/>
      <c r="C141" s="565"/>
      <c r="D141" s="565"/>
      <c r="E141" s="566"/>
      <c r="F141" s="565"/>
      <c r="G141" s="565"/>
      <c r="H141" s="565"/>
      <c r="I141" s="565"/>
      <c r="J141" s="565"/>
      <c r="K141" s="73"/>
      <c r="L141" s="503"/>
    </row>
    <row r="142" customFormat="false" ht="15.6" hidden="false" customHeight="false" outlineLevel="0" collapsed="false">
      <c r="A142" s="525" t="s">
        <v>464</v>
      </c>
      <c r="B142" s="462"/>
      <c r="C142" s="567" t="s">
        <v>465</v>
      </c>
      <c r="D142" s="567" t="s">
        <v>466</v>
      </c>
      <c r="E142" s="568" t="s">
        <v>467</v>
      </c>
      <c r="F142" s="2"/>
      <c r="G142" s="2"/>
      <c r="H142" s="2"/>
      <c r="I142" s="2"/>
      <c r="J142" s="2"/>
      <c r="K142" s="73"/>
      <c r="L142" s="460"/>
    </row>
    <row r="143" customFormat="false" ht="15.6" hidden="false" customHeight="false" outlineLevel="0" collapsed="false">
      <c r="A143" s="436" t="s">
        <v>468</v>
      </c>
      <c r="B143" s="409"/>
      <c r="C143" s="569" t="n">
        <v>0.7</v>
      </c>
      <c r="D143" s="569" t="n">
        <v>1</v>
      </c>
      <c r="E143" s="570" t="n">
        <v>1.2</v>
      </c>
      <c r="F143" s="2"/>
      <c r="G143" s="2"/>
      <c r="H143" s="2"/>
      <c r="I143" s="2"/>
      <c r="J143" s="2"/>
      <c r="K143" s="73"/>
      <c r="L143" s="446" t="s">
        <v>469</v>
      </c>
    </row>
    <row r="144" customFormat="false" ht="15.6" hidden="false" customHeight="false" outlineLevel="0" collapsed="false">
      <c r="A144" s="436" t="s">
        <v>470</v>
      </c>
      <c r="B144" s="409"/>
      <c r="C144" s="515" t="n">
        <v>0.01</v>
      </c>
      <c r="D144" s="515" t="n">
        <v>0.02</v>
      </c>
      <c r="E144" s="571" t="n">
        <v>0.025</v>
      </c>
      <c r="F144" s="2"/>
      <c r="G144" s="2"/>
      <c r="H144" s="2"/>
      <c r="I144" s="2"/>
      <c r="J144" s="2"/>
      <c r="K144" s="73"/>
      <c r="L144" s="446" t="s">
        <v>471</v>
      </c>
    </row>
    <row r="145" customFormat="false" ht="15.6" hidden="false" customHeight="false" outlineLevel="0" collapsed="false">
      <c r="A145" s="436" t="s">
        <v>472</v>
      </c>
      <c r="B145" s="409"/>
      <c r="C145" s="515" t="n">
        <v>0.005</v>
      </c>
      <c r="D145" s="515" t="n">
        <v>0.015</v>
      </c>
      <c r="E145" s="571" t="n">
        <v>0.02</v>
      </c>
      <c r="F145" s="2"/>
      <c r="G145" s="2"/>
      <c r="H145" s="2"/>
      <c r="I145" s="2"/>
      <c r="J145" s="2"/>
      <c r="K145" s="73"/>
      <c r="L145" s="446" t="s">
        <v>473</v>
      </c>
    </row>
    <row r="146" customFormat="false" ht="15.6" hidden="false" customHeight="false" outlineLevel="0" collapsed="false">
      <c r="A146" s="436" t="s">
        <v>474</v>
      </c>
      <c r="B146" s="409"/>
      <c r="C146" s="515" t="n">
        <v>0.01</v>
      </c>
      <c r="D146" s="515" t="n">
        <v>0</v>
      </c>
      <c r="E146" s="571" t="n">
        <v>-0.005</v>
      </c>
      <c r="F146" s="2"/>
      <c r="G146" s="2"/>
      <c r="H146" s="2"/>
      <c r="I146" s="2"/>
      <c r="J146" s="2"/>
      <c r="K146" s="73"/>
      <c r="L146" s="446" t="s">
        <v>475</v>
      </c>
    </row>
    <row r="147" customFormat="false" ht="15.75" hidden="false" customHeight="true" outlineLevel="0" collapsed="false">
      <c r="A147" s="485" t="s">
        <v>476</v>
      </c>
      <c r="B147" s="572"/>
      <c r="C147" s="573" t="n">
        <v>0.005</v>
      </c>
      <c r="D147" s="573" t="n">
        <v>0</v>
      </c>
      <c r="E147" s="574" t="n">
        <v>-0.005</v>
      </c>
      <c r="F147" s="2"/>
      <c r="G147" s="2"/>
      <c r="H147" s="2"/>
      <c r="I147" s="2"/>
      <c r="J147" s="2"/>
      <c r="K147" s="73"/>
      <c r="L147" s="446" t="s">
        <v>477</v>
      </c>
    </row>
    <row r="148" customFormat="false" ht="15.75" hidden="false" customHeight="true" outlineLevel="0" collapsed="false">
      <c r="A148" s="416"/>
      <c r="B148" s="409"/>
      <c r="C148" s="2"/>
      <c r="D148" s="2"/>
      <c r="E148" s="410"/>
      <c r="F148" s="2"/>
      <c r="G148" s="2"/>
      <c r="H148" s="2"/>
      <c r="I148" s="2"/>
      <c r="J148" s="2"/>
      <c r="K148" s="73"/>
      <c r="L148" s="460"/>
    </row>
    <row r="149" customFormat="false" ht="15.6" hidden="false" customHeight="false" outlineLevel="0" collapsed="false">
      <c r="A149" s="525" t="s">
        <v>478</v>
      </c>
      <c r="B149" s="462"/>
      <c r="C149" s="463"/>
      <c r="D149" s="463"/>
      <c r="E149" s="464"/>
      <c r="F149" s="567" t="s">
        <v>292</v>
      </c>
      <c r="G149" s="567" t="s">
        <v>293</v>
      </c>
      <c r="H149" s="567" t="s">
        <v>294</v>
      </c>
      <c r="I149" s="567" t="s">
        <v>295</v>
      </c>
      <c r="J149" s="575" t="s">
        <v>296</v>
      </c>
      <c r="K149" s="369"/>
      <c r="L149" s="460"/>
    </row>
    <row r="150" customFormat="false" ht="15.6" hidden="false" customHeight="false" outlineLevel="0" collapsed="false">
      <c r="A150" s="436" t="s">
        <v>479</v>
      </c>
      <c r="B150" s="409"/>
      <c r="C150" s="2"/>
      <c r="D150" s="2"/>
      <c r="E150" s="410"/>
      <c r="F150" s="515" t="n">
        <v>0.32</v>
      </c>
      <c r="G150" s="515" t="n">
        <v>0.25</v>
      </c>
      <c r="H150" s="515" t="n">
        <v>0.2</v>
      </c>
      <c r="I150" s="515" t="n">
        <v>0.35</v>
      </c>
      <c r="J150" s="516" t="n">
        <v>0.25</v>
      </c>
      <c r="K150" s="517"/>
      <c r="L150" s="446" t="s">
        <v>480</v>
      </c>
    </row>
    <row r="151" customFormat="false" ht="15.6" hidden="false" customHeight="false" outlineLevel="0" collapsed="false">
      <c r="A151" s="436" t="s">
        <v>322</v>
      </c>
      <c r="B151" s="409"/>
      <c r="C151" s="2"/>
      <c r="D151" s="2"/>
      <c r="E151" s="410"/>
      <c r="F151" s="515" t="n">
        <v>0.22</v>
      </c>
      <c r="G151" s="515" t="n">
        <v>0.2</v>
      </c>
      <c r="H151" s="515" t="n">
        <v>0.16</v>
      </c>
      <c r="I151" s="515" t="n">
        <v>0.28</v>
      </c>
      <c r="J151" s="516" t="n">
        <v>0.2</v>
      </c>
      <c r="K151" s="517"/>
      <c r="L151" s="446" t="s">
        <v>481</v>
      </c>
    </row>
    <row r="152" customFormat="false" ht="15.6" hidden="false" customHeight="false" outlineLevel="0" collapsed="false">
      <c r="A152" s="436" t="s">
        <v>482</v>
      </c>
      <c r="B152" s="409"/>
      <c r="C152" s="2"/>
      <c r="D152" s="2"/>
      <c r="E152" s="410"/>
      <c r="F152" s="515" t="n">
        <v>0.3</v>
      </c>
      <c r="G152" s="515" t="n">
        <v>0.3</v>
      </c>
      <c r="H152" s="515" t="n">
        <v>0.28</v>
      </c>
      <c r="I152" s="515" t="n">
        <v>0.4</v>
      </c>
      <c r="J152" s="516" t="n">
        <v>0.32</v>
      </c>
      <c r="K152" s="517"/>
      <c r="L152" s="446" t="s">
        <v>483</v>
      </c>
    </row>
    <row r="153" customFormat="false" ht="15.6" hidden="false" customHeight="false" outlineLevel="0" collapsed="false">
      <c r="A153" s="436" t="s">
        <v>484</v>
      </c>
      <c r="B153" s="409"/>
      <c r="C153" s="2"/>
      <c r="D153" s="2"/>
      <c r="E153" s="410"/>
      <c r="F153" s="515" t="n">
        <v>0.6</v>
      </c>
      <c r="G153" s="515" t="n">
        <v>0.5</v>
      </c>
      <c r="H153" s="515" t="n">
        <v>0.45</v>
      </c>
      <c r="I153" s="515" t="n">
        <v>0.7</v>
      </c>
      <c r="J153" s="516" t="n">
        <v>0.45</v>
      </c>
      <c r="K153" s="517"/>
      <c r="L153" s="446" t="s">
        <v>485</v>
      </c>
    </row>
    <row r="154" customFormat="false" ht="15.6" hidden="false" customHeight="false" outlineLevel="0" collapsed="false">
      <c r="A154" s="436" t="s">
        <v>486</v>
      </c>
      <c r="B154" s="409"/>
      <c r="C154" s="2"/>
      <c r="D154" s="2"/>
      <c r="E154" s="410"/>
      <c r="F154" s="515" t="n">
        <v>0.25</v>
      </c>
      <c r="G154" s="515" t="n">
        <v>0.25</v>
      </c>
      <c r="H154" s="515" t="n">
        <v>0.255</v>
      </c>
      <c r="I154" s="515" t="n">
        <v>0.27</v>
      </c>
      <c r="J154" s="516" t="n">
        <v>0.265</v>
      </c>
      <c r="K154" s="517"/>
      <c r="L154" s="446" t="s">
        <v>487</v>
      </c>
    </row>
    <row r="155" customFormat="false" ht="15.75" hidden="false" customHeight="true" outlineLevel="0" collapsed="false">
      <c r="A155" s="485" t="s">
        <v>488</v>
      </c>
      <c r="B155" s="572"/>
      <c r="C155" s="498"/>
      <c r="D155" s="498"/>
      <c r="E155" s="562"/>
      <c r="F155" s="573" t="n">
        <v>0.225</v>
      </c>
      <c r="G155" s="573" t="n">
        <v>0.225</v>
      </c>
      <c r="H155" s="573" t="n">
        <v>0.23</v>
      </c>
      <c r="I155" s="573" t="n">
        <v>0.235</v>
      </c>
      <c r="J155" s="576" t="n">
        <v>0.23</v>
      </c>
      <c r="K155" s="517"/>
      <c r="L155" s="446" t="s">
        <v>489</v>
      </c>
    </row>
    <row r="156" customFormat="false" ht="15.75" hidden="false" customHeight="true" outlineLevel="0" collapsed="false">
      <c r="A156" s="436" t="s">
        <v>490</v>
      </c>
      <c r="B156" s="409" t="s">
        <v>491</v>
      </c>
      <c r="C156" s="577" t="n">
        <v>2028</v>
      </c>
      <c r="D156" s="2"/>
      <c r="E156" s="410"/>
      <c r="F156" s="2"/>
      <c r="G156" s="2"/>
      <c r="H156" s="2"/>
      <c r="I156" s="2"/>
      <c r="J156" s="2"/>
      <c r="K156" s="73"/>
      <c r="L156" s="578" t="s">
        <v>492</v>
      </c>
    </row>
    <row r="157" customFormat="false" ht="15.6" hidden="false" customHeight="false" outlineLevel="0" collapsed="false">
      <c r="A157" s="525" t="s">
        <v>493</v>
      </c>
      <c r="B157" s="462"/>
      <c r="C157" s="465"/>
      <c r="D157" s="2"/>
      <c r="E157" s="410"/>
      <c r="F157" s="2"/>
      <c r="G157" s="2"/>
      <c r="H157" s="2"/>
      <c r="I157" s="2"/>
      <c r="J157" s="2"/>
      <c r="K157" s="73"/>
      <c r="L157" s="460"/>
    </row>
    <row r="158" customFormat="false" ht="15.6" hidden="false" customHeight="false" outlineLevel="0" collapsed="false">
      <c r="A158" s="436" t="s">
        <v>494</v>
      </c>
      <c r="B158" s="409"/>
      <c r="C158" s="516" t="n">
        <v>0.65</v>
      </c>
      <c r="D158" s="2"/>
      <c r="E158" s="410"/>
      <c r="F158" s="2"/>
      <c r="G158" s="2"/>
      <c r="H158" s="2"/>
      <c r="I158" s="2"/>
      <c r="J158" s="2"/>
      <c r="K158" s="73"/>
      <c r="L158" s="446" t="s">
        <v>495</v>
      </c>
    </row>
    <row r="159" customFormat="false" ht="15.6" hidden="false" customHeight="false" outlineLevel="0" collapsed="false">
      <c r="A159" s="436" t="s">
        <v>496</v>
      </c>
      <c r="B159" s="409"/>
      <c r="C159" s="516" t="n">
        <v>0.12</v>
      </c>
      <c r="D159" s="2"/>
      <c r="E159" s="410"/>
      <c r="F159" s="2"/>
      <c r="G159" s="2"/>
      <c r="H159" s="2"/>
      <c r="I159" s="2"/>
      <c r="J159" s="2"/>
      <c r="K159" s="73"/>
      <c r="L159" s="446" t="s">
        <v>497</v>
      </c>
    </row>
    <row r="160" customFormat="false" ht="15.6" hidden="false" customHeight="false" outlineLevel="0" collapsed="false">
      <c r="A160" s="436" t="s">
        <v>498</v>
      </c>
      <c r="B160" s="409"/>
      <c r="C160" s="579" t="n">
        <v>900000</v>
      </c>
      <c r="D160" s="2"/>
      <c r="E160" s="410"/>
      <c r="F160" s="2"/>
      <c r="G160" s="2"/>
      <c r="H160" s="2"/>
      <c r="I160" s="2"/>
      <c r="J160" s="2"/>
      <c r="K160" s="73"/>
      <c r="L160" s="446" t="s">
        <v>499</v>
      </c>
    </row>
    <row r="161" customFormat="false" ht="15.6" hidden="false" customHeight="false" outlineLevel="0" collapsed="false">
      <c r="A161" s="436" t="s">
        <v>500</v>
      </c>
      <c r="B161" s="409"/>
      <c r="C161" s="516" t="n">
        <v>0.12</v>
      </c>
      <c r="D161" s="2"/>
      <c r="E161" s="410"/>
      <c r="F161" s="2"/>
      <c r="G161" s="2"/>
      <c r="H161" s="2"/>
      <c r="I161" s="2"/>
      <c r="J161" s="2"/>
      <c r="K161" s="73"/>
      <c r="L161" s="446" t="s">
        <v>501</v>
      </c>
    </row>
    <row r="162" customFormat="false" ht="15.6" hidden="false" customHeight="false" outlineLevel="0" collapsed="false">
      <c r="A162" s="436" t="s">
        <v>502</v>
      </c>
      <c r="B162" s="409"/>
      <c r="C162" s="516" t="n">
        <v>0.15</v>
      </c>
      <c r="D162" s="2"/>
      <c r="E162" s="410"/>
      <c r="F162" s="2"/>
      <c r="G162" s="2"/>
      <c r="H162" s="2"/>
      <c r="I162" s="2"/>
      <c r="J162" s="2"/>
      <c r="K162" s="73"/>
      <c r="L162" s="446" t="s">
        <v>503</v>
      </c>
    </row>
    <row r="163" customFormat="false" ht="15.6" hidden="false" customHeight="false" outlineLevel="0" collapsed="false">
      <c r="A163" s="436" t="s">
        <v>504</v>
      </c>
      <c r="B163" s="409"/>
      <c r="C163" s="516" t="n">
        <v>0.3</v>
      </c>
      <c r="D163" s="2"/>
      <c r="E163" s="410"/>
      <c r="F163" s="2"/>
      <c r="G163" s="2"/>
      <c r="H163" s="2"/>
      <c r="I163" s="2"/>
      <c r="J163" s="2"/>
      <c r="K163" s="73"/>
      <c r="L163" s="446" t="s">
        <v>505</v>
      </c>
    </row>
    <row r="164" customFormat="false" ht="15.6" hidden="false" customHeight="false" outlineLevel="0" collapsed="false">
      <c r="A164" s="436" t="s">
        <v>506</v>
      </c>
      <c r="B164" s="409"/>
      <c r="C164" s="516" t="n">
        <v>0.12</v>
      </c>
      <c r="D164" s="2"/>
      <c r="E164" s="410"/>
      <c r="F164" s="2"/>
      <c r="G164" s="2"/>
      <c r="H164" s="2"/>
      <c r="I164" s="2"/>
      <c r="J164" s="2"/>
      <c r="K164" s="73"/>
      <c r="L164" s="446" t="s">
        <v>507</v>
      </c>
    </row>
    <row r="165" customFormat="false" ht="15.6" hidden="false" customHeight="false" outlineLevel="0" collapsed="false">
      <c r="A165" s="436" t="s">
        <v>508</v>
      </c>
      <c r="B165" s="409"/>
      <c r="C165" s="516" t="n">
        <v>0.17</v>
      </c>
      <c r="D165" s="2"/>
      <c r="E165" s="410"/>
      <c r="F165" s="2"/>
      <c r="G165" s="2"/>
      <c r="H165" s="2"/>
      <c r="I165" s="2"/>
      <c r="J165" s="2"/>
      <c r="K165" s="73"/>
      <c r="L165" s="446" t="s">
        <v>509</v>
      </c>
    </row>
    <row r="166" customFormat="false" ht="15.6" hidden="false" customHeight="false" outlineLevel="0" collapsed="false">
      <c r="A166" s="436" t="s">
        <v>510</v>
      </c>
      <c r="B166" s="409"/>
      <c r="C166" s="579" t="n">
        <v>50000000</v>
      </c>
      <c r="D166" s="2"/>
      <c r="E166" s="410"/>
      <c r="F166" s="2"/>
      <c r="G166" s="2"/>
      <c r="H166" s="2"/>
      <c r="I166" s="2"/>
      <c r="J166" s="2"/>
      <c r="K166" s="73"/>
      <c r="L166" s="446" t="s">
        <v>511</v>
      </c>
    </row>
    <row r="167" customFormat="false" ht="15.6" hidden="false" customHeight="false" outlineLevel="0" collapsed="false">
      <c r="A167" s="436" t="s">
        <v>512</v>
      </c>
      <c r="B167" s="409"/>
      <c r="C167" s="516" t="n">
        <v>0.7</v>
      </c>
      <c r="D167" s="2"/>
      <c r="E167" s="410"/>
      <c r="F167" s="2"/>
      <c r="G167" s="2"/>
      <c r="H167" s="2"/>
      <c r="I167" s="2"/>
      <c r="J167" s="2"/>
      <c r="K167" s="73"/>
      <c r="L167" s="446" t="s">
        <v>513</v>
      </c>
    </row>
    <row r="168" customFormat="false" ht="15.75" hidden="false" customHeight="true" outlineLevel="0" collapsed="false">
      <c r="A168" s="485" t="s">
        <v>514</v>
      </c>
      <c r="B168" s="572"/>
      <c r="C168" s="576" t="n">
        <v>0.9</v>
      </c>
      <c r="D168" s="2"/>
      <c r="E168" s="410"/>
      <c r="F168" s="2"/>
      <c r="G168" s="2"/>
      <c r="H168" s="2"/>
      <c r="I168" s="2"/>
      <c r="J168" s="2"/>
      <c r="K168" s="73"/>
      <c r="L168" s="580" t="s">
        <v>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1E2B"/>
    <pageSetUpPr fitToPage="false"/>
  </sheetPr>
  <dimension ref="A1:H6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B10" activeCellId="0" sqref="B10"/>
    </sheetView>
  </sheetViews>
  <sheetFormatPr defaultColWidth="7.30078125" defaultRowHeight="13.8" zeroHeight="false" outlineLevelRow="0" outlineLevelCol="0"/>
  <cols>
    <col collapsed="false" customWidth="true" hidden="false" outlineLevel="0" max="1" min="1" style="581" width="72.7"/>
    <col collapsed="false" customWidth="true" hidden="false" outlineLevel="0" max="2" min="2" style="582" width="18.9"/>
    <col collapsed="false" customWidth="true" hidden="false" outlineLevel="0" max="3" min="3" style="582" width="16"/>
    <col collapsed="false" customWidth="true" hidden="false" outlineLevel="0" max="7" min="4" style="582" width="17"/>
    <col collapsed="false" customWidth="true" hidden="false" outlineLevel="0" max="8" min="8" style="583" width="39.39"/>
    <col collapsed="false" customWidth="false" hidden="false" outlineLevel="0" max="16384" min="9" style="584" width="7.3"/>
  </cols>
  <sheetData>
    <row r="1" customFormat="false" ht="21" hidden="false" customHeight="true" outlineLevel="0" collapsed="false">
      <c r="A1" s="585" t="s">
        <v>516</v>
      </c>
      <c r="B1" s="586"/>
      <c r="C1" s="587"/>
      <c r="D1" s="588"/>
      <c r="E1" s="589"/>
      <c r="F1" s="588"/>
      <c r="G1" s="588"/>
      <c r="H1" s="2"/>
    </row>
    <row r="2" s="592" customFormat="true" ht="15" hidden="false" customHeight="true" outlineLevel="0" collapsed="false">
      <c r="A2" s="588"/>
      <c r="B2" s="590" t="n">
        <v>0</v>
      </c>
      <c r="C2" s="590" t="n">
        <v>1</v>
      </c>
      <c r="D2" s="590" t="n">
        <v>2</v>
      </c>
      <c r="E2" s="590" t="n">
        <v>3</v>
      </c>
      <c r="F2" s="590" t="n">
        <v>4</v>
      </c>
      <c r="G2" s="590" t="n">
        <v>5</v>
      </c>
      <c r="H2" s="591"/>
    </row>
    <row r="3" customFormat="false" ht="15" hidden="false" customHeight="true" outlineLevel="0" collapsed="false">
      <c r="A3" s="593"/>
      <c r="B3" s="594" t="n">
        <f aca="false">'Income Statement'!D2</f>
        <v>2025</v>
      </c>
      <c r="C3" s="594" t="n">
        <f aca="false">B3+1</f>
        <v>2026</v>
      </c>
      <c r="D3" s="594" t="n">
        <f aca="false">C3+1</f>
        <v>2027</v>
      </c>
      <c r="E3" s="594" t="n">
        <f aca="false">D3+1</f>
        <v>2028</v>
      </c>
      <c r="F3" s="594" t="n">
        <f aca="false">E3+1</f>
        <v>2029</v>
      </c>
      <c r="G3" s="594" t="n">
        <f aca="false">F3+1</f>
        <v>2030</v>
      </c>
      <c r="H3" s="595"/>
    </row>
    <row r="4" customFormat="false" ht="15" hidden="false" customHeight="true" outlineLevel="0" collapsed="false">
      <c r="A4" s="596" t="s">
        <v>517</v>
      </c>
      <c r="B4" s="597" t="n">
        <f aca="false">'Income Statement'!D11</f>
        <v>47546528.1</v>
      </c>
      <c r="C4" s="598" t="n">
        <f aca="false">B4*(1+Assumption!C2)</f>
        <v>63673816.98996</v>
      </c>
      <c r="D4" s="598" t="n">
        <f aca="false">C4*(1+Assumption!D2)</f>
        <v>81446348.9054724</v>
      </c>
      <c r="E4" s="598" t="n">
        <f aca="false">D4*(1+Assumption!E2)</f>
        <v>100405086.662422</v>
      </c>
      <c r="F4" s="598" t="n">
        <f aca="false">E4*(1+Assumption!F2)</f>
        <v>139271386.199917</v>
      </c>
      <c r="G4" s="598" t="n">
        <f aca="false">F4*(1+Assumption!G2)</f>
        <v>178892209.029689</v>
      </c>
      <c r="H4" s="599"/>
    </row>
    <row r="5" customFormat="false" ht="15" hidden="false" customHeight="true" outlineLevel="0" collapsed="false">
      <c r="A5" s="596" t="s">
        <v>518</v>
      </c>
      <c r="B5" s="597" t="n">
        <f aca="false">'Income Statement'!D18</f>
        <v>23281582.1845</v>
      </c>
      <c r="C5" s="598" t="n">
        <f aca="false">C4*Assumption!C3</f>
        <v>30719170.3834087</v>
      </c>
      <c r="D5" s="598" t="n">
        <f aca="false">D4*Assumption!D3</f>
        <v>39477252.0859631</v>
      </c>
      <c r="E5" s="598" t="n">
        <f aca="false">E4*Assumption!E3</f>
        <v>49530274.3608193</v>
      </c>
      <c r="F5" s="598" t="n">
        <f aca="false">F4*Assumption!F3</f>
        <v>76393521.5018177</v>
      </c>
      <c r="G5" s="598" t="n">
        <f aca="false">G4*Assumption!G3</f>
        <v>94170042.0952524</v>
      </c>
      <c r="H5" s="599"/>
    </row>
    <row r="6" s="604" customFormat="true" ht="15" hidden="false" customHeight="true" outlineLevel="0" collapsed="false">
      <c r="A6" s="600" t="s">
        <v>98</v>
      </c>
      <c r="B6" s="601" t="n">
        <f aca="false">B4-B5</f>
        <v>24264945.9155</v>
      </c>
      <c r="C6" s="602" t="n">
        <f aca="false">C4-C5</f>
        <v>32954646.6065513</v>
      </c>
      <c r="D6" s="602" t="n">
        <f aca="false">D4-D5</f>
        <v>41969096.8195093</v>
      </c>
      <c r="E6" s="602" t="n">
        <f aca="false">E4-E5</f>
        <v>50874812.3016026</v>
      </c>
      <c r="F6" s="602" t="n">
        <f aca="false">F4-F5</f>
        <v>62877864.6980992</v>
      </c>
      <c r="G6" s="602" t="n">
        <f aca="false">G4-G5</f>
        <v>84722166.934437</v>
      </c>
      <c r="H6" s="603"/>
    </row>
    <row r="7" customFormat="false" ht="15" hidden="false" customHeight="true" outlineLevel="0" collapsed="false">
      <c r="A7" s="605" t="s">
        <v>519</v>
      </c>
      <c r="B7" s="597" t="n">
        <f aca="false">'Income Statement'!D61</f>
        <v>19702268.7</v>
      </c>
      <c r="C7" s="598" t="n">
        <f aca="false">C4*Assumption!C4</f>
        <v>25312536.9719047</v>
      </c>
      <c r="D7" s="598" t="n">
        <f aca="false">D4*Assumption!D4</f>
        <v>31239883.8314515</v>
      </c>
      <c r="E7" s="598" t="n">
        <f aca="false">E4*Assumption!E4</f>
        <v>38040825.6976077</v>
      </c>
      <c r="F7" s="598" t="n">
        <f aca="false">F4*Assumption!F4</f>
        <v>52741404.4443065</v>
      </c>
      <c r="G7" s="598" t="n">
        <f aca="false">G4*Assumption!G4</f>
        <v>64320005.8870969</v>
      </c>
      <c r="H7" s="599"/>
    </row>
    <row r="8" customFormat="false" ht="15" hidden="true" customHeight="true" outlineLevel="0" collapsed="false">
      <c r="A8" s="596" t="s">
        <v>520</v>
      </c>
      <c r="B8" s="590" t="n">
        <v>0</v>
      </c>
      <c r="C8" s="606" t="n">
        <v>0</v>
      </c>
      <c r="D8" s="606" t="n">
        <v>0</v>
      </c>
      <c r="E8" s="606" t="n">
        <v>0</v>
      </c>
      <c r="F8" s="606" t="n">
        <v>0</v>
      </c>
      <c r="G8" s="606" t="n">
        <v>0</v>
      </c>
      <c r="H8" s="599"/>
    </row>
    <row r="9" customFormat="false" ht="15" hidden="false" customHeight="true" outlineLevel="0" collapsed="false">
      <c r="A9" s="605" t="s">
        <v>521</v>
      </c>
      <c r="B9" s="597" t="n">
        <f aca="false">'Income Statement'!D69</f>
        <v>3131952</v>
      </c>
      <c r="C9" s="598" t="n">
        <f aca="false">Assumption!$B$15*B22</f>
        <v>3742094.4</v>
      </c>
      <c r="D9" s="598" t="n">
        <f aca="false">Assumption!$B$15*C22</f>
        <v>5270266.00775904</v>
      </c>
      <c r="E9" s="598" t="n">
        <f aca="false">Assumption!$B$15*D22</f>
        <v>6736300.28805754</v>
      </c>
      <c r="F9" s="598" t="n">
        <f aca="false">Assumption!$B$15*E22</f>
        <v>14567897.0477264</v>
      </c>
      <c r="G9" s="598" t="n">
        <f aca="false">Assumption!$B$15*F22</f>
        <v>16573405.0090052</v>
      </c>
      <c r="H9" s="607"/>
    </row>
    <row r="10" s="604" customFormat="true" ht="15" hidden="false" customHeight="true" outlineLevel="0" collapsed="false">
      <c r="A10" s="600" t="s">
        <v>522</v>
      </c>
      <c r="B10" s="601" t="n">
        <f aca="false">B6-B7-B8</f>
        <v>4562677.2155</v>
      </c>
      <c r="C10" s="602" t="n">
        <f aca="false">C6-C7-C8</f>
        <v>7642109.63464664</v>
      </c>
      <c r="D10" s="602" t="n">
        <f aca="false">D6-D7-D8</f>
        <v>10729212.9880578</v>
      </c>
      <c r="E10" s="602" t="n">
        <f aca="false">E6-E7-E8</f>
        <v>12833986.6039949</v>
      </c>
      <c r="F10" s="602" t="n">
        <f aca="false">F6-F7-F8</f>
        <v>10136460.2537927</v>
      </c>
      <c r="G10" s="602" t="n">
        <f aca="false">G6-G7-G8</f>
        <v>20402161.0473402</v>
      </c>
      <c r="H10" s="603"/>
    </row>
    <row r="11" customFormat="false" ht="15" hidden="false" customHeight="true" outlineLevel="0" collapsed="false">
      <c r="A11" s="596" t="s">
        <v>143</v>
      </c>
      <c r="B11" s="597" t="n">
        <f aca="false">'Income Statement'!D67</f>
        <v>142182</v>
      </c>
      <c r="C11" s="608" t="n">
        <f aca="false">C4*Assumption!C5</f>
        <v>160260</v>
      </c>
      <c r="D11" s="608" t="n">
        <f aca="false">D4*Assumption!D5</f>
        <v>160260</v>
      </c>
      <c r="E11" s="608" t="n">
        <f aca="false">E4*Assumption!E5</f>
        <v>2118159.18991723</v>
      </c>
      <c r="F11" s="608" t="n">
        <f aca="false">F4*Assumption!F5</f>
        <v>4076058.37983445</v>
      </c>
      <c r="G11" s="608" t="n">
        <f aca="false">G4*Assumption!G5</f>
        <v>3684478.54185101</v>
      </c>
      <c r="H11" s="599"/>
    </row>
    <row r="12" customFormat="false" ht="15" hidden="false" customHeight="true" outlineLevel="0" collapsed="false">
      <c r="A12" s="609" t="s">
        <v>148</v>
      </c>
      <c r="B12" s="610" t="n">
        <f aca="false">B10-B11</f>
        <v>4420495.2155</v>
      </c>
      <c r="C12" s="611" t="n">
        <f aca="false">C10-C11</f>
        <v>7481849.63464664</v>
      </c>
      <c r="D12" s="611" t="n">
        <f aca="false">D10-D11</f>
        <v>10568952.9880578</v>
      </c>
      <c r="E12" s="611" t="n">
        <f aca="false">E10-E11</f>
        <v>10715827.4140777</v>
      </c>
      <c r="F12" s="611" t="n">
        <f aca="false">F10-F11</f>
        <v>6060401.87395821</v>
      </c>
      <c r="G12" s="611" t="n">
        <f aca="false">G10-G11</f>
        <v>16717682.5054891</v>
      </c>
      <c r="H12" s="599"/>
    </row>
    <row r="13" customFormat="false" ht="15" hidden="false" customHeight="true" outlineLevel="0" collapsed="false">
      <c r="A13" s="596" t="s">
        <v>461</v>
      </c>
      <c r="B13" s="590" t="n">
        <v>0</v>
      </c>
      <c r="C13" s="608" t="n">
        <f aca="false">Drivers!F138</f>
        <v>902709.758024928</v>
      </c>
      <c r="D13" s="608" t="n">
        <f aca="false">Drivers!G138</f>
        <v>2113790.59761156</v>
      </c>
      <c r="E13" s="608" t="n">
        <f aca="false">Drivers!H138</f>
        <v>2143165.48281554</v>
      </c>
      <c r="F13" s="608" t="n">
        <f aca="false">Drivers!I138</f>
        <v>1212080.37479165</v>
      </c>
      <c r="G13" s="608" t="n">
        <f aca="false">Drivers!J138</f>
        <v>3343536.50109784</v>
      </c>
      <c r="H13" s="599"/>
    </row>
    <row r="14" s="604" customFormat="true" ht="15" hidden="false" customHeight="true" outlineLevel="0" collapsed="false">
      <c r="A14" s="600" t="s">
        <v>151</v>
      </c>
      <c r="B14" s="601" t="n">
        <f aca="false">B12-B13</f>
        <v>4420495.2155</v>
      </c>
      <c r="C14" s="602" t="n">
        <f aca="false">C12-C13</f>
        <v>6579139.87662171</v>
      </c>
      <c r="D14" s="602" t="n">
        <f aca="false">D12-D13</f>
        <v>8455162.39044625</v>
      </c>
      <c r="E14" s="602" t="n">
        <f aca="false">E12-E13</f>
        <v>8572661.93126214</v>
      </c>
      <c r="F14" s="602" t="n">
        <f aca="false">F12-F13</f>
        <v>4848321.49916657</v>
      </c>
      <c r="G14" s="602" t="n">
        <f aca="false">G12-G13</f>
        <v>13374146.0043913</v>
      </c>
      <c r="H14" s="603"/>
    </row>
    <row r="15" customFormat="false" ht="15" hidden="false" customHeight="true" outlineLevel="0" collapsed="false">
      <c r="A15" s="588"/>
      <c r="B15" s="597"/>
      <c r="C15" s="597"/>
      <c r="D15" s="597"/>
      <c r="E15" s="597"/>
      <c r="F15" s="597"/>
      <c r="G15" s="597"/>
      <c r="H15" s="599"/>
    </row>
    <row r="16" customFormat="false" ht="15" hidden="false" customHeight="true" outlineLevel="0" collapsed="false">
      <c r="A16" s="588"/>
      <c r="B16" s="597"/>
      <c r="C16" s="597"/>
      <c r="D16" s="597"/>
      <c r="E16" s="597"/>
      <c r="F16" s="597"/>
      <c r="G16" s="597"/>
      <c r="H16" s="599"/>
    </row>
    <row r="17" customFormat="false" ht="15" hidden="false" customHeight="true" outlineLevel="0" collapsed="false">
      <c r="A17" s="612" t="s">
        <v>523</v>
      </c>
      <c r="B17" s="597"/>
      <c r="C17" s="597"/>
      <c r="D17" s="597"/>
      <c r="E17" s="597"/>
      <c r="F17" s="597"/>
      <c r="G17" s="597"/>
      <c r="H17" s="599"/>
    </row>
    <row r="18" customFormat="false" ht="15" hidden="false" customHeight="true" outlineLevel="0" collapsed="false">
      <c r="A18" s="588"/>
      <c r="B18" s="597"/>
      <c r="C18" s="597"/>
      <c r="D18" s="597"/>
      <c r="E18" s="597"/>
      <c r="F18" s="597"/>
      <c r="G18" s="597"/>
      <c r="H18" s="599"/>
    </row>
    <row r="19" customFormat="false" ht="15" hidden="false" customHeight="true" outlineLevel="0" collapsed="false">
      <c r="A19" s="613" t="s">
        <v>524</v>
      </c>
      <c r="B19" s="597"/>
      <c r="C19" s="614"/>
      <c r="D19" s="597"/>
      <c r="E19" s="597"/>
      <c r="F19" s="614"/>
      <c r="G19" s="597"/>
      <c r="H19" s="599"/>
    </row>
    <row r="20" customFormat="false" ht="15" hidden="false" customHeight="true" outlineLevel="0" collapsed="false">
      <c r="A20" s="612"/>
      <c r="B20" s="597"/>
      <c r="C20" s="597"/>
      <c r="D20" s="597"/>
      <c r="E20" s="597"/>
      <c r="F20" s="597"/>
      <c r="G20" s="597"/>
      <c r="H20" s="599"/>
    </row>
    <row r="21" customFormat="false" ht="15" hidden="false" customHeight="true" outlineLevel="0" collapsed="false">
      <c r="A21" s="593"/>
      <c r="B21" s="594" t="n">
        <f aca="false">B3</f>
        <v>2025</v>
      </c>
      <c r="C21" s="594" t="n">
        <f aca="false">B21+1</f>
        <v>2026</v>
      </c>
      <c r="D21" s="594" t="n">
        <f aca="false">C21+1</f>
        <v>2027</v>
      </c>
      <c r="E21" s="594" t="n">
        <f aca="false">D21+1</f>
        <v>2028</v>
      </c>
      <c r="F21" s="594" t="n">
        <f aca="false">E21+1</f>
        <v>2029</v>
      </c>
      <c r="G21" s="594" t="n">
        <f aca="false">F21+1</f>
        <v>2030</v>
      </c>
      <c r="H21" s="595"/>
    </row>
    <row r="22" customFormat="false" ht="15" hidden="false" customHeight="true" outlineLevel="0" collapsed="false">
      <c r="A22" s="596" t="s">
        <v>174</v>
      </c>
      <c r="B22" s="597" t="n">
        <f aca="false">SUM('Balance Sheet'!F27:F29)</f>
        <v>31184120</v>
      </c>
      <c r="C22" s="598" t="n">
        <f aca="false">SUM(B22,C25)</f>
        <v>43918883.397992</v>
      </c>
      <c r="D22" s="598" t="n">
        <f aca="false">SUM(C22,D25)</f>
        <v>56135835.7338129</v>
      </c>
      <c r="E22" s="598" t="n">
        <f aca="false">SUM(D22,E25)</f>
        <v>121399142.064387</v>
      </c>
      <c r="F22" s="598" t="n">
        <f aca="false">SUM(E22,F25)</f>
        <v>138111708.408377</v>
      </c>
      <c r="G22" s="598" t="n">
        <f aca="false">SUM(F22,G25)</f>
        <v>156000929.311346</v>
      </c>
      <c r="H22" s="615"/>
    </row>
    <row r="23" customFormat="false" ht="15" hidden="false" customHeight="true" outlineLevel="0" collapsed="false">
      <c r="A23" s="596" t="s">
        <v>176</v>
      </c>
      <c r="B23" s="597" t="n">
        <f aca="false">'Balance Sheet'!F24</f>
        <v>9789432</v>
      </c>
      <c r="C23" s="608" t="n">
        <f aca="false">SUM(B23,C9)</f>
        <v>13531526.4</v>
      </c>
      <c r="D23" s="608" t="n">
        <f aca="false">SUM(C23,D9)</f>
        <v>18801792.407759</v>
      </c>
      <c r="E23" s="608" t="n">
        <f aca="false">SUM(D23,E9)</f>
        <v>25538092.6958166</v>
      </c>
      <c r="F23" s="608" t="n">
        <f aca="false">SUM(E23,F9)</f>
        <v>40105989.743543</v>
      </c>
      <c r="G23" s="608" t="n">
        <f aca="false">SUM(F23,G9)</f>
        <v>56679394.7525483</v>
      </c>
      <c r="H23" s="599"/>
    </row>
    <row r="24" customFormat="false" ht="15" hidden="false" customHeight="true" outlineLevel="0" collapsed="false">
      <c r="A24" s="596" t="s">
        <v>525</v>
      </c>
      <c r="B24" s="597" t="n">
        <f aca="false">B22-B23</f>
        <v>21394688</v>
      </c>
      <c r="C24" s="608" t="n">
        <f aca="false">C22-C23</f>
        <v>30387356.997992</v>
      </c>
      <c r="D24" s="608" t="n">
        <f aca="false">D22-D23</f>
        <v>37334043.3260538</v>
      </c>
      <c r="E24" s="608" t="n">
        <f aca="false">E22-E23</f>
        <v>95861049.3685705</v>
      </c>
      <c r="F24" s="608" t="n">
        <f aca="false">F22-F23</f>
        <v>98005718.6648341</v>
      </c>
      <c r="G24" s="608" t="n">
        <f aca="false">G22-G23</f>
        <v>99321534.5587978</v>
      </c>
      <c r="H24" s="599"/>
    </row>
    <row r="25" customFormat="false" ht="15" hidden="false" customHeight="true" outlineLevel="0" collapsed="false">
      <c r="A25" s="609" t="s">
        <v>410</v>
      </c>
      <c r="B25" s="610" t="n">
        <f aca="false">B22-SUM('Balance Sheet'!E27:E29)</f>
        <v>5084520</v>
      </c>
      <c r="C25" s="611" t="n">
        <f aca="false">C4*Assumption!C11</f>
        <v>12734763.397992</v>
      </c>
      <c r="D25" s="611" t="n">
        <f aca="false">D4*Assumption!D11</f>
        <v>12216952.3358209</v>
      </c>
      <c r="E25" s="611" t="n">
        <f aca="false">E4*Assumption!E11</f>
        <v>65263306.3305742</v>
      </c>
      <c r="F25" s="611" t="n">
        <f aca="false">F4*Assumption!F11</f>
        <v>16712566.34399</v>
      </c>
      <c r="G25" s="611" t="n">
        <f aca="false">G4*Assumption!G11</f>
        <v>17889220.9029689</v>
      </c>
      <c r="H25" s="616"/>
    </row>
    <row r="26" customFormat="false" ht="15" hidden="false" customHeight="true" outlineLevel="0" collapsed="false">
      <c r="A26" s="588"/>
      <c r="B26" s="617"/>
      <c r="C26" s="617"/>
      <c r="D26" s="617"/>
      <c r="E26" s="617"/>
      <c r="F26" s="617"/>
      <c r="G26" s="617"/>
      <c r="H26" s="599"/>
    </row>
    <row r="27" customFormat="false" ht="15" hidden="false" customHeight="true" outlineLevel="0" collapsed="false">
      <c r="A27" s="588"/>
      <c r="B27" s="588"/>
      <c r="C27" s="588"/>
      <c r="D27" s="588"/>
      <c r="E27" s="588"/>
      <c r="F27" s="588"/>
      <c r="G27" s="588"/>
      <c r="H27" s="599"/>
    </row>
    <row r="28" customFormat="false" ht="15" hidden="false" customHeight="true" outlineLevel="0" collapsed="false">
      <c r="A28" s="613" t="s">
        <v>526</v>
      </c>
      <c r="B28" s="597"/>
      <c r="C28" s="597"/>
      <c r="D28" s="597"/>
      <c r="E28" s="597"/>
      <c r="F28" s="597"/>
      <c r="G28" s="597"/>
      <c r="H28" s="599"/>
    </row>
    <row r="29" customFormat="false" ht="15" hidden="false" customHeight="true" outlineLevel="0" collapsed="false">
      <c r="A29" s="612"/>
      <c r="B29" s="597"/>
      <c r="C29" s="597"/>
      <c r="D29" s="597"/>
      <c r="E29" s="597"/>
      <c r="F29" s="597"/>
      <c r="G29" s="597"/>
      <c r="H29" s="599"/>
    </row>
    <row r="30" customFormat="false" ht="15" hidden="false" customHeight="true" outlineLevel="0" collapsed="false">
      <c r="A30" s="593"/>
      <c r="B30" s="594" t="n">
        <f aca="false">B21</f>
        <v>2025</v>
      </c>
      <c r="C30" s="594" t="n">
        <f aca="false">B30+1</f>
        <v>2026</v>
      </c>
      <c r="D30" s="594" t="n">
        <f aca="false">C30+1</f>
        <v>2027</v>
      </c>
      <c r="E30" s="594" t="n">
        <f aca="false">D30+1</f>
        <v>2028</v>
      </c>
      <c r="F30" s="594" t="n">
        <f aca="false">E30+1</f>
        <v>2029</v>
      </c>
      <c r="G30" s="594" t="n">
        <f aca="false">F30+1</f>
        <v>2030</v>
      </c>
      <c r="H30" s="595"/>
    </row>
    <row r="31" customFormat="false" ht="15" hidden="false" customHeight="true" outlineLevel="0" collapsed="false">
      <c r="A31" s="596" t="s">
        <v>527</v>
      </c>
      <c r="B31" s="618" t="n">
        <f aca="false">'Balance Sheet'!F21-'Balance Sheet'!F6</f>
        <v>7589370.00000001</v>
      </c>
      <c r="C31" s="619" t="n">
        <f aca="false">C4*Assumption!C6</f>
        <v>10432965.3660868</v>
      </c>
      <c r="D31" s="619" t="n">
        <f aca="false">D4*Assumption!D6</f>
        <v>14168651.0755537</v>
      </c>
      <c r="E31" s="619" t="n">
        <f aca="false">E4*Assumption!E6</f>
        <v>18648452.1462632</v>
      </c>
      <c r="F31" s="619" t="n">
        <f aca="false">F4*Assumption!F6</f>
        <v>28631759.7070108</v>
      </c>
      <c r="G31" s="619" t="n">
        <f aca="false">G4*Assumption!G6</f>
        <v>35681714.2905779</v>
      </c>
      <c r="H31" s="595"/>
    </row>
    <row r="32" customFormat="false" ht="15" hidden="false" customHeight="true" outlineLevel="0" collapsed="false">
      <c r="A32" s="620" t="s">
        <v>528</v>
      </c>
      <c r="B32" s="621" t="n">
        <f aca="false">'Balance Sheet'!F9</f>
        <v>3748500</v>
      </c>
      <c r="C32" s="619" t="n">
        <f aca="false">C31*Assumption!C8</f>
        <v>4745934.04040822</v>
      </c>
      <c r="D32" s="619" t="n">
        <f aca="false">D31*Assumption!D8</f>
        <v>6001702.11681318</v>
      </c>
      <c r="E32" s="619" t="n">
        <f aca="false">E31*Assumption!E8</f>
        <v>7480105.52025139</v>
      </c>
      <c r="F32" s="619" t="n">
        <f aca="false">F31*Assumption!F8</f>
        <v>11613941.0097059</v>
      </c>
      <c r="G32" s="619" t="n">
        <f aca="false">G31*Assumption!G8</f>
        <v>13822556.6940733</v>
      </c>
      <c r="H32" s="595"/>
    </row>
    <row r="33" customFormat="false" ht="15" hidden="false" customHeight="true" outlineLevel="0" collapsed="false">
      <c r="A33" s="620" t="s">
        <v>529</v>
      </c>
      <c r="B33" s="596" t="n">
        <f aca="false">'Balance Sheet'!F12</f>
        <v>1767780</v>
      </c>
      <c r="C33" s="622" t="n">
        <f aca="false">C31*Assumption!C9</f>
        <v>3140078.64608022</v>
      </c>
      <c r="D33" s="622" t="n">
        <f aca="false">D31*Assumption!D9</f>
        <v>4909095.00252163</v>
      </c>
      <c r="E33" s="622" t="n">
        <f aca="false">E31*Assumption!E9</f>
        <v>7152143.15951498</v>
      </c>
      <c r="F33" s="622" t="n">
        <f aca="false">F31*Assumption!F9</f>
        <v>11446963.2493082</v>
      </c>
      <c r="G33" s="622" t="n">
        <f aca="false">G31*Assumption!G9</f>
        <v>14703469.2353169</v>
      </c>
      <c r="H33" s="595"/>
    </row>
    <row r="34" customFormat="false" ht="15" hidden="false" customHeight="true" outlineLevel="0" collapsed="false">
      <c r="A34" s="596" t="s">
        <v>530</v>
      </c>
      <c r="B34" s="596" t="n">
        <f aca="false">'Balance Sheet'!F55-'Balance Sheet'!F45</f>
        <v>342732</v>
      </c>
      <c r="C34" s="623" t="n">
        <f aca="false">C4*Assumption!C7</f>
        <v>601941.038020742</v>
      </c>
      <c r="D34" s="623" t="n">
        <f aca="false">D4*Assumption!D7</f>
        <v>883096.951828526</v>
      </c>
      <c r="E34" s="623" t="n">
        <f aca="false">E4*Assumption!E7</f>
        <v>1322826.00136255</v>
      </c>
      <c r="F34" s="623" t="n">
        <f aca="false">F4*Assumption!F7</f>
        <v>1937677.20235782</v>
      </c>
      <c r="G34" s="623" t="n">
        <f aca="false">G4*Assumption!G7</f>
        <v>2431167.92217038</v>
      </c>
      <c r="H34" s="595"/>
    </row>
    <row r="35" customFormat="false" ht="15" hidden="false" customHeight="true" outlineLevel="0" collapsed="false">
      <c r="A35" s="624" t="s">
        <v>531</v>
      </c>
      <c r="B35" s="625" t="n">
        <f aca="false">'Balance Sheet'!F38</f>
        <v>263640</v>
      </c>
      <c r="C35" s="626" t="n">
        <f aca="false">C34*Assumption!C10</f>
        <v>474593.404040822</v>
      </c>
      <c r="D35" s="626" t="n">
        <f aca="false">D34*Assumption!D10</f>
        <v>720204.254017582</v>
      </c>
      <c r="E35" s="626" t="n">
        <f aca="false">E34*Assumption!E10</f>
        <v>1122015.82803771</v>
      </c>
      <c r="F35" s="626" t="n">
        <f aca="false">F34*Assumption!F10</f>
        <v>1659134.42995798</v>
      </c>
      <c r="G35" s="626" t="n">
        <f aca="false">G34*Assumption!G10</f>
        <v>2073383.504111</v>
      </c>
      <c r="H35" s="627"/>
    </row>
    <row r="36" customFormat="false" ht="15" hidden="false" customHeight="true" outlineLevel="0" collapsed="false">
      <c r="A36" s="605" t="s">
        <v>532</v>
      </c>
      <c r="B36" s="628" t="n">
        <f aca="false">B31-B34</f>
        <v>7246638.00000001</v>
      </c>
      <c r="C36" s="629" t="n">
        <f aca="false">C31-C34</f>
        <v>9831024.32806609</v>
      </c>
      <c r="D36" s="629" t="n">
        <f aca="false">D31-D34</f>
        <v>13285554.1237252</v>
      </c>
      <c r="E36" s="629" t="n">
        <f aca="false">E31-E34</f>
        <v>17325626.1449007</v>
      </c>
      <c r="F36" s="629" t="n">
        <f aca="false">F31-F34</f>
        <v>26694082.504653</v>
      </c>
      <c r="G36" s="629" t="n">
        <f aca="false">G31-G34</f>
        <v>33250546.3684075</v>
      </c>
      <c r="H36" s="599"/>
    </row>
    <row r="37" customFormat="false" ht="15" hidden="false" customHeight="true" outlineLevel="0" collapsed="false">
      <c r="A37" s="609" t="s">
        <v>533</v>
      </c>
      <c r="B37" s="630"/>
      <c r="C37" s="630" t="n">
        <f aca="false">C36-B36</f>
        <v>2584386.32806608</v>
      </c>
      <c r="D37" s="630" t="n">
        <f aca="false">D36-C36</f>
        <v>3454529.79565908</v>
      </c>
      <c r="E37" s="630" t="n">
        <f aca="false">E36-D36</f>
        <v>4040072.02117552</v>
      </c>
      <c r="F37" s="630" t="n">
        <f aca="false">F36-E36</f>
        <v>9368456.35975228</v>
      </c>
      <c r="G37" s="630" t="n">
        <f aca="false">G36-F36</f>
        <v>6556463.86375452</v>
      </c>
      <c r="H37" s="599"/>
    </row>
    <row r="38" customFormat="false" ht="15" hidden="false" customHeight="true" outlineLevel="0" collapsed="false">
      <c r="A38" s="588"/>
      <c r="B38" s="596"/>
      <c r="C38" s="596"/>
      <c r="D38" s="596"/>
      <c r="E38" s="596"/>
      <c r="F38" s="596"/>
      <c r="G38" s="596"/>
      <c r="H38" s="631"/>
    </row>
    <row r="39" customFormat="false" ht="15" hidden="false" customHeight="true" outlineLevel="0" collapsed="false">
      <c r="A39" s="588"/>
      <c r="B39" s="597"/>
      <c r="C39" s="597"/>
      <c r="D39" s="597"/>
      <c r="E39" s="597"/>
      <c r="F39" s="597"/>
      <c r="G39" s="597"/>
      <c r="H39" s="599"/>
    </row>
    <row r="40" customFormat="false" ht="15" hidden="false" customHeight="true" outlineLevel="0" collapsed="false">
      <c r="A40" s="632" t="s">
        <v>534</v>
      </c>
      <c r="B40" s="587"/>
      <c r="C40" s="587"/>
      <c r="D40" s="597"/>
      <c r="E40" s="597"/>
      <c r="F40" s="597"/>
      <c r="G40" s="597"/>
      <c r="H40" s="599"/>
    </row>
    <row r="41" customFormat="false" ht="15" hidden="false" customHeight="true" outlineLevel="0" collapsed="false">
      <c r="A41" s="633" t="s">
        <v>535</v>
      </c>
      <c r="B41" s="634"/>
      <c r="C41" s="634"/>
      <c r="D41" s="597"/>
      <c r="E41" s="597"/>
      <c r="F41" s="597"/>
      <c r="G41" s="597"/>
      <c r="H41" s="599"/>
    </row>
    <row r="42" s="592" customFormat="true" ht="15.75" hidden="false" customHeight="true" outlineLevel="0" collapsed="false">
      <c r="A42" s="635"/>
      <c r="B42" s="590" t="n">
        <v>0</v>
      </c>
      <c r="C42" s="590" t="n">
        <v>1</v>
      </c>
      <c r="D42" s="590" t="n">
        <v>2</v>
      </c>
      <c r="E42" s="590" t="n">
        <v>3</v>
      </c>
      <c r="F42" s="590" t="n">
        <v>4</v>
      </c>
      <c r="G42" s="590" t="n">
        <v>5</v>
      </c>
      <c r="H42" s="636"/>
    </row>
    <row r="43" s="641" customFormat="true" ht="15.75" hidden="false" customHeight="true" outlineLevel="0" collapsed="false">
      <c r="A43" s="637"/>
      <c r="B43" s="638" t="n">
        <f aca="false">B30</f>
        <v>2025</v>
      </c>
      <c r="C43" s="638" t="n">
        <f aca="false">B43+1</f>
        <v>2026</v>
      </c>
      <c r="D43" s="638" t="n">
        <f aca="false">C43+1</f>
        <v>2027</v>
      </c>
      <c r="E43" s="638" t="n">
        <f aca="false">D43+1</f>
        <v>2028</v>
      </c>
      <c r="F43" s="638" t="n">
        <f aca="false">E43+1</f>
        <v>2029</v>
      </c>
      <c r="G43" s="639" t="n">
        <f aca="false">F43+1</f>
        <v>2030</v>
      </c>
      <c r="H43" s="640"/>
    </row>
    <row r="44" customFormat="false" ht="15" hidden="false" customHeight="true" outlineLevel="0" collapsed="false">
      <c r="A44" s="642" t="str">
        <f aca="false">'Cash Flow Statement'!A3</f>
        <v>Hoạt động kinh doanh</v>
      </c>
      <c r="B44" s="634"/>
      <c r="C44" s="634"/>
      <c r="D44" s="634"/>
      <c r="E44" s="634"/>
      <c r="F44" s="634"/>
      <c r="G44" s="643"/>
      <c r="H44" s="599"/>
    </row>
    <row r="45" customFormat="false" ht="15" hidden="false" customHeight="true" outlineLevel="0" collapsed="false">
      <c r="A45" s="644" t="str">
        <f aca="false">'Cash Flow Statement'!B4</f>
        <v>Lợi nhuận sau thuế</v>
      </c>
      <c r="B45" s="597" t="n">
        <f aca="false">B14</f>
        <v>4420495.2155</v>
      </c>
      <c r="C45" s="597" t="n">
        <f aca="false">C14</f>
        <v>6579139.87662171</v>
      </c>
      <c r="D45" s="597" t="n">
        <f aca="false">D14</f>
        <v>8455162.39044625</v>
      </c>
      <c r="E45" s="597" t="n">
        <f aca="false">E14</f>
        <v>8572661.93126214</v>
      </c>
      <c r="F45" s="597" t="n">
        <f aca="false">F14</f>
        <v>4848321.49916657</v>
      </c>
      <c r="G45" s="645" t="n">
        <f aca="false">G14</f>
        <v>13374146.0043913</v>
      </c>
      <c r="H45" s="599"/>
    </row>
    <row r="46" customFormat="false" ht="15" hidden="false" customHeight="true" outlineLevel="0" collapsed="false">
      <c r="A46" s="644" t="str">
        <f aca="false">'Cash Flow Statement'!B6</f>
        <v>Khấu hao</v>
      </c>
      <c r="B46" s="597" t="n">
        <f aca="false">B9</f>
        <v>3131952</v>
      </c>
      <c r="C46" s="597" t="n">
        <f aca="false">C9</f>
        <v>3742094.4</v>
      </c>
      <c r="D46" s="597" t="n">
        <f aca="false">D9</f>
        <v>5270266.00775904</v>
      </c>
      <c r="E46" s="597" t="n">
        <f aca="false">E9</f>
        <v>6736300.28805754</v>
      </c>
      <c r="F46" s="597" t="n">
        <f aca="false">F9</f>
        <v>14567897.0477264</v>
      </c>
      <c r="G46" s="645" t="n">
        <f aca="false">G9</f>
        <v>16573405.0090052</v>
      </c>
      <c r="H46" s="599"/>
    </row>
    <row r="47" customFormat="false" ht="15" hidden="false" customHeight="true" outlineLevel="0" collapsed="false">
      <c r="A47" s="644" t="s">
        <v>536</v>
      </c>
      <c r="B47" s="597" t="n">
        <f aca="false">SUM('Cash Flow Statement'!E9:E11)</f>
        <v>-1343670</v>
      </c>
      <c r="C47" s="597" t="n">
        <f aca="false">B31-C31</f>
        <v>-2843595.36608683</v>
      </c>
      <c r="D47" s="597" t="n">
        <f aca="false">C31-D31</f>
        <v>-3735685.70946687</v>
      </c>
      <c r="E47" s="597" t="n">
        <f aca="false">D31-E31</f>
        <v>-4479801.07070954</v>
      </c>
      <c r="F47" s="597" t="n">
        <f aca="false">E31-F31</f>
        <v>-9983307.56074754</v>
      </c>
      <c r="G47" s="645" t="n">
        <f aca="false">F31-G31</f>
        <v>-7049954.58356708</v>
      </c>
      <c r="H47" s="599"/>
    </row>
    <row r="48" customFormat="false" ht="15" hidden="false" customHeight="true" outlineLevel="0" collapsed="false">
      <c r="A48" s="644" t="s">
        <v>537</v>
      </c>
      <c r="B48" s="597" t="n">
        <f aca="false">SUM('Cash Flow Statement'!E13:E15)</f>
        <v>73692</v>
      </c>
      <c r="C48" s="597" t="n">
        <f aca="false">C34-B34</f>
        <v>259209.038020742</v>
      </c>
      <c r="D48" s="597" t="n">
        <f aca="false">D34-C34</f>
        <v>281155.913807785</v>
      </c>
      <c r="E48" s="597" t="n">
        <f aca="false">E34-D34</f>
        <v>439729.049534026</v>
      </c>
      <c r="F48" s="597" t="n">
        <f aca="false">F34-E34</f>
        <v>614851.200995264</v>
      </c>
      <c r="G48" s="645" t="n">
        <f aca="false">G34-F34</f>
        <v>493490.719812565</v>
      </c>
      <c r="H48" s="599"/>
    </row>
    <row r="49" s="646" customFormat="true" ht="15" hidden="false" customHeight="true" outlineLevel="0" collapsed="false">
      <c r="A49" s="644" t="s">
        <v>538</v>
      </c>
      <c r="B49" s="597" t="n">
        <f aca="false">SUM(B45:B48)</f>
        <v>6282469.2155</v>
      </c>
      <c r="C49" s="597" t="n">
        <f aca="false">SUM(C45:C48)</f>
        <v>7736847.94855563</v>
      </c>
      <c r="D49" s="597" t="n">
        <f aca="false">SUM(D45:D48)</f>
        <v>10270898.6025462</v>
      </c>
      <c r="E49" s="597" t="n">
        <f aca="false">SUM(E45:E48)</f>
        <v>11268890.1981442</v>
      </c>
      <c r="F49" s="597" t="n">
        <f aca="false">SUM(F45:F48)</f>
        <v>10047762.1871407</v>
      </c>
      <c r="G49" s="645" t="n">
        <f aca="false">SUM(G45:G48)</f>
        <v>23391087.149642</v>
      </c>
      <c r="H49" s="599"/>
    </row>
    <row r="50" s="646" customFormat="true" ht="15" hidden="false" customHeight="true" outlineLevel="0" collapsed="false">
      <c r="A50" s="642" t="s">
        <v>539</v>
      </c>
      <c r="B50" s="634"/>
      <c r="C50" s="634"/>
      <c r="D50" s="634"/>
      <c r="E50" s="634"/>
      <c r="F50" s="634"/>
      <c r="G50" s="643"/>
      <c r="H50" s="599"/>
    </row>
    <row r="51" s="646" customFormat="true" ht="15" hidden="false" customHeight="true" outlineLevel="0" collapsed="false">
      <c r="A51" s="644" t="s">
        <v>540</v>
      </c>
      <c r="B51" s="597" t="n">
        <f aca="false">'Cash Flow Statement'!E20</f>
        <v>-5084520</v>
      </c>
      <c r="C51" s="597" t="n">
        <f aca="false">-C25</f>
        <v>-12734763.397992</v>
      </c>
      <c r="D51" s="597" t="n">
        <f aca="false">-D25</f>
        <v>-12216952.3358209</v>
      </c>
      <c r="E51" s="597" t="n">
        <f aca="false">-E25</f>
        <v>-65263306.3305742</v>
      </c>
      <c r="F51" s="597" t="n">
        <f aca="false">-F25</f>
        <v>-16712566.34399</v>
      </c>
      <c r="G51" s="645" t="n">
        <f aca="false">-G25</f>
        <v>-17889220.9029689</v>
      </c>
      <c r="H51" s="599"/>
    </row>
    <row r="52" s="646" customFormat="true" ht="15" hidden="false" customHeight="true" outlineLevel="0" collapsed="false">
      <c r="A52" s="642" t="s">
        <v>541</v>
      </c>
      <c r="B52" s="647"/>
      <c r="C52" s="647"/>
      <c r="D52" s="647"/>
      <c r="E52" s="647"/>
      <c r="F52" s="647"/>
      <c r="G52" s="648"/>
      <c r="H52" s="599"/>
    </row>
    <row r="53" s="646" customFormat="true" ht="15" hidden="false" customHeight="true" outlineLevel="0" collapsed="false">
      <c r="A53" s="649" t="s">
        <v>542</v>
      </c>
      <c r="B53" s="650" t="n">
        <f aca="false">'Cash Flow Statement'!E28</f>
        <v>0</v>
      </c>
      <c r="C53" s="650" t="n">
        <f aca="false">(Drivers!F122-Drivers!E122)+(Drivers!F128-Drivers!E128)</f>
        <v>0</v>
      </c>
      <c r="D53" s="650" t="n">
        <f aca="false">(Drivers!G122-Drivers!F122)+(Drivers!G128-Drivers!F128)</f>
        <v>0</v>
      </c>
      <c r="E53" s="650" t="n">
        <f aca="false">(Drivers!H122-Drivers!G122)+(Drivers!H128-Drivers!G128)</f>
        <v>39157983.7983445</v>
      </c>
      <c r="F53" s="650" t="n">
        <f aca="false">(Drivers!I122-Drivers!H122)+(Drivers!I128-Drivers!H128)</f>
        <v>0</v>
      </c>
      <c r="G53" s="651" t="n">
        <f aca="false">(Drivers!J122-Drivers!I122)+(Drivers!J128-Drivers!I128)</f>
        <v>-7831596.75966891</v>
      </c>
      <c r="H53" s="616"/>
    </row>
    <row r="54" s="646" customFormat="true" ht="15.75" hidden="false" customHeight="true" outlineLevel="0" collapsed="false">
      <c r="A54" s="596"/>
      <c r="B54" s="597"/>
      <c r="C54" s="597"/>
      <c r="D54" s="597"/>
      <c r="E54" s="597"/>
      <c r="F54" s="597"/>
      <c r="G54" s="597"/>
      <c r="H54" s="599"/>
    </row>
    <row r="55" customFormat="false" ht="15" hidden="false" customHeight="true" outlineLevel="0" collapsed="false">
      <c r="A55" s="652" t="s">
        <v>233</v>
      </c>
      <c r="B55" s="653" t="n">
        <f aca="false">'Cash Flow Statement'!E30</f>
        <v>1735532.55</v>
      </c>
      <c r="C55" s="653" t="n">
        <f aca="false">B57</f>
        <v>2933481.76549999</v>
      </c>
      <c r="D55" s="653" t="n">
        <f aca="false">C57</f>
        <v>-2064433.68393638</v>
      </c>
      <c r="E55" s="653" t="n">
        <f aca="false">D57</f>
        <v>-4010487.41721104</v>
      </c>
      <c r="F55" s="653" t="n">
        <f aca="false">E57</f>
        <v>-18846919.7512965</v>
      </c>
      <c r="G55" s="654" t="n">
        <f aca="false">F57</f>
        <v>-25511723.9081458</v>
      </c>
      <c r="H55" s="655"/>
    </row>
    <row r="56" customFormat="false" ht="15" hidden="false" customHeight="true" outlineLevel="0" collapsed="false">
      <c r="A56" s="656" t="s">
        <v>234</v>
      </c>
      <c r="B56" s="597" t="n">
        <f aca="false">'Cash Flow Statement'!E32</f>
        <v>1197949.21549999</v>
      </c>
      <c r="C56" s="597" t="n">
        <f aca="false">SUM(C49,C51,C53)</f>
        <v>-4997915.44943637</v>
      </c>
      <c r="D56" s="597" t="n">
        <f aca="false">SUM(D49,D51,D53)</f>
        <v>-1946053.73327466</v>
      </c>
      <c r="E56" s="597" t="n">
        <f aca="false">SUM(E49,E51,E53)</f>
        <v>-14836432.3340855</v>
      </c>
      <c r="F56" s="597" t="n">
        <f aca="false">SUM(F49,F51,F53)</f>
        <v>-6664804.15684929</v>
      </c>
      <c r="G56" s="645" t="n">
        <f aca="false">SUM(G49,G51,G53)</f>
        <v>-2329730.51299581</v>
      </c>
      <c r="H56" s="2"/>
    </row>
    <row r="57" customFormat="false" ht="15.75" hidden="false" customHeight="true" outlineLevel="0" collapsed="false">
      <c r="A57" s="657" t="s">
        <v>235</v>
      </c>
      <c r="B57" s="658" t="n">
        <f aca="false">'Cash Flow Statement'!E34</f>
        <v>2933481.76549999</v>
      </c>
      <c r="C57" s="658" t="n">
        <f aca="false">SUM(C55,C56)</f>
        <v>-2064433.68393638</v>
      </c>
      <c r="D57" s="658" t="n">
        <f aca="false">SUM(D55,D56)</f>
        <v>-4010487.41721104</v>
      </c>
      <c r="E57" s="658" t="n">
        <f aca="false">SUM(E55,E56)</f>
        <v>-18846919.7512965</v>
      </c>
      <c r="F57" s="658" t="n">
        <f aca="false">SUM(F55,F56)</f>
        <v>-25511723.9081458</v>
      </c>
      <c r="G57" s="659" t="n">
        <f aca="false">SUM(G55,G56)</f>
        <v>-27841454.4211416</v>
      </c>
      <c r="H57" s="2"/>
    </row>
    <row r="58" customFormat="false" ht="16.5" hidden="false" customHeight="true" outlineLevel="0" collapsed="false">
      <c r="A58" s="660" t="s">
        <v>543</v>
      </c>
      <c r="B58" s="588"/>
      <c r="C58" s="661" t="n">
        <f aca="false">MAX(0,Drivers!F121-C57)</f>
        <v>5248124.53343438</v>
      </c>
      <c r="D58" s="661" t="n">
        <f aca="false">MAX(0,Drivers!G121-D57)</f>
        <v>8082804.86248466</v>
      </c>
      <c r="E58" s="661" t="n">
        <f aca="false">MAX(0,Drivers!H121-E57)</f>
        <v>23867174.0844176</v>
      </c>
      <c r="F58" s="661" t="n">
        <f aca="false">MAX(0,Drivers!I121-F57)</f>
        <v>32475293.2181417</v>
      </c>
      <c r="G58" s="662" t="n">
        <f aca="false">MAX(0,Drivers!J121-G57)</f>
        <v>36786064.8726261</v>
      </c>
      <c r="H58" s="2"/>
    </row>
    <row r="59" customFormat="false" ht="15" hidden="false" customHeight="true" outlineLevel="0" collapsed="false">
      <c r="A59" s="663" t="s">
        <v>544</v>
      </c>
      <c r="B59" s="664" t="n">
        <f aca="false">MAX(C58:G58)</f>
        <v>36786064.8726261</v>
      </c>
      <c r="C59" s="596"/>
      <c r="D59" s="588"/>
      <c r="E59" s="588"/>
      <c r="F59" s="588"/>
      <c r="G59" s="588"/>
      <c r="H59" s="2"/>
    </row>
    <row r="60" customFormat="false" ht="15" hidden="false" customHeight="true" outlineLevel="0" collapsed="false">
      <c r="A60" s="665" t="s">
        <v>545</v>
      </c>
      <c r="B60" s="666" t="n">
        <f aca="false">B59*0.1</f>
        <v>3678606.48726261</v>
      </c>
      <c r="C60" s="596"/>
      <c r="D60" s="588"/>
      <c r="E60" s="588"/>
      <c r="F60" s="588"/>
      <c r="G60" s="588"/>
      <c r="H60" s="2"/>
    </row>
    <row r="61" customFormat="false" ht="15.75" hidden="false" customHeight="true" outlineLevel="0" collapsed="false">
      <c r="A61" s="667" t="s">
        <v>546</v>
      </c>
      <c r="B61" s="668" t="n">
        <f aca="false">SUM(B59:B60)</f>
        <v>40464671.3598887</v>
      </c>
      <c r="C61" s="596"/>
      <c r="D61" s="588"/>
      <c r="E61" s="588"/>
      <c r="F61" s="588"/>
      <c r="G61" s="588"/>
      <c r="H61" s="2"/>
    </row>
    <row r="62" customFormat="false" ht="15" hidden="false" customHeight="true" outlineLevel="0" collapsed="false">
      <c r="A62" s="669"/>
      <c r="B62" s="588"/>
      <c r="C62" s="588"/>
      <c r="D62" s="588"/>
      <c r="E62" s="588"/>
      <c r="F62" s="588"/>
      <c r="G62" s="588"/>
      <c r="H62"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1E2B"/>
    <pageSetUpPr fitToPage="false"/>
  </sheetPr>
  <dimension ref="A1:K4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E18" activeCellId="0" sqref="E18"/>
    </sheetView>
  </sheetViews>
  <sheetFormatPr defaultColWidth="7.30078125" defaultRowHeight="13.8" zeroHeight="false" outlineLevelRow="0" outlineLevelCol="0"/>
  <cols>
    <col collapsed="false" customWidth="true" hidden="false" outlineLevel="0" max="1" min="1" style="670" width="40.8"/>
    <col collapsed="false" customWidth="true" hidden="false" outlineLevel="0" max="5" min="2" style="583" width="14"/>
    <col collapsed="false" customWidth="true" hidden="false" outlineLevel="0" max="6" min="6" style="583" width="22.5"/>
    <col collapsed="false" customWidth="true" hidden="false" outlineLevel="0" max="7" min="7" style="584" width="16.7"/>
    <col collapsed="false" customWidth="true" hidden="false" outlineLevel="0" max="8" min="8" style="584" width="18.79"/>
    <col collapsed="false" customWidth="true" hidden="false" outlineLevel="0" max="9" min="9" style="584" width="14.4"/>
    <col collapsed="false" customWidth="true" hidden="false" outlineLevel="0" max="10" min="10" style="584" width="13"/>
    <col collapsed="false" customWidth="false" hidden="false" outlineLevel="0" max="16384" min="11" style="584" width="7.3"/>
  </cols>
  <sheetData>
    <row r="1" customFormat="false" ht="24" hidden="false" customHeight="true" outlineLevel="0" collapsed="false">
      <c r="A1" s="671" t="s">
        <v>547</v>
      </c>
      <c r="B1" s="672"/>
      <c r="C1" s="673"/>
      <c r="D1" s="673"/>
      <c r="E1" s="2"/>
      <c r="F1" s="2"/>
      <c r="G1" s="2"/>
      <c r="H1" s="2"/>
      <c r="I1" s="2"/>
      <c r="J1" s="2"/>
      <c r="K1" s="2"/>
    </row>
    <row r="2" customFormat="false" ht="15" hidden="false" customHeight="true" outlineLevel="0" collapsed="false">
      <c r="A2" s="674"/>
      <c r="B2" s="675"/>
      <c r="C2" s="2"/>
      <c r="D2" s="2"/>
      <c r="E2" s="2"/>
      <c r="F2" s="2"/>
      <c r="G2" s="2"/>
      <c r="H2" s="2"/>
      <c r="I2" s="2"/>
      <c r="J2" s="2"/>
      <c r="K2" s="2"/>
    </row>
    <row r="3" customFormat="false" ht="15.75" hidden="false" customHeight="true" outlineLevel="0" collapsed="false">
      <c r="A3" s="676" t="s">
        <v>548</v>
      </c>
      <c r="B3" s="677" t="n">
        <v>0.25</v>
      </c>
      <c r="C3" s="678" t="n">
        <f aca="false">B3</f>
        <v>0.25</v>
      </c>
      <c r="D3" s="678" t="n">
        <f aca="false">C3+1</f>
        <v>1.25</v>
      </c>
      <c r="E3" s="678" t="n">
        <f aca="false">D3+1</f>
        <v>2.25</v>
      </c>
      <c r="F3" s="678" t="n">
        <f aca="false">E3+1</f>
        <v>3.25</v>
      </c>
      <c r="G3" s="678" t="n">
        <f aca="false">F3+1</f>
        <v>4.25</v>
      </c>
      <c r="H3" s="2"/>
      <c r="I3" s="2"/>
      <c r="J3" s="2"/>
      <c r="K3" s="2"/>
    </row>
    <row r="4" customFormat="false" ht="15" hidden="false" customHeight="true" outlineLevel="0" collapsed="false">
      <c r="A4" s="679"/>
      <c r="B4" s="680" t="n">
        <f aca="false">'Income Statement'!D2</f>
        <v>2025</v>
      </c>
      <c r="C4" s="680" t="n">
        <f aca="false">B4+1</f>
        <v>2026</v>
      </c>
      <c r="D4" s="680" t="n">
        <f aca="false">C4+1</f>
        <v>2027</v>
      </c>
      <c r="E4" s="680" t="n">
        <f aca="false">D4+1</f>
        <v>2028</v>
      </c>
      <c r="F4" s="680" t="n">
        <f aca="false">E4+1</f>
        <v>2029</v>
      </c>
      <c r="G4" s="680" t="n">
        <f aca="false">F4+1</f>
        <v>2030</v>
      </c>
      <c r="H4" s="681" t="n">
        <f aca="false">G4+1</f>
        <v>2031</v>
      </c>
      <c r="I4" s="2"/>
      <c r="J4" s="2"/>
      <c r="K4" s="2"/>
    </row>
    <row r="5" customFormat="false" ht="15" hidden="false" customHeight="true" outlineLevel="0" collapsed="false">
      <c r="A5" s="682" t="s">
        <v>549</v>
      </c>
      <c r="B5" s="683"/>
      <c r="C5" s="684" t="n">
        <f aca="false">'Pro Forma'!C10-Drivers!F136*MAX(0,'Pro Forma'!C10-Drivers!F134)</f>
        <v>6712155.67662171</v>
      </c>
      <c r="D5" s="684" t="n">
        <f aca="false">'Pro Forma'!D10-Drivers!G136*MAX(0,'Pro Forma'!D10-Drivers!G134)</f>
        <v>8583370.39044625</v>
      </c>
      <c r="E5" s="684" t="n">
        <f aca="false">'Pro Forma'!E10-Drivers!H136*MAX(0,'Pro Forma'!E10-Drivers!H134)</f>
        <v>10267189.2831959</v>
      </c>
      <c r="F5" s="684" t="n">
        <f aca="false">'Pro Forma'!F10-Drivers!I136*MAX(0,'Pro Forma'!F10-Drivers!I134)</f>
        <v>8109168.20303413</v>
      </c>
      <c r="G5" s="684" t="n">
        <f aca="false">'Pro Forma'!G10-Drivers!J136*MAX(0,'Pro Forma'!G10-Drivers!J134)</f>
        <v>16321728.8378721</v>
      </c>
      <c r="H5" s="685"/>
      <c r="I5" s="2"/>
      <c r="J5" s="2"/>
      <c r="K5" s="2"/>
    </row>
    <row r="6" customFormat="false" ht="15" hidden="false" customHeight="true" outlineLevel="0" collapsed="false">
      <c r="A6" s="686" t="s">
        <v>550</v>
      </c>
      <c r="B6" s="683"/>
      <c r="C6" s="684" t="n">
        <f aca="false">'Pro Forma'!C9</f>
        <v>3742094.4</v>
      </c>
      <c r="D6" s="684" t="n">
        <f aca="false">'Pro Forma'!D9</f>
        <v>5270266.00775904</v>
      </c>
      <c r="E6" s="684" t="n">
        <f aca="false">'Pro Forma'!E9</f>
        <v>6736300.28805754</v>
      </c>
      <c r="F6" s="684" t="n">
        <f aca="false">'Pro Forma'!F9</f>
        <v>14567897.0477264</v>
      </c>
      <c r="G6" s="684" t="n">
        <f aca="false">'Pro Forma'!G9</f>
        <v>16573405.0090052</v>
      </c>
      <c r="H6" s="685"/>
      <c r="I6" s="2"/>
      <c r="J6" s="2"/>
      <c r="K6" s="2"/>
    </row>
    <row r="7" customFormat="false" ht="15" hidden="false" customHeight="true" outlineLevel="0" collapsed="false">
      <c r="A7" s="686" t="s">
        <v>551</v>
      </c>
      <c r="B7" s="683"/>
      <c r="C7" s="684" t="n">
        <f aca="false">'Pro Forma'!C37</f>
        <v>2584386.32806608</v>
      </c>
      <c r="D7" s="684" t="n">
        <f aca="false">'Pro Forma'!D37</f>
        <v>3454529.79565908</v>
      </c>
      <c r="E7" s="684" t="n">
        <f aca="false">'Pro Forma'!E37</f>
        <v>4040072.02117552</v>
      </c>
      <c r="F7" s="684" t="n">
        <f aca="false">'Pro Forma'!F37</f>
        <v>9368456.35975228</v>
      </c>
      <c r="G7" s="684" t="n">
        <f aca="false">'Pro Forma'!G37</f>
        <v>6556463.86375452</v>
      </c>
      <c r="H7" s="685"/>
      <c r="I7" s="2"/>
      <c r="J7" s="2"/>
      <c r="K7" s="2"/>
    </row>
    <row r="8" customFormat="false" ht="15" hidden="false" customHeight="true" outlineLevel="0" collapsed="false">
      <c r="A8" s="686" t="s">
        <v>552</v>
      </c>
      <c r="B8" s="683"/>
      <c r="C8" s="684" t="n">
        <f aca="false">'Pro Forma'!C25</f>
        <v>12734763.397992</v>
      </c>
      <c r="D8" s="684" t="n">
        <f aca="false">'Pro Forma'!D25</f>
        <v>12216952.3358209</v>
      </c>
      <c r="E8" s="684" t="n">
        <f aca="false">'Pro Forma'!E25</f>
        <v>65263306.3305742</v>
      </c>
      <c r="F8" s="684" t="n">
        <f aca="false">'Pro Forma'!F25</f>
        <v>16712566.34399</v>
      </c>
      <c r="G8" s="684" t="n">
        <f aca="false">'Pro Forma'!G25</f>
        <v>17889220.9029689</v>
      </c>
      <c r="H8" s="685"/>
      <c r="I8" s="2"/>
      <c r="J8" s="2"/>
      <c r="K8" s="2"/>
    </row>
    <row r="9" customFormat="false" ht="15" hidden="false" customHeight="true" outlineLevel="0" collapsed="false">
      <c r="A9" s="687"/>
      <c r="B9" s="683"/>
      <c r="C9" s="683"/>
      <c r="D9" s="683"/>
      <c r="E9" s="683"/>
      <c r="F9" s="683"/>
      <c r="G9" s="683"/>
      <c r="H9" s="688" t="s">
        <v>553</v>
      </c>
      <c r="I9" s="2"/>
      <c r="J9" s="2"/>
      <c r="K9" s="2"/>
    </row>
    <row r="10" s="604" customFormat="true" ht="15.75" hidden="false" customHeight="true" outlineLevel="0" collapsed="false">
      <c r="A10" s="689" t="s">
        <v>554</v>
      </c>
      <c r="B10" s="690"/>
      <c r="C10" s="690" t="n">
        <f aca="false">C5+C6-C7-C8</f>
        <v>-4864899.64943637</v>
      </c>
      <c r="D10" s="690" t="n">
        <f aca="false">D5+D6-D7-D8</f>
        <v>-1817845.73327466</v>
      </c>
      <c r="E10" s="690" t="n">
        <f aca="false">E5+E6-E7-E8</f>
        <v>-52299888.7804963</v>
      </c>
      <c r="F10" s="690" t="n">
        <f aca="false">F5+F6-F7-F8</f>
        <v>-3403957.45298173</v>
      </c>
      <c r="G10" s="690" t="n">
        <f aca="false">G5+G6-G7-G8</f>
        <v>8449449.08015391</v>
      </c>
      <c r="H10" s="691" t="n">
        <f aca="false">G5*(1+Assumption!B14)*(1-Assumption!B14/Assumption!B17)</f>
        <v>10177781.0310875</v>
      </c>
      <c r="I10" s="336" t="s">
        <v>555</v>
      </c>
      <c r="J10" s="692"/>
      <c r="K10" s="693"/>
    </row>
    <row r="11" customFormat="false" ht="15" hidden="false" customHeight="true" outlineLevel="0" collapsed="false">
      <c r="A11" s="676" t="s">
        <v>556</v>
      </c>
      <c r="B11" s="599"/>
      <c r="C11" s="694" t="n">
        <f aca="false">B3</f>
        <v>0.25</v>
      </c>
      <c r="D11" s="694" t="n">
        <v>1</v>
      </c>
      <c r="E11" s="694" t="n">
        <v>1</v>
      </c>
      <c r="F11" s="694" t="n">
        <v>1</v>
      </c>
      <c r="G11" s="695" t="n">
        <v>1</v>
      </c>
      <c r="H11" s="599"/>
      <c r="I11" s="2"/>
      <c r="J11" s="696"/>
      <c r="K11" s="697"/>
    </row>
    <row r="12" customFormat="false" ht="15" hidden="false" customHeight="true" outlineLevel="0" collapsed="false">
      <c r="A12" s="698" t="s">
        <v>557</v>
      </c>
      <c r="B12" s="599"/>
      <c r="C12" s="599"/>
      <c r="D12" s="599"/>
      <c r="E12" s="599"/>
      <c r="F12" s="2"/>
      <c r="G12" s="699" t="n">
        <f aca="false">H10/(Assumption!B16-Assumption!B14)</f>
        <v>111464230.849885</v>
      </c>
      <c r="H12" s="700"/>
      <c r="I12" s="2"/>
      <c r="J12" s="2"/>
      <c r="K12" s="2"/>
    </row>
    <row r="13" customFormat="false" ht="15" hidden="false" customHeight="true" outlineLevel="0" collapsed="false">
      <c r="A13" s="676"/>
      <c r="B13" s="599"/>
      <c r="C13" s="599"/>
      <c r="D13" s="599"/>
      <c r="E13" s="599"/>
      <c r="F13" s="599"/>
      <c r="G13" s="599"/>
      <c r="H13" s="599"/>
      <c r="I13" s="2"/>
      <c r="J13" s="2"/>
      <c r="K13" s="2"/>
    </row>
    <row r="14" s="604" customFormat="true" ht="15" hidden="false" customHeight="true" outlineLevel="0" collapsed="false">
      <c r="A14" s="701" t="s">
        <v>558</v>
      </c>
      <c r="B14" s="702"/>
      <c r="C14" s="703" t="n">
        <f aca="false">C10*C11/(1+Assumption!$B$16)^C3</f>
        <v>-1176692.55216926</v>
      </c>
      <c r="D14" s="703" t="n">
        <f aca="false">D10*D11/(1+Assumption!$B$16)^D3</f>
        <v>-1540999.76815546</v>
      </c>
      <c r="E14" s="703" t="n">
        <f aca="false">E10*E11/(1+Assumption!$B$16)^E3</f>
        <v>-38845682.1299611</v>
      </c>
      <c r="F14" s="703" t="n">
        <f aca="false">F10*F11/(1+Assumption!$B$16)^F3</f>
        <v>-2215248.99593255</v>
      </c>
      <c r="G14" s="704" t="n">
        <f aca="false">(G10*G11+G12)/(1+Assumption!$B$16)^G3</f>
        <v>68375984.852971</v>
      </c>
      <c r="H14" s="603"/>
      <c r="I14" s="2"/>
      <c r="J14" s="2"/>
      <c r="K14" s="2"/>
    </row>
    <row r="15" customFormat="false" ht="15" hidden="false" customHeight="true" outlineLevel="0" collapsed="false">
      <c r="A15" s="676"/>
      <c r="B15" s="599"/>
      <c r="C15" s="599"/>
      <c r="D15" s="599"/>
      <c r="E15" s="599"/>
      <c r="F15" s="599"/>
      <c r="G15" s="599"/>
      <c r="H15" s="599"/>
      <c r="I15" s="2"/>
      <c r="J15" s="705"/>
      <c r="K15" s="2"/>
    </row>
    <row r="16" s="711" customFormat="true" ht="15.75" hidden="false" customHeight="true" outlineLevel="0" collapsed="false">
      <c r="A16" s="706" t="s">
        <v>559</v>
      </c>
      <c r="B16" s="707"/>
      <c r="C16" s="707" t="n">
        <f aca="false">SUM(C14:G14)</f>
        <v>24597361.4067526</v>
      </c>
      <c r="D16" s="708"/>
      <c r="E16" s="709"/>
      <c r="F16" s="709"/>
      <c r="G16" s="710"/>
      <c r="H16" s="710"/>
      <c r="I16" s="2"/>
      <c r="J16" s="696"/>
      <c r="K16" s="2"/>
    </row>
    <row r="17" customFormat="false" ht="15" hidden="false" customHeight="true" outlineLevel="0" collapsed="false">
      <c r="A17" s="676"/>
      <c r="B17" s="599"/>
      <c r="C17" s="599"/>
      <c r="D17" s="599"/>
      <c r="E17" s="599"/>
      <c r="F17" s="599"/>
      <c r="G17" s="705"/>
      <c r="H17" s="705"/>
      <c r="I17" s="2"/>
      <c r="J17" s="2"/>
      <c r="K17" s="2"/>
    </row>
    <row r="18" customFormat="false" ht="15.75" hidden="false" customHeight="true" outlineLevel="0" collapsed="false">
      <c r="A18" s="676"/>
      <c r="B18" s="712"/>
      <c r="C18" s="713"/>
      <c r="D18" s="714"/>
      <c r="E18" s="599"/>
      <c r="F18" s="599"/>
      <c r="G18" s="705"/>
      <c r="H18" s="705"/>
      <c r="I18" s="2"/>
      <c r="J18" s="2"/>
      <c r="K18" s="2"/>
    </row>
    <row r="19" customFormat="false" ht="15" hidden="false" customHeight="true" outlineLevel="0" collapsed="false">
      <c r="A19" s="715" t="s">
        <v>544</v>
      </c>
      <c r="B19" s="716" t="n">
        <f aca="false">'Pro Forma'!B61</f>
        <v>40464671.3598887</v>
      </c>
      <c r="C19" s="717"/>
      <c r="D19" s="714"/>
      <c r="E19" s="599"/>
      <c r="F19" s="599"/>
      <c r="G19" s="705"/>
      <c r="H19" s="705"/>
      <c r="I19" s="2"/>
      <c r="J19" s="2"/>
      <c r="K19" s="2"/>
    </row>
    <row r="20" customFormat="false" ht="15" hidden="false" customHeight="true" outlineLevel="0" collapsed="false">
      <c r="A20" s="718" t="s">
        <v>560</v>
      </c>
      <c r="B20" s="719" t="n">
        <f aca="false">B19/B21</f>
        <v>0.637646281974959</v>
      </c>
      <c r="C20" s="720"/>
      <c r="D20" s="714"/>
      <c r="E20" s="2"/>
      <c r="F20" s="2"/>
      <c r="G20" s="2"/>
      <c r="H20" s="2"/>
      <c r="I20" s="2"/>
      <c r="J20" s="2"/>
      <c r="K20" s="2"/>
    </row>
    <row r="21" customFormat="false" ht="15" hidden="false" customHeight="true" outlineLevel="0" collapsed="false">
      <c r="A21" s="718" t="s">
        <v>561</v>
      </c>
      <c r="B21" s="721" t="n">
        <f aca="false">SUM(B22,B19)</f>
        <v>63459432.7666413</v>
      </c>
      <c r="C21" s="722"/>
      <c r="D21" s="714"/>
      <c r="E21" s="2"/>
      <c r="F21" s="2"/>
      <c r="G21" s="2"/>
      <c r="H21" s="2"/>
      <c r="I21" s="2"/>
      <c r="J21" s="2"/>
      <c r="K21" s="2"/>
    </row>
    <row r="22" customFormat="false" ht="15.75" hidden="false" customHeight="true" outlineLevel="0" collapsed="false">
      <c r="A22" s="723" t="s">
        <v>562</v>
      </c>
      <c r="B22" s="724" t="n">
        <f aca="false">B33</f>
        <v>22994761.4067526</v>
      </c>
      <c r="C22" s="722"/>
      <c r="D22" s="725" t="s">
        <v>563</v>
      </c>
      <c r="E22" s="726" t="n">
        <f aca="false">B19</f>
        <v>40464671.3598887</v>
      </c>
      <c r="F22" s="727" t="s">
        <v>564</v>
      </c>
      <c r="G22" s="728" t="n">
        <f aca="false">B20</f>
        <v>0.637646281974959</v>
      </c>
      <c r="H22" s="729" t="s">
        <v>565</v>
      </c>
      <c r="I22" s="2"/>
      <c r="J22" s="2"/>
      <c r="K22" s="2"/>
    </row>
    <row r="23" customFormat="false" ht="15" hidden="false" customHeight="true" outlineLevel="0" collapsed="false">
      <c r="A23" s="676"/>
      <c r="B23" s="2"/>
      <c r="C23" s="2"/>
      <c r="D23" s="2"/>
      <c r="E23" s="2"/>
      <c r="F23" s="2"/>
      <c r="G23" s="2"/>
      <c r="H23" s="2"/>
      <c r="I23" s="2"/>
      <c r="J23" s="2"/>
      <c r="K23" s="2"/>
    </row>
    <row r="24" customFormat="false" ht="15" hidden="false" customHeight="true" outlineLevel="0" collapsed="false">
      <c r="A24" s="676"/>
      <c r="B24" s="714"/>
      <c r="C24" s="730"/>
      <c r="D24" s="2"/>
      <c r="E24" s="2"/>
      <c r="F24" s="2"/>
      <c r="G24" s="2"/>
      <c r="H24" s="2"/>
      <c r="I24" s="2"/>
      <c r="J24" s="2"/>
      <c r="K24" s="2"/>
    </row>
    <row r="25" customFormat="false" ht="15.75" hidden="false" customHeight="true" outlineLevel="0" collapsed="false">
      <c r="A25" s="676"/>
      <c r="B25" s="2"/>
      <c r="C25" s="2"/>
      <c r="D25" s="2"/>
      <c r="E25" s="2"/>
      <c r="F25" s="2"/>
      <c r="G25" s="2"/>
      <c r="H25" s="2"/>
      <c r="I25" s="2"/>
      <c r="J25" s="2"/>
      <c r="K25" s="2"/>
    </row>
    <row r="26" customFormat="false" ht="15" hidden="false" customHeight="true" outlineLevel="0" collapsed="false">
      <c r="A26" s="731" t="s">
        <v>566</v>
      </c>
      <c r="B26" s="732"/>
      <c r="C26" s="2"/>
      <c r="D26" s="2"/>
      <c r="E26" s="2"/>
      <c r="F26" s="2"/>
      <c r="G26" s="2"/>
      <c r="H26" s="2"/>
      <c r="I26" s="2"/>
      <c r="J26" s="2"/>
      <c r="K26" s="2"/>
    </row>
    <row r="27" customFormat="false" ht="15" hidden="false" customHeight="true" outlineLevel="0" collapsed="false">
      <c r="A27" s="733" t="s">
        <v>567</v>
      </c>
      <c r="B27" s="734" t="n">
        <f aca="false">SUM(C14:F14)+G10*G11/(1+Assumption!B16)^G3</f>
        <v>-38960662.7043112</v>
      </c>
      <c r="C27" s="2"/>
      <c r="D27" s="2"/>
      <c r="E27" s="2"/>
      <c r="F27" s="2"/>
      <c r="G27" s="2"/>
      <c r="H27" s="2"/>
      <c r="I27" s="2"/>
      <c r="J27" s="2"/>
      <c r="K27" s="2"/>
    </row>
    <row r="28" customFormat="false" ht="15" hidden="false" customHeight="true" outlineLevel="0" collapsed="false">
      <c r="A28" s="733" t="s">
        <v>568</v>
      </c>
      <c r="B28" s="734" t="n">
        <f aca="false">G12/(1+Assumption!B16)^G3</f>
        <v>63558024.1110638</v>
      </c>
      <c r="C28" s="2"/>
      <c r="D28" s="2"/>
      <c r="E28" s="2"/>
      <c r="F28" s="2"/>
      <c r="G28" s="2"/>
      <c r="H28" s="2"/>
      <c r="I28" s="2"/>
      <c r="J28" s="2"/>
      <c r="K28" s="2"/>
    </row>
    <row r="29" customFormat="false" ht="15" hidden="false" customHeight="true" outlineLevel="0" collapsed="false">
      <c r="A29" s="733" t="s">
        <v>569</v>
      </c>
      <c r="B29" s="734" t="n">
        <f aca="false">C16</f>
        <v>24597361.4067526</v>
      </c>
      <c r="C29" s="2"/>
      <c r="D29" s="2"/>
      <c r="E29" s="2"/>
      <c r="F29" s="2"/>
      <c r="G29" s="2"/>
      <c r="H29" s="2"/>
      <c r="I29" s="2"/>
      <c r="J29" s="2"/>
      <c r="K29" s="2"/>
    </row>
    <row r="30" customFormat="false" ht="15" hidden="false" customHeight="true" outlineLevel="0" collapsed="false">
      <c r="A30" s="733" t="s">
        <v>570</v>
      </c>
      <c r="B30" s="735" t="n">
        <f aca="false">B28/B29</f>
        <v>2.58393666946795</v>
      </c>
      <c r="C30" s="2"/>
      <c r="D30" s="2"/>
      <c r="E30" s="2"/>
      <c r="F30" s="2"/>
      <c r="G30" s="2"/>
      <c r="H30" s="2"/>
      <c r="I30" s="2"/>
      <c r="J30" s="2"/>
      <c r="K30" s="2"/>
    </row>
    <row r="31" customFormat="false" ht="15" hidden="false" customHeight="true" outlineLevel="0" collapsed="false">
      <c r="A31" s="733" t="s">
        <v>571</v>
      </c>
      <c r="B31" s="734" t="n">
        <f aca="false">MAX(0,'Balance Sheet'!F6+(1-B3)*C10)</f>
        <v>0</v>
      </c>
      <c r="C31" s="2"/>
      <c r="D31" s="2"/>
      <c r="E31" s="2"/>
      <c r="F31" s="2"/>
      <c r="G31" s="2"/>
      <c r="H31" s="2"/>
      <c r="I31" s="2"/>
      <c r="J31" s="2"/>
      <c r="K31" s="2"/>
    </row>
    <row r="32" customFormat="false" ht="15" hidden="false" customHeight="true" outlineLevel="0" collapsed="false">
      <c r="A32" s="733" t="s">
        <v>572</v>
      </c>
      <c r="B32" s="734" t="n">
        <f aca="false">SUM('Balance Sheet'!F45,'Balance Sheet'!F58)</f>
        <v>1602600</v>
      </c>
      <c r="C32" s="2"/>
      <c r="D32" s="2"/>
      <c r="E32" s="2"/>
      <c r="F32" s="2"/>
      <c r="G32" s="2"/>
      <c r="H32" s="2"/>
      <c r="I32" s="2"/>
      <c r="J32" s="2"/>
      <c r="K32" s="2"/>
    </row>
    <row r="33" customFormat="false" ht="15" hidden="false" customHeight="true" outlineLevel="0" collapsed="false">
      <c r="A33" s="736" t="s">
        <v>573</v>
      </c>
      <c r="B33" s="734" t="n">
        <f aca="false">B29+B31-B32</f>
        <v>22994761.4067526</v>
      </c>
      <c r="C33" s="2"/>
      <c r="D33" s="2"/>
      <c r="E33" s="2"/>
      <c r="F33" s="2"/>
      <c r="G33" s="2"/>
      <c r="H33" s="2"/>
      <c r="I33" s="2"/>
      <c r="J33" s="2"/>
      <c r="K33" s="2"/>
    </row>
    <row r="34" customFormat="false" ht="15" hidden="false" customHeight="true" outlineLevel="0" collapsed="false">
      <c r="A34" s="733" t="s">
        <v>574</v>
      </c>
      <c r="B34" s="737" t="n">
        <f aca="false">B29/Drivers!E77</f>
        <v>3.19669222750901</v>
      </c>
      <c r="C34" s="2"/>
      <c r="D34" s="2"/>
      <c r="E34" s="2"/>
      <c r="F34" s="2"/>
      <c r="G34" s="2"/>
      <c r="H34" s="2"/>
      <c r="I34" s="2"/>
      <c r="J34" s="2"/>
      <c r="K34" s="2"/>
    </row>
    <row r="35" customFormat="false" ht="15" hidden="false" customHeight="true" outlineLevel="0" collapsed="false">
      <c r="A35" s="733" t="s">
        <v>575</v>
      </c>
      <c r="B35" s="737" t="n">
        <f aca="false">B29/Drivers!F77</f>
        <v>2.16065711154623</v>
      </c>
      <c r="C35" s="2"/>
      <c r="D35" s="2"/>
      <c r="E35" s="2"/>
      <c r="F35" s="2"/>
      <c r="G35" s="2"/>
      <c r="H35" s="2"/>
      <c r="I35" s="2"/>
      <c r="J35" s="2"/>
      <c r="K35" s="2"/>
    </row>
    <row r="36" customFormat="false" ht="15" hidden="false" customHeight="true" outlineLevel="0" collapsed="false">
      <c r="A36" s="733" t="s">
        <v>576</v>
      </c>
      <c r="B36" s="737" t="n">
        <f aca="false">B33/'Income Statement'!E78</f>
        <v>3.49510146280095</v>
      </c>
      <c r="C36" s="2"/>
      <c r="D36" s="2"/>
      <c r="E36" s="2"/>
      <c r="F36" s="2"/>
      <c r="G36" s="2"/>
      <c r="H36" s="2"/>
      <c r="I36" s="2"/>
      <c r="J36" s="2"/>
      <c r="K36" s="2"/>
    </row>
    <row r="37" customFormat="false" ht="15" hidden="false" customHeight="true" outlineLevel="0" collapsed="false">
      <c r="A37" s="733" t="s">
        <v>577</v>
      </c>
      <c r="B37" s="490" t="n">
        <f aca="false">B33/'Balance Sheet'!F73</f>
        <v>0.767202789552963</v>
      </c>
      <c r="C37" s="2"/>
      <c r="D37" s="2"/>
      <c r="E37" s="2"/>
      <c r="F37" s="2"/>
      <c r="G37" s="2"/>
      <c r="H37" s="2"/>
      <c r="I37" s="2"/>
      <c r="J37" s="2"/>
      <c r="K37" s="2"/>
    </row>
    <row r="38" customFormat="false" ht="30.75" hidden="false" customHeight="true" outlineLevel="0" collapsed="false">
      <c r="A38" s="736" t="s">
        <v>578</v>
      </c>
      <c r="B38" s="734" t="n">
        <f aca="false">G10*(1+Assumption!B14)/(Assumption!B16-Assumption!B14)</f>
        <v>97162820.3579258</v>
      </c>
      <c r="C38" s="2"/>
      <c r="D38" s="2"/>
      <c r="E38" s="2"/>
      <c r="F38" s="2"/>
      <c r="G38" s="2"/>
      <c r="H38" s="2"/>
      <c r="I38" s="2"/>
      <c r="J38" s="2"/>
      <c r="K38" s="2"/>
    </row>
    <row r="39" customFormat="false" ht="15" hidden="false" customHeight="true" outlineLevel="0" collapsed="false">
      <c r="A39" s="733" t="s">
        <v>579</v>
      </c>
      <c r="B39" s="735" t="n">
        <f aca="false">G5/SUM('Pro Forma'!G24,'Pro Forma'!G36)</f>
        <v>0.123115883251726</v>
      </c>
      <c r="C39" s="2"/>
      <c r="D39" s="2"/>
      <c r="E39" s="2"/>
      <c r="F39" s="2"/>
      <c r="G39" s="2"/>
      <c r="H39" s="2"/>
      <c r="I39" s="2"/>
      <c r="J39" s="2"/>
      <c r="K39" s="2"/>
    </row>
    <row r="40" customFormat="false" ht="30.75" hidden="false" customHeight="true" outlineLevel="0" collapsed="false">
      <c r="A40" s="738" t="s">
        <v>580</v>
      </c>
      <c r="B40" s="739" t="n">
        <f aca="false">Assumption!B14/Assumption!B17</f>
        <v>0.406121441680834</v>
      </c>
      <c r="C40" s="2"/>
      <c r="D40" s="2"/>
      <c r="E40" s="2"/>
      <c r="F40" s="2"/>
      <c r="G40" s="2"/>
      <c r="H40" s="2"/>
      <c r="I40" s="2"/>
      <c r="J40" s="2"/>
      <c r="K40" s="2"/>
    </row>
    <row r="41" customFormat="false" ht="15.75" hidden="false" customHeight="true" outlineLevel="0" collapsed="false">
      <c r="C41" s="2"/>
      <c r="D41" s="2"/>
      <c r="E41" s="2"/>
      <c r="F41" s="2"/>
      <c r="G41" s="2"/>
      <c r="H41" s="2"/>
      <c r="I41" s="2"/>
      <c r="J41" s="2"/>
      <c r="K41"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1E2B"/>
    <pageSetUpPr fitToPage="false"/>
  </sheetPr>
  <dimension ref="A1:G43"/>
  <sheetViews>
    <sheetView showFormulas="false" showGridLines="false" showRowColHeaders="true" showZeros="true" rightToLeft="false" tabSelected="false" showOutlineSymbols="true" defaultGridColor="true" view="normal" topLeftCell="A19" colorId="64" zoomScale="90" zoomScaleNormal="90" zoomScalePageLayoutView="100" workbookViewId="0">
      <selection pane="topLeft" activeCell="B26" activeCellId="0" sqref="B26"/>
    </sheetView>
  </sheetViews>
  <sheetFormatPr defaultColWidth="8.703125" defaultRowHeight="13.8" zeroHeight="false" outlineLevelRow="0" outlineLevelCol="0"/>
  <cols>
    <col collapsed="false" customWidth="true" hidden="false" outlineLevel="0" max="1" min="1" style="374" width="48"/>
    <col collapsed="false" customWidth="true" hidden="false" outlineLevel="0" max="2" min="2" style="374" width="15.2"/>
    <col collapsed="false" customWidth="true" hidden="false" outlineLevel="0" max="3" min="3" style="374" width="37.55"/>
    <col collapsed="false" customWidth="true" hidden="false" outlineLevel="0" max="4" min="4" style="374" width="21.7"/>
    <col collapsed="false" customWidth="true" hidden="false" outlineLevel="0" max="5" min="5" style="374" width="15"/>
    <col collapsed="false" customWidth="false" hidden="false" outlineLevel="0" max="16384" min="6" style="374" width="8.7"/>
  </cols>
  <sheetData>
    <row r="1" customFormat="false" ht="27" hidden="false" customHeight="true" outlineLevel="0" collapsed="false">
      <c r="A1" s="740" t="s">
        <v>581</v>
      </c>
      <c r="B1" s="741"/>
      <c r="C1" s="742" t="n">
        <f aca="false">DCF!G4</f>
        <v>2030</v>
      </c>
      <c r="D1" s="743"/>
      <c r="E1" s="2"/>
    </row>
    <row r="2" customFormat="false" ht="15.75" hidden="false" customHeight="true" outlineLevel="0" collapsed="false">
      <c r="A2" s="351" t="s">
        <v>582</v>
      </c>
      <c r="B2" s="2"/>
      <c r="C2" s="2"/>
      <c r="D2" s="2"/>
      <c r="E2" s="2"/>
    </row>
    <row r="3" customFormat="false" ht="15" hidden="false" customHeight="true" outlineLevel="0" collapsed="false">
      <c r="A3" s="744" t="s">
        <v>583</v>
      </c>
      <c r="B3" s="745" t="n">
        <f aca="false">DCF!G3</f>
        <v>4.25</v>
      </c>
      <c r="C3" s="2"/>
      <c r="D3" s="746" t="s">
        <v>544</v>
      </c>
      <c r="E3" s="747" t="n">
        <f aca="false">DCF!B19</f>
        <v>40464671.3598887</v>
      </c>
    </row>
    <row r="4" customFormat="false" ht="15" hidden="false" customHeight="true" outlineLevel="0" collapsed="false">
      <c r="A4" s="748" t="s">
        <v>584</v>
      </c>
      <c r="B4" s="749" t="n">
        <v>0.4</v>
      </c>
      <c r="C4" s="750" t="s">
        <v>585</v>
      </c>
      <c r="D4" s="751" t="s">
        <v>586</v>
      </c>
      <c r="E4" s="752" t="n">
        <f aca="false">B35</f>
        <v>200607865.396057</v>
      </c>
    </row>
    <row r="5" customFormat="false" ht="15" hidden="false" customHeight="true" outlineLevel="0" collapsed="false">
      <c r="A5" s="748" t="s">
        <v>587</v>
      </c>
      <c r="B5" s="753" t="n">
        <f aca="false">'Discount rate'!E4</f>
        <v>0.141309839519679</v>
      </c>
      <c r="C5" s="2"/>
      <c r="D5" s="754" t="s">
        <v>588</v>
      </c>
      <c r="E5" s="755" t="n">
        <f aca="false">E4/(1+B7)^B3</f>
        <v>68633171.9969417</v>
      </c>
    </row>
    <row r="6" customFormat="false" ht="15" hidden="false" customHeight="true" outlineLevel="0" collapsed="false">
      <c r="A6" s="756"/>
      <c r="B6" s="757"/>
      <c r="C6" s="2"/>
      <c r="D6" s="751" t="s">
        <v>589</v>
      </c>
      <c r="E6" s="758" t="n">
        <f aca="false">E3/E5</f>
        <v>0.589578919093115</v>
      </c>
    </row>
    <row r="7" customFormat="false" ht="14.25" hidden="false" customHeight="true" outlineLevel="0" collapsed="false">
      <c r="A7" s="759" t="s">
        <v>590</v>
      </c>
      <c r="B7" s="760" t="n">
        <f aca="false">(1+B5)/(1-B4)^(1/B3)-1</f>
        <v>0.287073258984758</v>
      </c>
      <c r="C7" s="415"/>
      <c r="D7" s="754" t="s">
        <v>562</v>
      </c>
      <c r="E7" s="761" t="n">
        <f aca="false">E5-E3</f>
        <v>28168500.6370529</v>
      </c>
    </row>
    <row r="8" customFormat="false" ht="15" hidden="false" customHeight="true" outlineLevel="0" collapsed="false">
      <c r="A8" s="339"/>
      <c r="B8" s="762"/>
      <c r="C8" s="2"/>
      <c r="D8" s="763" t="s">
        <v>591</v>
      </c>
      <c r="E8" s="764" t="n">
        <f aca="false">1-E6</f>
        <v>0.410421080906885</v>
      </c>
    </row>
    <row r="9" customFormat="false" ht="31.5" hidden="false" customHeight="true" outlineLevel="0" collapsed="false">
      <c r="A9" s="339"/>
      <c r="B9" s="762"/>
      <c r="C9" s="2"/>
      <c r="D9" s="339"/>
      <c r="E9" s="765"/>
    </row>
    <row r="10" customFormat="false" ht="15" hidden="false" customHeight="true" outlineLevel="0" collapsed="false">
      <c r="A10" s="2"/>
      <c r="B10" s="2"/>
      <c r="C10" s="2"/>
      <c r="D10" s="2"/>
      <c r="E10" s="2"/>
    </row>
    <row r="11" customFormat="false" ht="15" hidden="false" customHeight="true" outlineLevel="0" collapsed="false">
      <c r="A11" s="766" t="s">
        <v>563</v>
      </c>
      <c r="B11" s="726" t="n">
        <f aca="false">E3</f>
        <v>40464671.3598887</v>
      </c>
      <c r="C11" s="727" t="s">
        <v>564</v>
      </c>
      <c r="D11" s="728" t="n">
        <f aca="false">E6</f>
        <v>0.589578919093115</v>
      </c>
      <c r="E11" s="729" t="s">
        <v>565</v>
      </c>
    </row>
    <row r="12" customFormat="false" ht="15" hidden="false" customHeight="true" outlineLevel="0" collapsed="false">
      <c r="A12" s="2"/>
      <c r="B12" s="2"/>
      <c r="C12" s="2"/>
      <c r="D12" s="2"/>
      <c r="E12" s="2"/>
    </row>
    <row r="13" customFormat="false" ht="15" hidden="false" customHeight="true" outlineLevel="0" collapsed="false">
      <c r="A13" s="2"/>
      <c r="B13" s="2"/>
      <c r="C13" s="2"/>
      <c r="D13" s="2"/>
      <c r="E13" s="2"/>
    </row>
    <row r="14" customFormat="false" ht="15" hidden="false" customHeight="true" outlineLevel="0" collapsed="false">
      <c r="A14" s="2"/>
      <c r="B14" s="2"/>
      <c r="C14" s="2"/>
      <c r="D14" s="2"/>
      <c r="E14" s="2"/>
    </row>
    <row r="15" customFormat="false" ht="15.75" hidden="false" customHeight="true" outlineLevel="0" collapsed="false">
      <c r="A15" s="767" t="s">
        <v>592</v>
      </c>
      <c r="B15" s="567" t="s">
        <v>593</v>
      </c>
      <c r="C15" s="567" t="s">
        <v>594</v>
      </c>
      <c r="D15" s="575" t="s">
        <v>595</v>
      </c>
      <c r="E15" s="2"/>
    </row>
    <row r="16" customFormat="false" ht="15" hidden="false" customHeight="true" outlineLevel="0" collapsed="false">
      <c r="A16" s="436" t="s">
        <v>596</v>
      </c>
      <c r="B16" s="768" t="n">
        <v>0.65</v>
      </c>
      <c r="C16" s="768" t="n">
        <v>0.8</v>
      </c>
      <c r="D16" s="735" t="n">
        <f aca="false">AVERAGE(B16:C16)</f>
        <v>0.725</v>
      </c>
      <c r="E16" s="769"/>
    </row>
    <row r="17" customFormat="false" ht="15" hidden="false" customHeight="true" outlineLevel="0" collapsed="false">
      <c r="A17" s="436" t="s">
        <v>597</v>
      </c>
      <c r="B17" s="768" t="n">
        <v>0.5</v>
      </c>
      <c r="C17" s="768" t="n">
        <v>0.65</v>
      </c>
      <c r="D17" s="735" t="n">
        <f aca="false">AVERAGE(B17:C17)</f>
        <v>0.575</v>
      </c>
      <c r="E17" s="770"/>
    </row>
    <row r="18" customFormat="false" ht="15" hidden="false" customHeight="true" outlineLevel="0" collapsed="false">
      <c r="A18" s="436" t="s">
        <v>598</v>
      </c>
      <c r="B18" s="768" t="n">
        <v>0.35</v>
      </c>
      <c r="C18" s="768" t="n">
        <v>0.45</v>
      </c>
      <c r="D18" s="735" t="n">
        <f aca="false">AVERAGE(B18:C18)</f>
        <v>0.4</v>
      </c>
      <c r="E18" s="2"/>
    </row>
    <row r="19" customFormat="false" ht="15" hidden="false" customHeight="true" outlineLevel="0" collapsed="false">
      <c r="A19" s="485" t="s">
        <v>599</v>
      </c>
      <c r="B19" s="771" t="n">
        <v>0.2</v>
      </c>
      <c r="C19" s="771" t="n">
        <v>0.3</v>
      </c>
      <c r="D19" s="739" t="n">
        <f aca="false">AVERAGE(B19:C19)</f>
        <v>0.25</v>
      </c>
      <c r="E19" s="2"/>
    </row>
    <row r="20" customFormat="false" ht="15.75" hidden="false" customHeight="true" outlineLevel="0" collapsed="false">
      <c r="A20" s="2"/>
      <c r="B20" s="2"/>
      <c r="C20" s="2"/>
      <c r="D20" s="2"/>
      <c r="E20" s="2"/>
    </row>
    <row r="21" customFormat="false" ht="15" hidden="false" customHeight="true" outlineLevel="0" collapsed="false">
      <c r="A21" s="414" t="s">
        <v>600</v>
      </c>
      <c r="B21" s="772" t="s">
        <v>598</v>
      </c>
      <c r="C21" s="773" t="s">
        <v>601</v>
      </c>
      <c r="D21" s="774"/>
      <c r="E21" s="774"/>
      <c r="F21" s="775"/>
      <c r="G21" s="775"/>
    </row>
    <row r="22" customFormat="false" ht="15" hidden="false" customHeight="true" outlineLevel="0" collapsed="false">
      <c r="A22" s="2"/>
      <c r="B22" s="2"/>
      <c r="C22" s="2"/>
      <c r="D22" s="2"/>
      <c r="E22" s="2"/>
    </row>
    <row r="23" customFormat="false" ht="15.75" hidden="false" customHeight="true" outlineLevel="0" collapsed="false">
      <c r="A23" s="776" t="s">
        <v>602</v>
      </c>
      <c r="B23" s="777"/>
      <c r="C23" s="778"/>
      <c r="D23" s="2"/>
      <c r="E23" s="2"/>
    </row>
    <row r="24" customFormat="false" ht="15" hidden="false" customHeight="true" outlineLevel="0" collapsed="false">
      <c r="A24" s="18" t="s">
        <v>603</v>
      </c>
      <c r="B24" s="779" t="n">
        <f aca="false">'Income Statement'!I78</f>
        <v>13374146.0043913</v>
      </c>
      <c r="C24" s="37"/>
      <c r="D24" s="2"/>
      <c r="E24" s="2"/>
    </row>
    <row r="25" customFormat="false" ht="71" hidden="false" customHeight="true" outlineLevel="0" collapsed="false">
      <c r="A25" s="18" t="s">
        <v>604</v>
      </c>
      <c r="B25" s="780" t="n">
        <v>9.4</v>
      </c>
      <c r="C25" s="781" t="s">
        <v>605</v>
      </c>
      <c r="D25" s="2"/>
      <c r="E25" s="2"/>
    </row>
    <row r="26" customFormat="false" ht="20" hidden="false" customHeight="true" outlineLevel="0" collapsed="false">
      <c r="A26" s="18" t="s">
        <v>606</v>
      </c>
      <c r="B26" s="782" t="n">
        <f aca="false">B24*B25</f>
        <v>125716972.441279</v>
      </c>
      <c r="C26" s="37"/>
      <c r="D26" s="2"/>
      <c r="E26" s="2"/>
    </row>
    <row r="27" customFormat="false" ht="15" hidden="false" customHeight="true" outlineLevel="0" collapsed="false">
      <c r="A27" s="18" t="s">
        <v>607</v>
      </c>
      <c r="B27" s="779" t="n">
        <f aca="false">'Income Statement'!I80</f>
        <v>36975566.0563454</v>
      </c>
      <c r="C27" s="37"/>
      <c r="D27" s="2"/>
      <c r="E27" s="2"/>
    </row>
    <row r="28" customFormat="false" ht="15" hidden="false" customHeight="true" outlineLevel="0" collapsed="false">
      <c r="A28" s="18" t="s">
        <v>608</v>
      </c>
      <c r="B28" s="780" t="n">
        <v>8</v>
      </c>
      <c r="C28" s="781" t="s">
        <v>609</v>
      </c>
      <c r="D28" s="2"/>
      <c r="E28" s="2"/>
    </row>
    <row r="29" customFormat="false" ht="30.75" hidden="false" customHeight="true" outlineLevel="0" collapsed="false">
      <c r="A29" s="18" t="s">
        <v>610</v>
      </c>
      <c r="B29" s="782" t="n">
        <f aca="false">B27*B28</f>
        <v>295804528.450763</v>
      </c>
      <c r="C29" s="37"/>
      <c r="D29" s="2"/>
      <c r="E29" s="2"/>
    </row>
    <row r="30" customFormat="false" ht="15" hidden="false" customHeight="true" outlineLevel="0" collapsed="false">
      <c r="A30" s="18" t="s">
        <v>611</v>
      </c>
      <c r="B30" s="779" t="n">
        <f aca="false">'Balance Sheet'!K6</f>
        <v>12623216.9387471</v>
      </c>
      <c r="C30" s="37"/>
      <c r="D30" s="2"/>
      <c r="E30" s="2"/>
    </row>
    <row r="31" customFormat="false" ht="15" hidden="false" customHeight="true" outlineLevel="0" collapsed="false">
      <c r="A31" s="18" t="s">
        <v>612</v>
      </c>
      <c r="B31" s="779" t="n">
        <f aca="false">SUM('Balance Sheet'!K45,'Balance Sheet'!K58)</f>
        <v>32928987.0386756</v>
      </c>
      <c r="C31" s="37"/>
      <c r="D31" s="2"/>
      <c r="E31" s="2"/>
    </row>
    <row r="32" customFormat="false" ht="15" hidden="false" customHeight="true" outlineLevel="0" collapsed="false">
      <c r="A32" s="18" t="s">
        <v>613</v>
      </c>
      <c r="B32" s="782" t="n">
        <f aca="false">B29+B30-B31</f>
        <v>275498758.350835</v>
      </c>
      <c r="C32" s="37"/>
      <c r="D32" s="2"/>
      <c r="E32" s="2"/>
    </row>
    <row r="33" customFormat="false" ht="15" hidden="false" customHeight="true" outlineLevel="0" collapsed="false">
      <c r="A33" s="783" t="s">
        <v>614</v>
      </c>
      <c r="B33" s="782" t="n">
        <f aca="false">DCF!G12+B30-B31</f>
        <v>91158460.7499564</v>
      </c>
      <c r="C33" s="37"/>
      <c r="D33" s="2"/>
      <c r="E33" s="2"/>
    </row>
    <row r="34" customFormat="false" ht="30.75" hidden="false" customHeight="true" outlineLevel="0" collapsed="false">
      <c r="A34" s="18" t="s">
        <v>615</v>
      </c>
      <c r="B34" s="784" t="n">
        <f aca="false">(B26-B30+B31)/B27</f>
        <v>3.94916854872998</v>
      </c>
      <c r="C34" s="37"/>
      <c r="D34" s="2"/>
      <c r="E34" s="2"/>
    </row>
    <row r="35" customFormat="false" ht="15" hidden="false" customHeight="true" outlineLevel="0" collapsed="false">
      <c r="A35" s="783" t="s">
        <v>616</v>
      </c>
      <c r="B35" s="782" t="n">
        <f aca="false">AVERAGE(B26,B32)</f>
        <v>200607865.396057</v>
      </c>
      <c r="C35" s="37"/>
      <c r="D35" s="2"/>
      <c r="E35" s="2"/>
    </row>
    <row r="36" customFormat="false" ht="30.75" hidden="false" customHeight="true" outlineLevel="0" collapsed="false">
      <c r="A36" s="36"/>
      <c r="B36" s="2"/>
      <c r="C36" s="37"/>
      <c r="D36" s="2"/>
      <c r="E36" s="2"/>
    </row>
    <row r="37" customFormat="false" ht="15" hidden="false" customHeight="true" outlineLevel="0" collapsed="false">
      <c r="A37" s="18" t="s">
        <v>617</v>
      </c>
      <c r="B37" s="785" t="n">
        <f aca="false">(E4*E6/E3)^(1/B3)-1</f>
        <v>0.287073258984758</v>
      </c>
      <c r="C37" s="37"/>
      <c r="D37" s="2"/>
      <c r="E37" s="2"/>
    </row>
    <row r="38" customFormat="false" ht="15" hidden="false" customHeight="true" outlineLevel="0" collapsed="false">
      <c r="A38" s="786" t="s">
        <v>618</v>
      </c>
      <c r="B38" s="787" t="n">
        <f aca="false">((1-B4)*E4*E6/E3)^(1/B3)-1</f>
        <v>0.141309839519679</v>
      </c>
      <c r="C38" s="38"/>
      <c r="D38" s="2"/>
      <c r="E38" s="2"/>
    </row>
    <row r="39" customFormat="false" ht="15.75" hidden="false" customHeight="true" outlineLevel="0" collapsed="false">
      <c r="A39" s="788"/>
      <c r="B39" s="785"/>
      <c r="C39" s="2"/>
      <c r="D39" s="2"/>
      <c r="E39" s="2"/>
    </row>
    <row r="40" customFormat="false" ht="15" hidden="false" customHeight="true" outlineLevel="0" collapsed="false">
      <c r="A40" s="788"/>
      <c r="B40" s="782"/>
      <c r="C40" s="2"/>
      <c r="D40" s="2"/>
      <c r="E40" s="2"/>
    </row>
    <row r="41" customFormat="false" ht="15" hidden="false" customHeight="true" outlineLevel="0" collapsed="false">
      <c r="A41" s="2"/>
      <c r="B41" s="2"/>
      <c r="C41" s="2"/>
      <c r="D41" s="2"/>
      <c r="E41" s="2"/>
    </row>
    <row r="42" customFormat="false" ht="15" hidden="false" customHeight="true" outlineLevel="0" collapsed="false">
      <c r="A42" s="789"/>
      <c r="B42" s="2"/>
      <c r="C42" s="2"/>
      <c r="D42" s="2"/>
      <c r="E42" s="2"/>
    </row>
    <row r="43" customFormat="false" ht="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1E2B"/>
    <pageSetUpPr fitToPage="false"/>
  </sheetPr>
  <dimension ref="A1:K5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15625" defaultRowHeight="15.6" zeroHeight="false" outlineLevelRow="0" outlineLevelCol="0"/>
  <cols>
    <col collapsed="false" customWidth="true" hidden="false" outlineLevel="0" max="1" min="1" style="1" width="60.1"/>
    <col collapsed="false" customWidth="true" hidden="false" outlineLevel="0" max="2" min="2" style="1" width="12"/>
    <col collapsed="false" customWidth="true" hidden="false" outlineLevel="0" max="3" min="3" style="1" width="26"/>
    <col collapsed="false" customWidth="true" hidden="false" outlineLevel="0" max="6" min="4" style="1" width="14"/>
    <col collapsed="false" customWidth="true" hidden="false" outlineLevel="0" max="10" min="7" style="1" width="12"/>
    <col collapsed="false" customWidth="true" hidden="false" outlineLevel="0" max="11" min="11" style="1" width="66"/>
  </cols>
  <sheetData>
    <row r="1" customFormat="false" ht="19.7" hidden="false" customHeight="false" outlineLevel="0" collapsed="false">
      <c r="A1" s="790" t="s">
        <v>619</v>
      </c>
      <c r="B1" s="226"/>
      <c r="C1" s="226"/>
      <c r="D1" s="2"/>
      <c r="E1" s="2"/>
      <c r="F1" s="2"/>
      <c r="G1" s="2"/>
      <c r="H1" s="2"/>
      <c r="I1" s="2"/>
      <c r="J1" s="2"/>
      <c r="K1" s="2"/>
    </row>
    <row r="2" customFormat="false" ht="15.6" hidden="false" customHeight="false" outlineLevel="0" collapsed="false">
      <c r="A2" s="336" t="s">
        <v>620</v>
      </c>
      <c r="B2" s="2"/>
      <c r="C2" s="2"/>
      <c r="D2" s="2"/>
      <c r="E2" s="2"/>
      <c r="F2" s="2"/>
      <c r="G2" s="2"/>
      <c r="H2" s="2"/>
      <c r="I2" s="2"/>
      <c r="J2" s="2"/>
      <c r="K2" s="2"/>
    </row>
    <row r="3" customFormat="false" ht="15.75" hidden="false" customHeight="true" outlineLevel="0" collapsed="false">
      <c r="A3" s="2"/>
      <c r="B3" s="2"/>
      <c r="C3" s="2"/>
      <c r="D3" s="2"/>
      <c r="E3" s="2"/>
      <c r="F3" s="2"/>
      <c r="G3" s="2"/>
      <c r="H3" s="2"/>
      <c r="I3" s="2"/>
      <c r="J3" s="2"/>
      <c r="K3" s="2"/>
    </row>
    <row r="4" customFormat="false" ht="31.5" hidden="false" customHeight="true" outlineLevel="0" collapsed="false">
      <c r="A4" s="791" t="s">
        <v>621</v>
      </c>
      <c r="B4" s="419" t="s">
        <v>622</v>
      </c>
      <c r="C4" s="419" t="s">
        <v>623</v>
      </c>
      <c r="D4" s="419" t="s">
        <v>624</v>
      </c>
      <c r="E4" s="419" t="s">
        <v>625</v>
      </c>
      <c r="F4" s="419" t="s">
        <v>626</v>
      </c>
      <c r="G4" s="419" t="s">
        <v>627</v>
      </c>
      <c r="H4" s="419" t="s">
        <v>628</v>
      </c>
      <c r="I4" s="419" t="s">
        <v>629</v>
      </c>
      <c r="J4" s="419" t="s">
        <v>630</v>
      </c>
      <c r="K4" s="421" t="s">
        <v>631</v>
      </c>
    </row>
    <row r="5" customFormat="false" ht="15.6" hidden="false" customHeight="false" outlineLevel="0" collapsed="false">
      <c r="A5" s="792" t="s">
        <v>632</v>
      </c>
      <c r="B5" s="788" t="s">
        <v>633</v>
      </c>
      <c r="C5" s="788" t="s">
        <v>634</v>
      </c>
      <c r="D5" s="793" t="n">
        <v>3938</v>
      </c>
      <c r="E5" s="794" t="n">
        <v>18.9</v>
      </c>
      <c r="F5" s="569" t="n">
        <v>6.35</v>
      </c>
      <c r="G5" s="569" t="n">
        <v>7.48</v>
      </c>
      <c r="H5" s="795" t="n">
        <v>1</v>
      </c>
      <c r="I5" s="796" t="n">
        <f aca="false">IF(H5=1,F5,"")</f>
        <v>6.35</v>
      </c>
      <c r="J5" s="796" t="n">
        <f aca="false">IF(H5=1,G5,"")</f>
        <v>7.48</v>
      </c>
      <c r="K5" s="781" t="s">
        <v>635</v>
      </c>
    </row>
    <row r="6" customFormat="false" ht="15.6" hidden="false" customHeight="false" outlineLevel="0" collapsed="false">
      <c r="A6" s="792" t="s">
        <v>636</v>
      </c>
      <c r="B6" s="788" t="s">
        <v>633</v>
      </c>
      <c r="C6" s="788" t="s">
        <v>637</v>
      </c>
      <c r="D6" s="793" t="n">
        <v>5488</v>
      </c>
      <c r="E6" s="794" t="n">
        <v>8.3</v>
      </c>
      <c r="F6" s="569" t="n">
        <v>8.98</v>
      </c>
      <c r="G6" s="569" t="n">
        <v>20.51</v>
      </c>
      <c r="H6" s="795" t="n">
        <v>1</v>
      </c>
      <c r="I6" s="796" t="n">
        <f aca="false">IF(H6=1,F6,"")</f>
        <v>8.98</v>
      </c>
      <c r="J6" s="796" t="n">
        <f aca="false">IF(H6=1,G6,"")</f>
        <v>20.51</v>
      </c>
      <c r="K6" s="781" t="s">
        <v>635</v>
      </c>
    </row>
    <row r="7" customFormat="false" ht="15.6" hidden="false" customHeight="false" outlineLevel="0" collapsed="false">
      <c r="A7" s="792" t="s">
        <v>638</v>
      </c>
      <c r="B7" s="788" t="s">
        <v>633</v>
      </c>
      <c r="C7" s="788" t="s">
        <v>639</v>
      </c>
      <c r="D7" s="793" t="n">
        <v>9243</v>
      </c>
      <c r="E7" s="794" t="n">
        <v>14.2</v>
      </c>
      <c r="F7" s="569" t="n">
        <v>3.85</v>
      </c>
      <c r="G7" s="569" t="n">
        <v>5.16</v>
      </c>
      <c r="H7" s="795" t="n">
        <v>1</v>
      </c>
      <c r="I7" s="796" t="n">
        <f aca="false">IF(H7=1,F7,"")</f>
        <v>3.85</v>
      </c>
      <c r="J7" s="796" t="n">
        <f aca="false">IF(H7=1,G7,"")</f>
        <v>5.16</v>
      </c>
      <c r="K7" s="781" t="s">
        <v>635</v>
      </c>
    </row>
    <row r="8" customFormat="false" ht="15.6" hidden="false" customHeight="false" outlineLevel="0" collapsed="false">
      <c r="A8" s="792" t="s">
        <v>640</v>
      </c>
      <c r="B8" s="788" t="s">
        <v>633</v>
      </c>
      <c r="C8" s="788" t="s">
        <v>641</v>
      </c>
      <c r="D8" s="793" t="n">
        <v>9252</v>
      </c>
      <c r="E8" s="794" t="n">
        <v>14</v>
      </c>
      <c r="F8" s="569" t="n">
        <v>5.05</v>
      </c>
      <c r="G8" s="569" t="n">
        <v>6.98</v>
      </c>
      <c r="H8" s="795" t="n">
        <v>1</v>
      </c>
      <c r="I8" s="796" t="n">
        <f aca="false">IF(H8=1,F8,"")</f>
        <v>5.05</v>
      </c>
      <c r="J8" s="796" t="n">
        <f aca="false">IF(H8=1,G8,"")</f>
        <v>6.98</v>
      </c>
      <c r="K8" s="781" t="s">
        <v>635</v>
      </c>
    </row>
    <row r="9" customFormat="false" ht="15.6" hidden="false" customHeight="false" outlineLevel="0" collapsed="false">
      <c r="A9" s="792" t="s">
        <v>642</v>
      </c>
      <c r="B9" s="788" t="s">
        <v>633</v>
      </c>
      <c r="C9" s="788" t="s">
        <v>643</v>
      </c>
      <c r="D9" s="793" t="n">
        <v>3112</v>
      </c>
      <c r="E9" s="794" t="n">
        <v>9.3</v>
      </c>
      <c r="F9" s="569" t="n">
        <v>13.71</v>
      </c>
      <c r="G9" s="569" t="n">
        <v>32.9</v>
      </c>
      <c r="H9" s="795" t="n">
        <v>1</v>
      </c>
      <c r="I9" s="796" t="n">
        <f aca="false">IF(H9=1,F9,"")</f>
        <v>13.71</v>
      </c>
      <c r="J9" s="796" t="n">
        <f aca="false">IF(H9=1,G9,"")</f>
        <v>32.9</v>
      </c>
      <c r="K9" s="781" t="s">
        <v>635</v>
      </c>
    </row>
    <row r="10" customFormat="false" ht="15.6" hidden="false" customHeight="false" outlineLevel="0" collapsed="false">
      <c r="A10" s="792" t="s">
        <v>644</v>
      </c>
      <c r="B10" s="788" t="s">
        <v>645</v>
      </c>
      <c r="C10" s="788" t="s">
        <v>646</v>
      </c>
      <c r="D10" s="793" t="n">
        <v>1921</v>
      </c>
      <c r="E10" s="794" t="n">
        <v>14.9</v>
      </c>
      <c r="F10" s="569" t="n">
        <v>2.66</v>
      </c>
      <c r="G10" s="569" t="n">
        <v>7.29</v>
      </c>
      <c r="H10" s="795" t="n">
        <v>1</v>
      </c>
      <c r="I10" s="796" t="n">
        <f aca="false">IF(H10=1,F10,"")</f>
        <v>2.66</v>
      </c>
      <c r="J10" s="796" t="n">
        <f aca="false">IF(H10=1,G10,"")</f>
        <v>7.29</v>
      </c>
      <c r="K10" s="781" t="s">
        <v>635</v>
      </c>
    </row>
    <row r="11" customFormat="false" ht="15.6" hidden="false" customHeight="false" outlineLevel="0" collapsed="false">
      <c r="A11" s="792" t="s">
        <v>647</v>
      </c>
      <c r="B11" s="788" t="s">
        <v>648</v>
      </c>
      <c r="C11" s="788" t="s">
        <v>649</v>
      </c>
      <c r="D11" s="793" t="n">
        <v>319</v>
      </c>
      <c r="E11" s="794" t="n">
        <v>16.4</v>
      </c>
      <c r="F11" s="569" t="n">
        <v>13.33</v>
      </c>
      <c r="G11" s="569" t="n">
        <v>16.64</v>
      </c>
      <c r="H11" s="795" t="n">
        <v>1</v>
      </c>
      <c r="I11" s="796" t="n">
        <f aca="false">IF(H11=1,F11,"")</f>
        <v>13.33</v>
      </c>
      <c r="J11" s="796" t="n">
        <f aca="false">IF(H11=1,G11,"")</f>
        <v>16.64</v>
      </c>
      <c r="K11" s="781" t="s">
        <v>635</v>
      </c>
    </row>
    <row r="12" customFormat="false" ht="15.6" hidden="false" customHeight="false" outlineLevel="0" collapsed="false">
      <c r="A12" s="792" t="s">
        <v>650</v>
      </c>
      <c r="B12" s="788" t="s">
        <v>645</v>
      </c>
      <c r="C12" s="788" t="s">
        <v>637</v>
      </c>
      <c r="D12" s="793" t="n">
        <v>3179</v>
      </c>
      <c r="E12" s="794" t="n">
        <v>15.9</v>
      </c>
      <c r="F12" s="569" t="n">
        <v>3.28</v>
      </c>
      <c r="G12" s="569" t="n">
        <v>2.54</v>
      </c>
      <c r="H12" s="795" t="n">
        <v>1</v>
      </c>
      <c r="I12" s="796" t="n">
        <f aca="false">IF(H12=1,F12,"")</f>
        <v>3.28</v>
      </c>
      <c r="J12" s="796" t="n">
        <f aca="false">IF(H12=1,G12,"")</f>
        <v>2.54</v>
      </c>
      <c r="K12" s="781" t="s">
        <v>635</v>
      </c>
    </row>
    <row r="13" customFormat="false" ht="15.6" hidden="false" customHeight="false" outlineLevel="0" collapsed="false">
      <c r="A13" s="792" t="s">
        <v>651</v>
      </c>
      <c r="B13" s="788" t="s">
        <v>633</v>
      </c>
      <c r="C13" s="788" t="s">
        <v>652</v>
      </c>
      <c r="D13" s="793" t="n">
        <v>431</v>
      </c>
      <c r="E13" s="794" t="n">
        <v>2.9</v>
      </c>
      <c r="F13" s="569" t="n">
        <v>36.45</v>
      </c>
      <c r="G13" s="569" t="n">
        <v>84.23</v>
      </c>
      <c r="H13" s="795" t="n">
        <v>0</v>
      </c>
      <c r="I13" s="796" t="str">
        <f aca="false">IF(H13=1,F13,"")</f>
        <v/>
      </c>
      <c r="J13" s="796" t="str">
        <f aca="false">IF(H13=1,G13,"")</f>
        <v/>
      </c>
      <c r="K13" s="781" t="s">
        <v>653</v>
      </c>
    </row>
    <row r="14" customFormat="false" ht="15.6" hidden="false" customHeight="false" outlineLevel="0" collapsed="false">
      <c r="A14" s="792" t="s">
        <v>654</v>
      </c>
      <c r="B14" s="788" t="s">
        <v>648</v>
      </c>
      <c r="C14" s="788" t="s">
        <v>655</v>
      </c>
      <c r="D14" s="793" t="n">
        <v>2042</v>
      </c>
      <c r="E14" s="794" t="n">
        <v>1.9</v>
      </c>
      <c r="F14" s="569" t="n">
        <v>0.04</v>
      </c>
      <c r="G14" s="569" t="n">
        <v>9.97</v>
      </c>
      <c r="H14" s="795" t="n">
        <v>0</v>
      </c>
      <c r="I14" s="796" t="str">
        <f aca="false">IF(H14=1,F14,"")</f>
        <v/>
      </c>
      <c r="J14" s="796" t="str">
        <f aca="false">IF(H14=1,G14,"")</f>
        <v/>
      </c>
      <c r="K14" s="781" t="s">
        <v>653</v>
      </c>
    </row>
    <row r="15" customFormat="false" ht="15.6" hidden="false" customHeight="false" outlineLevel="0" collapsed="false">
      <c r="A15" s="792" t="s">
        <v>656</v>
      </c>
      <c r="B15" s="788" t="s">
        <v>633</v>
      </c>
      <c r="C15" s="788" t="s">
        <v>657</v>
      </c>
      <c r="D15" s="793" t="n">
        <v>490</v>
      </c>
      <c r="E15" s="794" t="n">
        <v>7</v>
      </c>
      <c r="F15" s="569" t="n">
        <v>4.21</v>
      </c>
      <c r="G15" s="569" t="n">
        <v>20.41</v>
      </c>
      <c r="H15" s="795" t="n">
        <v>1</v>
      </c>
      <c r="I15" s="796" t="n">
        <f aca="false">IF(H15=1,F15,"")</f>
        <v>4.21</v>
      </c>
      <c r="J15" s="796" t="n">
        <f aca="false">IF(H15=1,G15,"")</f>
        <v>20.41</v>
      </c>
      <c r="K15" s="781" t="s">
        <v>635</v>
      </c>
    </row>
    <row r="16" customFormat="false" ht="15.6" hidden="false" customHeight="false" outlineLevel="0" collapsed="false">
      <c r="A16" s="792" t="s">
        <v>658</v>
      </c>
      <c r="B16" s="788" t="s">
        <v>645</v>
      </c>
      <c r="C16" s="788" t="s">
        <v>637</v>
      </c>
      <c r="D16" s="793" t="n">
        <v>913</v>
      </c>
      <c r="E16" s="794"/>
      <c r="F16" s="569" t="n">
        <v>4.17</v>
      </c>
      <c r="G16" s="569" t="n">
        <v>4.85</v>
      </c>
      <c r="H16" s="795" t="n">
        <v>1</v>
      </c>
      <c r="I16" s="796" t="n">
        <f aca="false">IF(H16=1,F16,"")</f>
        <v>4.17</v>
      </c>
      <c r="J16" s="796" t="n">
        <f aca="false">IF(H16=1,G16,"")</f>
        <v>4.85</v>
      </c>
      <c r="K16" s="781" t="s">
        <v>635</v>
      </c>
    </row>
    <row r="17" customFormat="false" ht="15.6" hidden="false" customHeight="false" outlineLevel="0" collapsed="false">
      <c r="A17" s="792" t="s">
        <v>659</v>
      </c>
      <c r="B17" s="788" t="s">
        <v>645</v>
      </c>
      <c r="C17" s="788" t="s">
        <v>660</v>
      </c>
      <c r="D17" s="793" t="n">
        <v>484</v>
      </c>
      <c r="E17" s="794" t="n">
        <v>6.5</v>
      </c>
      <c r="F17" s="569" t="n">
        <v>5.5</v>
      </c>
      <c r="G17" s="569" t="n">
        <v>9.19</v>
      </c>
      <c r="H17" s="795" t="n">
        <v>1</v>
      </c>
      <c r="I17" s="796" t="n">
        <f aca="false">IF(H17=1,F17,"")</f>
        <v>5.5</v>
      </c>
      <c r="J17" s="796" t="n">
        <f aca="false">IF(H17=1,G17,"")</f>
        <v>9.19</v>
      </c>
      <c r="K17" s="781" t="s">
        <v>635</v>
      </c>
    </row>
    <row r="18" customFormat="false" ht="15.6" hidden="false" customHeight="false" outlineLevel="0" collapsed="false">
      <c r="A18" s="792" t="s">
        <v>661</v>
      </c>
      <c r="B18" s="788" t="s">
        <v>645</v>
      </c>
      <c r="C18" s="788" t="s">
        <v>662</v>
      </c>
      <c r="D18" s="793" t="n">
        <v>212</v>
      </c>
      <c r="E18" s="794"/>
      <c r="F18" s="569" t="n">
        <v>2.96</v>
      </c>
      <c r="G18" s="569" t="n">
        <v>6.65</v>
      </c>
      <c r="H18" s="795" t="n">
        <v>1</v>
      </c>
      <c r="I18" s="796" t="n">
        <f aca="false">IF(H18=1,F18,"")</f>
        <v>2.96</v>
      </c>
      <c r="J18" s="796" t="n">
        <f aca="false">IF(H18=1,G18,"")</f>
        <v>6.65</v>
      </c>
      <c r="K18" s="781" t="s">
        <v>635</v>
      </c>
    </row>
    <row r="19" customFormat="false" ht="15.6" hidden="false" customHeight="false" outlineLevel="0" collapsed="false">
      <c r="A19" s="792" t="s">
        <v>663</v>
      </c>
      <c r="B19" s="788" t="s">
        <v>645</v>
      </c>
      <c r="C19" s="788" t="s">
        <v>664</v>
      </c>
      <c r="D19" s="793" t="n">
        <v>372</v>
      </c>
      <c r="E19" s="794" t="n">
        <v>5.3</v>
      </c>
      <c r="F19" s="569" t="n">
        <v>2.06</v>
      </c>
      <c r="G19" s="569" t="n">
        <v>6.46</v>
      </c>
      <c r="H19" s="795" t="n">
        <v>1</v>
      </c>
      <c r="I19" s="796" t="n">
        <f aca="false">IF(H19=1,F19,"")</f>
        <v>2.06</v>
      </c>
      <c r="J19" s="796" t="n">
        <f aca="false">IF(H19=1,G19,"")</f>
        <v>6.46</v>
      </c>
      <c r="K19" s="781" t="s">
        <v>635</v>
      </c>
    </row>
    <row r="20" customFormat="false" ht="15.75" hidden="false" customHeight="true" outlineLevel="0" collapsed="false">
      <c r="A20" s="797" t="s">
        <v>665</v>
      </c>
      <c r="B20" s="798" t="s">
        <v>645</v>
      </c>
      <c r="C20" s="798" t="s">
        <v>664</v>
      </c>
      <c r="D20" s="799" t="n">
        <v>746</v>
      </c>
      <c r="E20" s="800" t="n">
        <v>4</v>
      </c>
      <c r="F20" s="801" t="n">
        <v>5.4</v>
      </c>
      <c r="G20" s="801" t="n">
        <v>5.53</v>
      </c>
      <c r="H20" s="802" t="n">
        <v>1</v>
      </c>
      <c r="I20" s="803" t="n">
        <f aca="false">IF(H20=1,F20,"")</f>
        <v>5.4</v>
      </c>
      <c r="J20" s="803" t="n">
        <f aca="false">IF(H20=1,G20,"")</f>
        <v>5.53</v>
      </c>
      <c r="K20" s="804" t="s">
        <v>635</v>
      </c>
    </row>
    <row r="21" customFormat="false" ht="15.6" hidden="false" customHeight="false" outlineLevel="0" collapsed="false">
      <c r="A21" s="2"/>
      <c r="B21" s="2"/>
      <c r="C21" s="2"/>
      <c r="D21" s="2"/>
      <c r="E21" s="2"/>
      <c r="F21" s="2"/>
      <c r="G21" s="2"/>
      <c r="H21" s="2"/>
      <c r="I21" s="2"/>
      <c r="J21" s="2"/>
      <c r="K21" s="2"/>
    </row>
    <row r="22" customFormat="false" ht="15.6" hidden="false" customHeight="false" outlineLevel="0" collapsed="false">
      <c r="A22" s="414" t="s">
        <v>666</v>
      </c>
      <c r="B22" s="2"/>
      <c r="C22" s="2"/>
      <c r="D22" s="2"/>
      <c r="E22" s="2"/>
      <c r="F22" s="805" t="n">
        <f aca="false">MEDIAN(I5:I20)</f>
        <v>4.63</v>
      </c>
      <c r="G22" s="805" t="n">
        <f aca="false">MEDIAN(J5:J20)</f>
        <v>7.135</v>
      </c>
      <c r="H22" s="806" t="n">
        <f aca="false">SUM(H5:H20)</f>
        <v>14</v>
      </c>
      <c r="I22" s="2"/>
      <c r="J22" s="2"/>
      <c r="K22" s="2"/>
    </row>
    <row r="23" customFormat="false" ht="15.6" hidden="false" customHeight="false" outlineLevel="0" collapsed="false">
      <c r="A23" s="414" t="s">
        <v>667</v>
      </c>
      <c r="B23" s="2"/>
      <c r="C23" s="2"/>
      <c r="D23" s="2"/>
      <c r="E23" s="2"/>
      <c r="F23" s="807" t="n">
        <v>7.99</v>
      </c>
      <c r="G23" s="807" t="n">
        <v>9.43</v>
      </c>
      <c r="H23" s="336" t="s">
        <v>668</v>
      </c>
      <c r="I23" s="2"/>
      <c r="J23" s="2"/>
      <c r="K23" s="2"/>
    </row>
    <row r="24" customFormat="false" ht="15.6" hidden="false" customHeight="false" outlineLevel="0" collapsed="false">
      <c r="A24" s="336" t="s">
        <v>669</v>
      </c>
      <c r="B24" s="2"/>
      <c r="C24" s="2"/>
      <c r="D24" s="2"/>
      <c r="E24" s="2"/>
      <c r="F24" s="2"/>
      <c r="G24" s="2"/>
      <c r="H24" s="2"/>
      <c r="I24" s="2"/>
      <c r="J24" s="2"/>
      <c r="K24" s="2"/>
    </row>
    <row r="25" customFormat="false" ht="15.75" hidden="false" customHeight="true" outlineLevel="0" collapsed="false">
      <c r="A25" s="2"/>
      <c r="B25" s="2"/>
      <c r="C25" s="2"/>
      <c r="D25" s="2"/>
      <c r="E25" s="2"/>
      <c r="F25" s="2"/>
      <c r="G25" s="2"/>
      <c r="H25" s="2"/>
      <c r="I25" s="2"/>
      <c r="J25" s="2"/>
      <c r="K25" s="2"/>
    </row>
    <row r="26" customFormat="false" ht="15.6" hidden="false" customHeight="false" outlineLevel="0" collapsed="false">
      <c r="A26" s="776" t="s">
        <v>670</v>
      </c>
      <c r="B26" s="778"/>
      <c r="C26" s="2"/>
      <c r="D26" s="2"/>
      <c r="E26" s="2"/>
      <c r="F26" s="2"/>
      <c r="G26" s="2"/>
      <c r="H26" s="2"/>
      <c r="I26" s="2"/>
      <c r="J26" s="2"/>
      <c r="K26" s="2"/>
    </row>
    <row r="27" customFormat="false" ht="15.6" hidden="false" customHeight="false" outlineLevel="0" collapsed="false">
      <c r="A27" s="18" t="s">
        <v>671</v>
      </c>
      <c r="B27" s="808" t="n">
        <f aca="false">'Income Statement'!D80/1000000</f>
        <v>7.6946292155</v>
      </c>
      <c r="C27" s="2"/>
      <c r="D27" s="2"/>
      <c r="E27" s="2"/>
      <c r="F27" s="2"/>
      <c r="G27" s="2"/>
      <c r="H27" s="2"/>
      <c r="I27" s="2"/>
      <c r="J27" s="2"/>
      <c r="K27" s="2"/>
    </row>
    <row r="28" customFormat="false" ht="15.6" hidden="false" customHeight="false" outlineLevel="0" collapsed="false">
      <c r="A28" s="18" t="s">
        <v>672</v>
      </c>
      <c r="B28" s="808" t="n">
        <f aca="false">'Income Statement'!D74/1000000</f>
        <v>4.4204952155</v>
      </c>
      <c r="C28" s="2"/>
      <c r="D28" s="2"/>
      <c r="E28" s="2"/>
      <c r="F28" s="2"/>
      <c r="G28" s="2"/>
      <c r="H28" s="2"/>
      <c r="I28" s="2"/>
      <c r="J28" s="2"/>
      <c r="K28" s="2"/>
    </row>
    <row r="29" customFormat="false" ht="15.6" hidden="false" customHeight="false" outlineLevel="0" collapsed="false">
      <c r="A29" s="18" t="s">
        <v>673</v>
      </c>
      <c r="B29" s="809" t="n">
        <f aca="false">Assumption!B13</f>
        <v>0.2</v>
      </c>
      <c r="C29" s="336"/>
      <c r="D29" s="2"/>
      <c r="E29" s="2"/>
      <c r="F29" s="2"/>
      <c r="G29" s="2"/>
      <c r="H29" s="2"/>
      <c r="I29" s="2"/>
      <c r="J29" s="2"/>
      <c r="K29" s="2"/>
    </row>
    <row r="30" customFormat="false" ht="15.6" hidden="false" customHeight="false" outlineLevel="0" collapsed="false">
      <c r="A30" s="18" t="s">
        <v>674</v>
      </c>
      <c r="B30" s="810" t="n">
        <f aca="false">B28*(1-B29)</f>
        <v>3.5363961724</v>
      </c>
      <c r="C30" s="2"/>
      <c r="D30" s="2"/>
      <c r="E30" s="2"/>
      <c r="F30" s="2"/>
      <c r="G30" s="2"/>
      <c r="H30" s="2"/>
      <c r="I30" s="2"/>
      <c r="J30" s="2"/>
      <c r="K30" s="2"/>
    </row>
    <row r="31" customFormat="false" ht="15.6" hidden="false" customHeight="false" outlineLevel="0" collapsed="false">
      <c r="A31" s="18" t="s">
        <v>675</v>
      </c>
      <c r="B31" s="808" t="n">
        <f aca="false">'Balance Sheet'!F6/1000000</f>
        <v>2.93348176549999</v>
      </c>
      <c r="C31" s="2"/>
      <c r="D31" s="2"/>
      <c r="E31" s="2"/>
      <c r="F31" s="2"/>
      <c r="G31" s="2"/>
      <c r="H31" s="2"/>
      <c r="I31" s="2"/>
      <c r="J31" s="2"/>
      <c r="K31" s="2"/>
    </row>
    <row r="32" customFormat="false" ht="15.6" hidden="false" customHeight="false" outlineLevel="0" collapsed="false">
      <c r="A32" s="18" t="s">
        <v>676</v>
      </c>
      <c r="B32" s="808" t="n">
        <f aca="false">SUM('Balance Sheet'!F45,'Balance Sheet'!F58)/1000000</f>
        <v>1.6026</v>
      </c>
      <c r="C32" s="2"/>
      <c r="D32" s="2"/>
      <c r="E32" s="2"/>
      <c r="F32" s="2"/>
      <c r="G32" s="2"/>
      <c r="H32" s="2"/>
      <c r="I32" s="2"/>
      <c r="J32" s="2"/>
      <c r="K32" s="2"/>
    </row>
    <row r="33" customFormat="false" ht="15.75" hidden="false" customHeight="true" outlineLevel="0" collapsed="false">
      <c r="A33" s="786" t="s">
        <v>677</v>
      </c>
      <c r="B33" s="811" t="n">
        <v>0.3</v>
      </c>
      <c r="C33" s="336" t="s">
        <v>678</v>
      </c>
      <c r="D33" s="2"/>
      <c r="E33" s="2"/>
      <c r="F33" s="2"/>
      <c r="G33" s="2"/>
      <c r="H33" s="2"/>
      <c r="I33" s="2"/>
      <c r="J33" s="2"/>
      <c r="K33" s="2"/>
    </row>
    <row r="34" customFormat="false" ht="15.6" hidden="false" customHeight="false" outlineLevel="0" collapsed="false">
      <c r="A34" s="2"/>
      <c r="B34" s="2"/>
      <c r="C34" s="2"/>
      <c r="D34" s="2"/>
      <c r="E34" s="2"/>
      <c r="F34" s="2"/>
      <c r="G34" s="2"/>
      <c r="H34" s="2"/>
      <c r="I34" s="2"/>
      <c r="J34" s="2"/>
      <c r="K34" s="2"/>
    </row>
    <row r="35" customFormat="false" ht="15.75" hidden="false" customHeight="true" outlineLevel="0" collapsed="false">
      <c r="A35" s="812" t="s">
        <v>679</v>
      </c>
      <c r="B35" s="2"/>
      <c r="C35" s="2"/>
      <c r="D35" s="2"/>
      <c r="E35" s="2"/>
      <c r="F35" s="2"/>
      <c r="G35" s="2"/>
      <c r="H35" s="2"/>
      <c r="I35" s="2"/>
      <c r="J35" s="2"/>
      <c r="K35" s="2"/>
    </row>
    <row r="36" customFormat="false" ht="46.5" hidden="false" customHeight="true" outlineLevel="0" collapsed="false">
      <c r="A36" s="813" t="s">
        <v>680</v>
      </c>
      <c r="B36" s="567" t="s">
        <v>681</v>
      </c>
      <c r="C36" s="567" t="s">
        <v>682</v>
      </c>
      <c r="D36" s="567" t="s">
        <v>683</v>
      </c>
      <c r="E36" s="575" t="s">
        <v>684</v>
      </c>
      <c r="F36" s="2"/>
      <c r="G36" s="2"/>
      <c r="H36" s="2"/>
      <c r="I36" s="2"/>
      <c r="J36" s="2"/>
      <c r="K36" s="2"/>
    </row>
    <row r="37" customFormat="false" ht="15.6" hidden="false" customHeight="false" outlineLevel="0" collapsed="false">
      <c r="A37" s="18" t="s">
        <v>685</v>
      </c>
      <c r="B37" s="796" t="n">
        <f aca="false">F22</f>
        <v>4.63</v>
      </c>
      <c r="C37" s="814" t="n">
        <f aca="false">B27</f>
        <v>7.6946292155</v>
      </c>
      <c r="D37" s="815" t="n">
        <f aca="false">B37*C37+B31-B32</f>
        <v>36.957015033265</v>
      </c>
      <c r="E37" s="816" t="n">
        <f aca="false">D37*(1-$B$33)</f>
        <v>25.8699105232855</v>
      </c>
      <c r="F37" s="2"/>
      <c r="G37" s="2"/>
      <c r="H37" s="2"/>
      <c r="I37" s="2"/>
      <c r="J37" s="2"/>
      <c r="K37" s="2"/>
    </row>
    <row r="38" customFormat="false" ht="15.6" hidden="false" customHeight="false" outlineLevel="0" collapsed="false">
      <c r="A38" s="18" t="s">
        <v>686</v>
      </c>
      <c r="B38" s="796" t="n">
        <f aca="false">F23</f>
        <v>7.99</v>
      </c>
      <c r="C38" s="814" t="n">
        <f aca="false">B27</f>
        <v>7.6946292155</v>
      </c>
      <c r="D38" s="815" t="n">
        <f aca="false">B38*C38+B31-B32</f>
        <v>62.810969197345</v>
      </c>
      <c r="E38" s="816" t="n">
        <f aca="false">D38*(1-$B$33)</f>
        <v>43.9676784381415</v>
      </c>
      <c r="F38" s="2"/>
      <c r="G38" s="2"/>
      <c r="H38" s="2"/>
      <c r="I38" s="2"/>
      <c r="J38" s="2"/>
      <c r="K38" s="2"/>
    </row>
    <row r="39" customFormat="false" ht="15.6" hidden="false" customHeight="false" outlineLevel="0" collapsed="false">
      <c r="A39" s="18" t="s">
        <v>687</v>
      </c>
      <c r="B39" s="796" t="n">
        <f aca="false">G22</f>
        <v>7.135</v>
      </c>
      <c r="C39" s="814" t="n">
        <f aca="false">B30</f>
        <v>3.5363961724</v>
      </c>
      <c r="D39" s="815" t="n">
        <f aca="false">B39*C39</f>
        <v>25.232186690074</v>
      </c>
      <c r="E39" s="816" t="n">
        <f aca="false">D39*(1-$B$33)</f>
        <v>17.6625306830518</v>
      </c>
      <c r="F39" s="2"/>
      <c r="G39" s="2"/>
      <c r="H39" s="2"/>
      <c r="I39" s="2"/>
      <c r="J39" s="2"/>
      <c r="K39" s="2"/>
    </row>
    <row r="40" customFormat="false" ht="15.6" hidden="false" customHeight="false" outlineLevel="0" collapsed="false">
      <c r="A40" s="783" t="s">
        <v>688</v>
      </c>
      <c r="B40" s="796" t="n">
        <f aca="false">G23</f>
        <v>9.43</v>
      </c>
      <c r="C40" s="814" t="n">
        <f aca="false">B30</f>
        <v>3.5363961724</v>
      </c>
      <c r="D40" s="815" t="n">
        <f aca="false">B40*C40</f>
        <v>33.348215905732</v>
      </c>
      <c r="E40" s="816" t="n">
        <f aca="false">D40*(1-$B$33)</f>
        <v>23.3437511340124</v>
      </c>
      <c r="F40" s="2"/>
      <c r="G40" s="2"/>
      <c r="H40" s="2"/>
      <c r="I40" s="2"/>
      <c r="J40" s="2"/>
      <c r="K40" s="2"/>
    </row>
    <row r="41" customFormat="false" ht="15.6" hidden="false" customHeight="false" outlineLevel="0" collapsed="false">
      <c r="A41" s="792" t="s">
        <v>689</v>
      </c>
      <c r="B41" s="2"/>
      <c r="C41" s="2"/>
      <c r="D41" s="2"/>
      <c r="E41" s="816" t="n">
        <f aca="false">AVERAGE(E37:E40)</f>
        <v>27.7109676946228</v>
      </c>
      <c r="F41" s="2"/>
      <c r="G41" s="2"/>
      <c r="H41" s="2"/>
      <c r="I41" s="2"/>
      <c r="J41" s="2"/>
      <c r="K41" s="2"/>
    </row>
    <row r="42" customFormat="false" ht="15.75" hidden="false" customHeight="true" outlineLevel="0" collapsed="false">
      <c r="A42" s="817" t="s">
        <v>690</v>
      </c>
      <c r="B42" s="498"/>
      <c r="C42" s="498"/>
      <c r="D42" s="818" t="n">
        <f aca="false">MIN(E37:E40)</f>
        <v>17.6625306830518</v>
      </c>
      <c r="E42" s="819" t="n">
        <f aca="false">MAX(E37:E40)</f>
        <v>43.9676784381415</v>
      </c>
      <c r="F42" s="2"/>
      <c r="G42" s="2"/>
      <c r="H42" s="2"/>
      <c r="I42" s="2"/>
      <c r="J42" s="2"/>
      <c r="K42" s="2"/>
    </row>
    <row r="43" customFormat="false" ht="15.6" hidden="false" customHeight="false" outlineLevel="0" collapsed="false">
      <c r="A43" s="2"/>
      <c r="B43" s="2"/>
      <c r="C43" s="2"/>
      <c r="D43" s="2"/>
      <c r="E43" s="2"/>
      <c r="F43" s="2"/>
      <c r="G43" s="2"/>
      <c r="H43" s="2"/>
      <c r="I43" s="2"/>
      <c r="J43" s="2"/>
      <c r="K43" s="2"/>
    </row>
    <row r="44" customFormat="false" ht="15.75" hidden="false" customHeight="true" outlineLevel="0" collapsed="false">
      <c r="A44" s="48" t="s">
        <v>691</v>
      </c>
      <c r="B44" s="2"/>
      <c r="C44" s="2"/>
      <c r="D44" s="2"/>
      <c r="E44" s="2"/>
      <c r="F44" s="2"/>
      <c r="G44" s="2"/>
      <c r="H44" s="2"/>
      <c r="I44" s="2"/>
      <c r="J44" s="2"/>
      <c r="K44" s="2"/>
    </row>
    <row r="45" customFormat="false" ht="15.6" hidden="false" customHeight="false" outlineLevel="0" collapsed="false">
      <c r="A45" s="776" t="s">
        <v>569</v>
      </c>
      <c r="B45" s="820" t="n">
        <f aca="false">B49-B31+B32</f>
        <v>26.3800859291228</v>
      </c>
      <c r="C45" s="789" t="s">
        <v>692</v>
      </c>
      <c r="D45" s="2"/>
      <c r="E45" s="2"/>
      <c r="F45" s="2"/>
      <c r="G45" s="2"/>
      <c r="H45" s="2"/>
      <c r="I45" s="2"/>
      <c r="J45" s="2"/>
      <c r="K45" s="2"/>
    </row>
    <row r="46" customFormat="false" ht="15.6" hidden="false" customHeight="false" outlineLevel="0" collapsed="false">
      <c r="A46" s="821" t="s">
        <v>544</v>
      </c>
      <c r="B46" s="822" t="n">
        <f aca="false">DCF!B19/1000000</f>
        <v>40.4646713598887</v>
      </c>
      <c r="C46" s="789" t="s">
        <v>693</v>
      </c>
      <c r="D46" s="2"/>
      <c r="E46" s="2"/>
      <c r="F46" s="2"/>
      <c r="G46" s="2"/>
      <c r="H46" s="2"/>
      <c r="I46" s="2"/>
      <c r="J46" s="2"/>
      <c r="K46" s="2"/>
    </row>
    <row r="47" customFormat="false" ht="15.6" hidden="false" customHeight="false" outlineLevel="0" collapsed="false">
      <c r="A47" s="821" t="s">
        <v>589</v>
      </c>
      <c r="B47" s="823" t="n">
        <f aca="false">B46/B48</f>
        <v>0.593535637084886</v>
      </c>
      <c r="C47" s="2"/>
      <c r="D47" s="2"/>
      <c r="E47" s="2"/>
      <c r="F47" s="2"/>
      <c r="G47" s="2"/>
      <c r="H47" s="2"/>
      <c r="I47" s="2"/>
      <c r="J47" s="2"/>
      <c r="K47" s="2"/>
    </row>
    <row r="48" customFormat="false" ht="15.6" hidden="false" customHeight="false" outlineLevel="0" collapsed="false">
      <c r="A48" s="821" t="s">
        <v>561</v>
      </c>
      <c r="B48" s="824" t="n">
        <f aca="false">SUM(B49,B46)</f>
        <v>68.1756390545115</v>
      </c>
      <c r="C48" s="2"/>
      <c r="D48" s="2"/>
      <c r="E48" s="2"/>
      <c r="F48" s="2"/>
      <c r="G48" s="2"/>
      <c r="H48" s="2"/>
      <c r="I48" s="2"/>
      <c r="J48" s="2"/>
      <c r="K48" s="2"/>
    </row>
    <row r="49" customFormat="false" ht="15.6" hidden="false" customHeight="false" outlineLevel="0" collapsed="false">
      <c r="A49" s="821" t="s">
        <v>562</v>
      </c>
      <c r="B49" s="824" t="n">
        <f aca="false">E41</f>
        <v>27.7109676946228</v>
      </c>
      <c r="C49" s="789" t="s">
        <v>694</v>
      </c>
      <c r="D49" s="2"/>
      <c r="E49" s="2"/>
      <c r="F49" s="2"/>
      <c r="G49" s="2"/>
      <c r="H49" s="2"/>
      <c r="I49" s="2"/>
      <c r="J49" s="2"/>
      <c r="K49" s="2"/>
    </row>
    <row r="50" customFormat="false" ht="15.75" hidden="false" customHeight="true" outlineLevel="0" collapsed="false">
      <c r="A50" s="825" t="s">
        <v>591</v>
      </c>
      <c r="B50" s="826" t="n">
        <f aca="false">1-B47</f>
        <v>0.406464362915114</v>
      </c>
      <c r="C50" s="2"/>
      <c r="D50" s="2"/>
      <c r="E50" s="2"/>
      <c r="F50" s="2"/>
      <c r="G50" s="2"/>
      <c r="H50" s="2"/>
      <c r="I50" s="2"/>
      <c r="J50" s="2"/>
      <c r="K50" s="2"/>
    </row>
    <row r="51" customFormat="false" ht="15.6" hidden="false" customHeight="false" outlineLevel="0" collapsed="false">
      <c r="A51" s="2"/>
      <c r="B51" s="2"/>
      <c r="C51" s="2"/>
      <c r="D51" s="2"/>
      <c r="E51" s="2"/>
      <c r="F51" s="2"/>
      <c r="G51" s="2"/>
      <c r="H51" s="2"/>
      <c r="I51" s="2"/>
      <c r="J51" s="2"/>
      <c r="K51" s="2"/>
    </row>
    <row r="52" customFormat="false" ht="15.6" hidden="false" customHeight="false" outlineLevel="0" collapsed="false">
      <c r="A52" s="827" t="s">
        <v>563</v>
      </c>
      <c r="B52" s="828" t="n">
        <f aca="false">B46</f>
        <v>40.4646713598887</v>
      </c>
      <c r="C52" s="829" t="s">
        <v>695</v>
      </c>
      <c r="D52" s="830" t="n">
        <f aca="false">B47</f>
        <v>0.593535637084886</v>
      </c>
      <c r="E52" s="829" t="s">
        <v>565</v>
      </c>
      <c r="F52" s="2"/>
      <c r="G52" s="2"/>
      <c r="H52" s="2"/>
      <c r="I52" s="2"/>
      <c r="J52" s="2"/>
      <c r="K52" s="2"/>
    </row>
    <row r="53" customFormat="false" ht="15.6" hidden="false" customHeight="false" outlineLevel="0" collapsed="false">
      <c r="A53" s="2"/>
      <c r="B53" s="2"/>
      <c r="C53" s="2"/>
      <c r="D53" s="2"/>
      <c r="E53" s="2"/>
      <c r="F53" s="2"/>
      <c r="G53" s="2"/>
      <c r="H53" s="2"/>
      <c r="I53" s="2"/>
      <c r="J53" s="2"/>
      <c r="K53" s="2"/>
    </row>
    <row r="54" customFormat="false" ht="15.6" hidden="false" customHeight="false" outlineLevel="0" collapsed="false">
      <c r="A54" s="414"/>
      <c r="B54" s="2"/>
      <c r="C54" s="2"/>
      <c r="D54" s="2"/>
      <c r="E54" s="2"/>
      <c r="F54" s="2"/>
      <c r="G54" s="2"/>
      <c r="H54" s="2"/>
      <c r="I54" s="2"/>
      <c r="J54" s="2"/>
      <c r="K54" s="2"/>
    </row>
    <row r="55" customFormat="false" ht="15.6" hidden="false" customHeight="false" outlineLevel="0" collapsed="false">
      <c r="A55" s="788"/>
      <c r="B55" s="2"/>
      <c r="C55" s="2"/>
      <c r="D55" s="815"/>
      <c r="E55" s="2"/>
      <c r="F55" s="2"/>
      <c r="G55" s="2"/>
      <c r="H55" s="2"/>
      <c r="I55" s="2"/>
      <c r="J55" s="2"/>
      <c r="K55" s="2"/>
    </row>
    <row r="56" customFormat="false" ht="15.6" hidden="false" customHeight="false" outlineLevel="0" collapsed="false">
      <c r="A56" s="336"/>
      <c r="B56" s="2"/>
      <c r="C56" s="2"/>
      <c r="D56" s="2"/>
      <c r="E56" s="2"/>
      <c r="F56" s="2"/>
      <c r="G56" s="2"/>
      <c r="H56" s="2"/>
      <c r="I56" s="2"/>
      <c r="J56" s="2"/>
      <c r="K5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N59"/>
  <sheetViews>
    <sheetView showFormulas="false" showGridLines="false" showRowColHeaders="true" showZeros="true" rightToLeft="false" tabSelected="false" showOutlineSymbols="true" defaultGridColor="true" view="normal" topLeftCell="A26" colorId="64" zoomScale="90" zoomScaleNormal="90" zoomScalePageLayoutView="100" workbookViewId="0">
      <selection pane="topLeft" activeCell="D27" activeCellId="0" sqref="D27"/>
    </sheetView>
  </sheetViews>
  <sheetFormatPr defaultColWidth="8.515625" defaultRowHeight="15.6" zeroHeight="false" outlineLevelRow="0" outlineLevelCol="0"/>
  <cols>
    <col collapsed="false" customWidth="true" hidden="false" outlineLevel="0" max="1" min="1" style="1" width="58"/>
    <col collapsed="false" customWidth="true" hidden="false" outlineLevel="0" max="4" min="2" style="1" width="16"/>
    <col collapsed="false" customWidth="true" hidden="false" outlineLevel="0" max="5" min="5" style="1" width="45.1"/>
    <col collapsed="false" customWidth="true" hidden="false" outlineLevel="0" max="6" min="6" style="1" width="14"/>
    <col collapsed="false" customWidth="true" hidden="false" outlineLevel="0" max="8" min="7" style="1" width="20"/>
    <col collapsed="false" customWidth="true" hidden="false" outlineLevel="0" max="13" min="9" style="1" width="14"/>
    <col collapsed="false" customWidth="true" hidden="false" outlineLevel="0" max="14" min="14" style="1" width="100"/>
  </cols>
  <sheetData>
    <row r="1" customFormat="false" ht="19.7" hidden="false" customHeight="false" outlineLevel="0" collapsed="false">
      <c r="A1" s="790" t="s">
        <v>696</v>
      </c>
      <c r="B1" s="226"/>
      <c r="C1" s="2"/>
      <c r="D1" s="2"/>
      <c r="E1" s="2"/>
      <c r="F1" s="2"/>
      <c r="G1" s="2"/>
      <c r="H1" s="2"/>
      <c r="I1" s="2"/>
      <c r="J1" s="2"/>
      <c r="K1" s="2"/>
      <c r="L1" s="2"/>
      <c r="M1" s="2"/>
      <c r="N1" s="2"/>
    </row>
    <row r="2" customFormat="false" ht="15.6" hidden="false" customHeight="false" outlineLevel="0" collapsed="false">
      <c r="A2" s="336" t="s">
        <v>697</v>
      </c>
      <c r="B2" s="2"/>
      <c r="C2" s="2"/>
      <c r="D2" s="2"/>
      <c r="E2" s="2"/>
      <c r="F2" s="2"/>
      <c r="G2" s="2"/>
      <c r="H2" s="2"/>
      <c r="I2" s="2"/>
      <c r="J2" s="2"/>
      <c r="K2" s="2"/>
      <c r="L2" s="2"/>
      <c r="M2" s="2"/>
      <c r="N2" s="2"/>
    </row>
    <row r="3" customFormat="false" ht="15.75" hidden="false" customHeight="true" outlineLevel="0" collapsed="false">
      <c r="A3" s="2"/>
      <c r="B3" s="2"/>
      <c r="C3" s="2"/>
      <c r="D3" s="2"/>
      <c r="E3" s="2"/>
      <c r="F3" s="2"/>
      <c r="G3" s="2"/>
      <c r="H3" s="2"/>
      <c r="I3" s="2"/>
      <c r="J3" s="2"/>
      <c r="K3" s="2"/>
      <c r="L3" s="2"/>
      <c r="M3" s="2"/>
      <c r="N3" s="2"/>
    </row>
    <row r="4" customFormat="false" ht="30.75" hidden="false" customHeight="true" outlineLevel="0" collapsed="false">
      <c r="A4" s="813" t="s">
        <v>698</v>
      </c>
      <c r="B4" s="567" t="s">
        <v>699</v>
      </c>
      <c r="C4" s="567" t="s">
        <v>700</v>
      </c>
      <c r="D4" s="567" t="s">
        <v>701</v>
      </c>
      <c r="E4" s="567" t="s">
        <v>702</v>
      </c>
      <c r="F4" s="575" t="s">
        <v>703</v>
      </c>
      <c r="G4" s="831" t="s">
        <v>704</v>
      </c>
      <c r="H4" s="2"/>
      <c r="I4" s="2"/>
      <c r="J4" s="2"/>
      <c r="K4" s="2"/>
      <c r="L4" s="2"/>
      <c r="M4" s="2"/>
      <c r="N4" s="2"/>
    </row>
    <row r="5" customFormat="false" ht="15.6" hidden="false" customHeight="false" outlineLevel="0" collapsed="false">
      <c r="A5" s="18" t="s">
        <v>705</v>
      </c>
      <c r="B5" s="815" t="n">
        <f aca="false">DCF!B22/1000000</f>
        <v>22.9947614067526</v>
      </c>
      <c r="C5" s="815" t="n">
        <f aca="false">DCF!B19/1000000</f>
        <v>40.4646713598887</v>
      </c>
      <c r="D5" s="815" t="n">
        <f aca="false">SUM(B5:C5)</f>
        <v>63.4594327666413</v>
      </c>
      <c r="E5" s="785" t="n">
        <f aca="false">IF(B5&lt;=0,"n.m.",C5/D5)</f>
        <v>0.637646281974959</v>
      </c>
      <c r="F5" s="832" t="n">
        <v>0.4</v>
      </c>
      <c r="G5" s="336" t="s">
        <v>706</v>
      </c>
      <c r="H5" s="2"/>
      <c r="I5" s="2"/>
      <c r="J5" s="2"/>
      <c r="K5" s="2"/>
      <c r="L5" s="2"/>
      <c r="M5" s="2"/>
      <c r="N5" s="2"/>
    </row>
    <row r="6" customFormat="false" ht="15.6" hidden="false" customHeight="false" outlineLevel="0" collapsed="false">
      <c r="A6" s="18" t="s">
        <v>707</v>
      </c>
      <c r="B6" s="815" t="n">
        <f aca="false">VCM!E7/1000000</f>
        <v>28.1685006370529</v>
      </c>
      <c r="C6" s="815" t="n">
        <f aca="false">VCM!E3/1000000</f>
        <v>40.4646713598887</v>
      </c>
      <c r="D6" s="815" t="n">
        <f aca="false">SUM(B6:C6)</f>
        <v>68.6331719969417</v>
      </c>
      <c r="E6" s="785" t="n">
        <f aca="false">IF(B6&lt;=0,"n.m.",C6/D6)</f>
        <v>0.589578919093115</v>
      </c>
      <c r="F6" s="832" t="n">
        <v>0.4</v>
      </c>
      <c r="G6" s="336" t="s">
        <v>708</v>
      </c>
      <c r="H6" s="2"/>
      <c r="I6" s="2"/>
      <c r="J6" s="2"/>
      <c r="K6" s="2"/>
      <c r="L6" s="2"/>
      <c r="M6" s="2"/>
      <c r="N6" s="2"/>
    </row>
    <row r="7" customFormat="false" ht="30.75" hidden="false" customHeight="true" outlineLevel="0" collapsed="false">
      <c r="A7" s="783" t="s">
        <v>709</v>
      </c>
      <c r="B7" s="833" t="n">
        <f aca="false">Multiples!B49</f>
        <v>27.7109676946228</v>
      </c>
      <c r="C7" s="833" t="n">
        <f aca="false">Multiples!B46</f>
        <v>40.4646713598887</v>
      </c>
      <c r="D7" s="815" t="n">
        <f aca="false">SUM(B7:C7)</f>
        <v>68.1756390545115</v>
      </c>
      <c r="E7" s="785" t="n">
        <f aca="false">IF(B7&lt;=0,"n.m.",C7/D7)</f>
        <v>0.593535637084886</v>
      </c>
      <c r="F7" s="832" t="n">
        <v>0.2</v>
      </c>
      <c r="G7" s="336" t="s">
        <v>710</v>
      </c>
      <c r="H7" s="2"/>
      <c r="I7" s="2"/>
      <c r="J7" s="2"/>
      <c r="K7" s="2"/>
      <c r="L7" s="2"/>
      <c r="M7" s="2"/>
      <c r="N7" s="2"/>
    </row>
    <row r="8" customFormat="false" ht="17.25" hidden="false" customHeight="true" outlineLevel="0" collapsed="false">
      <c r="A8" s="834" t="s">
        <v>711</v>
      </c>
      <c r="B8" s="835" t="n">
        <f aca="false">(B5*F5+B6*F6+B7*F7)/SUM(F5:F7)</f>
        <v>26.0074983564468</v>
      </c>
      <c r="C8" s="835" t="n">
        <f aca="false">C5</f>
        <v>40.4646713598887</v>
      </c>
      <c r="D8" s="835" t="n">
        <f aca="false">SUM(B8:C8)</f>
        <v>66.4721697163355</v>
      </c>
      <c r="E8" s="836" t="n">
        <f aca="false">IF(B8&lt;=0,"n.m.",C8/D8)</f>
        <v>0.608746059178877</v>
      </c>
      <c r="F8" s="837" t="n">
        <f aca="false">SUM(F5:F7)</f>
        <v>1</v>
      </c>
      <c r="G8" s="2"/>
      <c r="H8" s="2"/>
      <c r="I8" s="2"/>
      <c r="J8" s="2"/>
      <c r="K8" s="2"/>
      <c r="L8" s="2"/>
      <c r="M8" s="2"/>
      <c r="N8" s="2"/>
    </row>
    <row r="9" customFormat="false" ht="17.25" hidden="false" customHeight="true" outlineLevel="0" collapsed="false">
      <c r="A9" s="838"/>
      <c r="B9" s="839"/>
      <c r="C9" s="839"/>
      <c r="D9" s="839"/>
      <c r="E9" s="840"/>
      <c r="F9" s="841"/>
      <c r="G9" s="2"/>
      <c r="H9" s="2"/>
      <c r="I9" s="2"/>
      <c r="J9" s="2"/>
      <c r="K9" s="2"/>
      <c r="L9" s="2"/>
      <c r="M9" s="2"/>
      <c r="N9" s="2"/>
    </row>
    <row r="10" customFormat="false" ht="15.6" hidden="false" customHeight="false" outlineLevel="0" collapsed="false">
      <c r="A10" s="812" t="s">
        <v>712</v>
      </c>
      <c r="B10" s="2"/>
      <c r="C10" s="2"/>
      <c r="D10" s="2"/>
      <c r="E10" s="2"/>
      <c r="F10" s="2"/>
      <c r="G10" s="2"/>
      <c r="H10" s="2"/>
      <c r="I10" s="2"/>
      <c r="J10" s="2"/>
      <c r="K10" s="2"/>
      <c r="L10" s="2"/>
      <c r="M10" s="2"/>
      <c r="N10" s="2"/>
    </row>
    <row r="11" customFormat="false" ht="16.5" hidden="false" customHeight="true" outlineLevel="0" collapsed="false">
      <c r="A11" s="842" t="s">
        <v>713</v>
      </c>
      <c r="B11" s="843" t="n">
        <f aca="false">(1-VCM!B4)*B5+VCM!B4*B12</f>
        <v>19.7912983971515</v>
      </c>
      <c r="C11" s="844"/>
      <c r="D11" s="845"/>
      <c r="E11" s="845"/>
      <c r="F11" s="845"/>
      <c r="G11" s="2"/>
      <c r="H11" s="2"/>
      <c r="I11" s="2"/>
      <c r="J11" s="2"/>
      <c r="K11" s="2"/>
      <c r="L11" s="2"/>
      <c r="M11" s="2"/>
      <c r="N11" s="2"/>
    </row>
    <row r="12" customFormat="false" ht="32" hidden="false" customHeight="true" outlineLevel="0" collapsed="false">
      <c r="A12" s="842" t="s">
        <v>714</v>
      </c>
      <c r="B12" s="843" t="n">
        <f aca="false">C12*'Balance Sheet'!F73/1000000</f>
        <v>14.98610388275</v>
      </c>
      <c r="C12" s="846" t="n">
        <v>0.5</v>
      </c>
      <c r="D12" s="847" t="s">
        <v>715</v>
      </c>
      <c r="E12" s="847"/>
      <c r="F12" s="847"/>
      <c r="G12" s="2"/>
      <c r="H12" s="2"/>
      <c r="I12" s="2"/>
      <c r="J12" s="2"/>
      <c r="K12" s="2"/>
      <c r="L12" s="2"/>
      <c r="M12" s="2"/>
      <c r="N12" s="2"/>
    </row>
    <row r="13" customFormat="false" ht="15.6" hidden="false" customHeight="false" outlineLevel="0" collapsed="false">
      <c r="A13" s="848"/>
      <c r="B13" s="815"/>
      <c r="C13" s="2"/>
      <c r="D13" s="2"/>
      <c r="E13" s="2"/>
      <c r="F13" s="2"/>
      <c r="G13" s="2"/>
      <c r="H13" s="2"/>
      <c r="I13" s="2"/>
      <c r="J13" s="2"/>
      <c r="K13" s="2"/>
      <c r="L13" s="2"/>
      <c r="M13" s="2"/>
      <c r="N13" s="2"/>
    </row>
    <row r="14" customFormat="false" ht="15.6" hidden="false" customHeight="false" outlineLevel="0" collapsed="false">
      <c r="A14" s="2"/>
      <c r="B14" s="2"/>
      <c r="C14" s="2"/>
      <c r="D14" s="2"/>
      <c r="E14" s="2"/>
      <c r="F14" s="2"/>
      <c r="G14" s="2"/>
      <c r="H14" s="2"/>
      <c r="I14" s="2"/>
      <c r="J14" s="2"/>
      <c r="K14" s="2"/>
      <c r="L14" s="2"/>
      <c r="M14" s="2"/>
      <c r="N14" s="2"/>
    </row>
    <row r="15" customFormat="false" ht="15.6" hidden="false" customHeight="false" outlineLevel="0" collapsed="false">
      <c r="A15" s="2"/>
      <c r="B15" s="2"/>
      <c r="C15" s="2"/>
      <c r="D15" s="2"/>
      <c r="E15" s="2"/>
      <c r="F15" s="2"/>
      <c r="G15" s="2"/>
      <c r="H15" s="2"/>
      <c r="I15" s="2"/>
      <c r="J15" s="2"/>
      <c r="K15" s="2"/>
      <c r="L15" s="2"/>
      <c r="M15" s="2"/>
      <c r="N15" s="2"/>
    </row>
    <row r="16" customFormat="false" ht="15.6" hidden="false" customHeight="false" outlineLevel="0" collapsed="false">
      <c r="A16" s="2"/>
      <c r="B16" s="2"/>
      <c r="C16" s="2"/>
      <c r="D16" s="2"/>
      <c r="E16" s="2"/>
      <c r="F16" s="2"/>
      <c r="G16" s="2"/>
      <c r="H16" s="2"/>
      <c r="I16" s="2"/>
      <c r="J16" s="2"/>
      <c r="K16" s="2"/>
      <c r="L16" s="2"/>
      <c r="M16" s="2"/>
      <c r="N16" s="2"/>
    </row>
    <row r="17" customFormat="false" ht="15.75" hidden="false" customHeight="true" outlineLevel="0" collapsed="false">
      <c r="A17" s="812" t="s">
        <v>716</v>
      </c>
      <c r="B17" s="2"/>
      <c r="C17" s="2"/>
      <c r="D17" s="2"/>
      <c r="E17" s="2"/>
      <c r="F17" s="2"/>
      <c r="G17" s="2"/>
      <c r="H17" s="2"/>
      <c r="I17" s="2"/>
      <c r="J17" s="2"/>
      <c r="K17" s="2"/>
      <c r="L17" s="2"/>
      <c r="M17" s="2"/>
      <c r="N17" s="2"/>
    </row>
    <row r="18" customFormat="false" ht="15.6" hidden="false" customHeight="false" outlineLevel="0" collapsed="false">
      <c r="A18" s="813" t="s">
        <v>698</v>
      </c>
      <c r="B18" s="567" t="s">
        <v>593</v>
      </c>
      <c r="C18" s="567" t="s">
        <v>717</v>
      </c>
      <c r="D18" s="567" t="s">
        <v>594</v>
      </c>
      <c r="E18" s="575" t="s">
        <v>718</v>
      </c>
      <c r="F18" s="2"/>
      <c r="G18" s="2"/>
      <c r="H18" s="2"/>
      <c r="I18" s="2"/>
      <c r="J18" s="2"/>
      <c r="K18" s="2"/>
      <c r="L18" s="2"/>
      <c r="M18" s="2"/>
      <c r="N18" s="2"/>
    </row>
    <row r="19" customFormat="false" ht="15.6" hidden="false" customHeight="false" outlineLevel="0" collapsed="false">
      <c r="A19" s="849" t="s">
        <v>48</v>
      </c>
      <c r="B19" s="850" t="n">
        <f aca="false">MIN(Sensitivity!C7:E9)</f>
        <v>13.4694523430269</v>
      </c>
      <c r="C19" s="851" t="n">
        <f aca="false">B5</f>
        <v>22.9947614067526</v>
      </c>
      <c r="D19" s="850" t="n">
        <f aca="false">MAX(Sensitivity!C7:E9)</f>
        <v>33.0495622160443</v>
      </c>
      <c r="E19" s="852" t="s">
        <v>719</v>
      </c>
      <c r="F19" s="2"/>
      <c r="G19" s="2"/>
      <c r="H19" s="2"/>
      <c r="I19" s="2"/>
      <c r="J19" s="2"/>
      <c r="K19" s="2"/>
      <c r="L19" s="2"/>
      <c r="M19" s="2"/>
      <c r="N19" s="2"/>
    </row>
    <row r="20" customFormat="false" ht="15.6" hidden="false" customHeight="false" outlineLevel="0" collapsed="false">
      <c r="A20" s="849" t="s">
        <v>720</v>
      </c>
      <c r="B20" s="850" t="n">
        <f aca="false">MIN(Sensitivity!C16:E18)</f>
        <v>13.0120084877283</v>
      </c>
      <c r="C20" s="851" t="n">
        <f aca="false">B6</f>
        <v>28.1685006370529</v>
      </c>
      <c r="D20" s="850" t="n">
        <f aca="false">MAX(Sensitivity!C16:E18)</f>
        <v>45.0408220863011</v>
      </c>
      <c r="E20" s="852" t="s">
        <v>721</v>
      </c>
      <c r="F20" s="2"/>
      <c r="G20" s="2"/>
      <c r="H20" s="2"/>
      <c r="I20" s="2"/>
      <c r="J20" s="2"/>
      <c r="K20" s="2"/>
      <c r="L20" s="2"/>
      <c r="M20" s="2"/>
      <c r="N20" s="2"/>
    </row>
    <row r="21" customFormat="false" ht="15.6" hidden="false" customHeight="false" outlineLevel="0" collapsed="false">
      <c r="A21" s="849" t="s">
        <v>722</v>
      </c>
      <c r="B21" s="850" t="n">
        <f aca="false">Multiples!D42</f>
        <v>17.6625306830518</v>
      </c>
      <c r="C21" s="851" t="n">
        <f aca="false">B7</f>
        <v>27.7109676946228</v>
      </c>
      <c r="D21" s="850" t="n">
        <f aca="false">Multiples!E42</f>
        <v>43.9676784381415</v>
      </c>
      <c r="E21" s="852" t="s">
        <v>723</v>
      </c>
      <c r="F21" s="2"/>
      <c r="G21" s="2"/>
      <c r="H21" s="2"/>
      <c r="I21" s="2"/>
      <c r="J21" s="2"/>
      <c r="K21" s="2"/>
      <c r="L21" s="2"/>
      <c r="M21" s="2"/>
      <c r="N21" s="2"/>
    </row>
    <row r="22" customFormat="false" ht="15.75" hidden="false" customHeight="true" outlineLevel="0" collapsed="false">
      <c r="A22" s="853" t="s">
        <v>724</v>
      </c>
      <c r="B22" s="854" t="n">
        <f aca="false">(B19*F5+B20*F6+B21*F7)/F8</f>
        <v>14.1250904689124</v>
      </c>
      <c r="C22" s="855" t="n">
        <f aca="false">B8</f>
        <v>26.0074983564468</v>
      </c>
      <c r="D22" s="854" t="n">
        <f aca="false">(D19*F5+D20*F6+D21*F7)/F8</f>
        <v>40.0296894085664</v>
      </c>
      <c r="E22" s="856" t="s">
        <v>725</v>
      </c>
      <c r="F22" s="2"/>
      <c r="G22" s="2"/>
      <c r="H22" s="2"/>
      <c r="I22" s="2"/>
      <c r="J22" s="2"/>
      <c r="K22" s="2"/>
      <c r="L22" s="2"/>
      <c r="M22" s="2"/>
      <c r="N22" s="2"/>
    </row>
    <row r="23" customFormat="false" ht="15.75" hidden="false" customHeight="true" outlineLevel="0" collapsed="false">
      <c r="A23" s="2"/>
      <c r="B23" s="2"/>
      <c r="C23" s="463"/>
      <c r="D23" s="2"/>
      <c r="E23" s="2"/>
      <c r="F23" s="2"/>
      <c r="G23" s="2"/>
      <c r="H23" s="2"/>
      <c r="I23" s="2"/>
      <c r="J23" s="2"/>
      <c r="K23" s="2"/>
      <c r="L23" s="2"/>
      <c r="M23" s="2"/>
      <c r="N23" s="2"/>
    </row>
    <row r="24" customFormat="false" ht="15.6" hidden="false" customHeight="false" outlineLevel="0" collapsed="false">
      <c r="A24" s="776" t="s">
        <v>726</v>
      </c>
      <c r="B24" s="548"/>
      <c r="C24" s="2"/>
      <c r="D24" s="2"/>
      <c r="E24" s="2"/>
      <c r="F24" s="2"/>
      <c r="G24" s="2"/>
      <c r="H24" s="2"/>
      <c r="I24" s="2"/>
      <c r="J24" s="2"/>
      <c r="K24" s="2"/>
      <c r="L24" s="2"/>
      <c r="M24" s="2"/>
      <c r="N24" s="2"/>
    </row>
    <row r="25" customFormat="false" ht="15.6" hidden="false" customHeight="false" outlineLevel="0" collapsed="false">
      <c r="A25" s="849" t="s">
        <v>727</v>
      </c>
      <c r="B25" s="857" t="n">
        <f aca="false">C8</f>
        <v>40.4646713598887</v>
      </c>
      <c r="C25" s="2"/>
      <c r="D25" s="2"/>
      <c r="E25" s="2"/>
      <c r="F25" s="2"/>
      <c r="G25" s="2"/>
      <c r="H25" s="2"/>
      <c r="I25" s="2"/>
      <c r="J25" s="2"/>
      <c r="K25" s="2"/>
      <c r="L25" s="2"/>
      <c r="M25" s="2"/>
      <c r="N25" s="2"/>
    </row>
    <row r="26" customFormat="false" ht="15.6" hidden="false" customHeight="false" outlineLevel="0" collapsed="false">
      <c r="A26" s="849" t="s">
        <v>728</v>
      </c>
      <c r="B26" s="858" t="n">
        <f aca="false">E8</f>
        <v>0.608746059178877</v>
      </c>
      <c r="C26" s="2"/>
      <c r="D26" s="2"/>
      <c r="E26" s="2"/>
      <c r="F26" s="2"/>
      <c r="G26" s="2"/>
      <c r="H26" s="2"/>
      <c r="I26" s="2"/>
      <c r="J26" s="2"/>
      <c r="K26" s="2"/>
      <c r="L26" s="2"/>
      <c r="M26" s="2"/>
      <c r="N26" s="2"/>
    </row>
    <row r="27" customFormat="false" ht="15.6" hidden="false" customHeight="false" outlineLevel="0" collapsed="false">
      <c r="A27" s="859" t="s">
        <v>729</v>
      </c>
      <c r="B27" s="860" t="n">
        <f aca="false">SUM(Drivers!F125:J125)/1000000</f>
        <v>39.1579837983445</v>
      </c>
      <c r="C27" s="2"/>
      <c r="D27" s="2"/>
      <c r="E27" s="2"/>
      <c r="F27" s="2"/>
      <c r="G27" s="2"/>
      <c r="H27" s="2"/>
      <c r="I27" s="2"/>
      <c r="J27" s="2"/>
      <c r="K27" s="2"/>
      <c r="L27" s="2"/>
      <c r="M27" s="2"/>
      <c r="N27" s="2"/>
    </row>
    <row r="28" customFormat="false" ht="15.75" hidden="false" customHeight="true" outlineLevel="0" collapsed="false">
      <c r="A28" s="861" t="s">
        <v>730</v>
      </c>
      <c r="B28" s="862" t="n">
        <f aca="false">SUM(B25,B27)</f>
        <v>79.6226551582333</v>
      </c>
      <c r="C28" s="2"/>
      <c r="D28" s="2"/>
      <c r="E28" s="2"/>
      <c r="F28" s="2"/>
      <c r="G28" s="2"/>
      <c r="H28" s="2"/>
      <c r="I28" s="2"/>
      <c r="J28" s="2"/>
      <c r="K28" s="2"/>
      <c r="L28" s="2"/>
      <c r="M28" s="2"/>
      <c r="N28" s="2"/>
    </row>
    <row r="29" customFormat="false" ht="15.6" hidden="false" customHeight="false" outlineLevel="0" collapsed="false">
      <c r="A29" s="2"/>
      <c r="B29" s="2"/>
      <c r="C29" s="2"/>
      <c r="D29" s="2"/>
      <c r="E29" s="2"/>
      <c r="F29" s="2"/>
      <c r="G29" s="2"/>
      <c r="H29" s="2"/>
      <c r="I29" s="2"/>
      <c r="J29" s="2"/>
      <c r="K29" s="2"/>
      <c r="L29" s="2"/>
      <c r="M29" s="2"/>
      <c r="N29" s="2"/>
    </row>
    <row r="30" customFormat="false" ht="15.6" hidden="false" customHeight="false" outlineLevel="0" collapsed="false">
      <c r="A30" s="2"/>
      <c r="B30" s="2"/>
      <c r="C30" s="2"/>
      <c r="D30" s="2"/>
      <c r="E30" s="2"/>
      <c r="F30" s="2"/>
      <c r="G30" s="2"/>
      <c r="H30" s="2"/>
      <c r="I30" s="2"/>
      <c r="J30" s="2"/>
      <c r="K30" s="2"/>
      <c r="L30" s="2"/>
      <c r="M30" s="2"/>
      <c r="N30" s="2"/>
    </row>
    <row r="31" customFormat="false" ht="15.6" hidden="false" customHeight="false" outlineLevel="0" collapsed="false">
      <c r="A31" s="812" t="s">
        <v>731</v>
      </c>
      <c r="B31" s="2"/>
      <c r="C31" s="2"/>
      <c r="D31" s="2"/>
      <c r="E31" s="2"/>
      <c r="F31" s="2"/>
      <c r="G31" s="2"/>
      <c r="H31" s="2"/>
      <c r="I31" s="2"/>
      <c r="J31" s="2"/>
      <c r="K31" s="2"/>
      <c r="L31" s="2"/>
      <c r="M31" s="2"/>
      <c r="N31" s="2"/>
    </row>
    <row r="32" customFormat="false" ht="15.75" hidden="false" customHeight="true" outlineLevel="0" collapsed="false">
      <c r="A32" s="336" t="s">
        <v>732</v>
      </c>
      <c r="B32" s="2"/>
      <c r="C32" s="2"/>
      <c r="D32" s="2"/>
      <c r="E32" s="2"/>
      <c r="F32" s="2"/>
      <c r="G32" s="2"/>
      <c r="H32" s="2"/>
      <c r="I32" s="2"/>
      <c r="J32" s="2"/>
      <c r="K32" s="2"/>
      <c r="L32" s="2"/>
      <c r="M32" s="2"/>
      <c r="N32" s="2"/>
    </row>
    <row r="33" customFormat="false" ht="62.25" hidden="false" customHeight="true" outlineLevel="0" collapsed="false">
      <c r="A33" s="813" t="s">
        <v>287</v>
      </c>
      <c r="B33" s="567" t="str">
        <f aca="false">"Đang chạy: "&amp;Drivers!D3</f>
        <v>Đang chạy: Base</v>
      </c>
      <c r="C33" s="567" t="s">
        <v>733</v>
      </c>
      <c r="D33" s="567" t="s">
        <v>734</v>
      </c>
      <c r="E33" s="567" t="s">
        <v>735</v>
      </c>
      <c r="F33" s="575" t="s">
        <v>736</v>
      </c>
      <c r="G33" s="2"/>
      <c r="H33" s="2"/>
      <c r="I33" s="2"/>
      <c r="J33" s="2"/>
      <c r="K33" s="2"/>
      <c r="L33" s="2"/>
      <c r="M33" s="2"/>
      <c r="N33" s="2"/>
    </row>
    <row r="34" customFormat="false" ht="15.6" hidden="false" customHeight="false" outlineLevel="0" collapsed="false">
      <c r="A34" s="18" t="s">
        <v>737</v>
      </c>
      <c r="B34" s="863" t="n">
        <f aca="false">'Income Statement'!I11/1000000</f>
        <v>178.89220902969</v>
      </c>
      <c r="C34" s="864" t="n">
        <v>121.163880717148</v>
      </c>
      <c r="D34" s="864" t="n">
        <v>227.441176895844</v>
      </c>
      <c r="E34" s="864" t="n">
        <v>178.89220902969</v>
      </c>
      <c r="F34" s="865" t="n">
        <v>178.89220902969</v>
      </c>
      <c r="G34" s="2"/>
      <c r="H34" s="2"/>
      <c r="I34" s="2"/>
      <c r="J34" s="2"/>
      <c r="K34" s="2"/>
      <c r="L34" s="2"/>
      <c r="M34" s="2"/>
      <c r="N34" s="2"/>
    </row>
    <row r="35" customFormat="false" ht="15.6" hidden="false" customHeight="false" outlineLevel="0" collapsed="false">
      <c r="A35" s="18" t="s">
        <v>738</v>
      </c>
      <c r="B35" s="866" t="n">
        <f aca="false">('Income Statement'!I11/'Income Statement'!D11)^(1/5)-1</f>
        <v>0.303450441286468</v>
      </c>
      <c r="C35" s="867" t="n">
        <v>0.205732238215002</v>
      </c>
      <c r="D35" s="867" t="n">
        <v>0.367571548032998</v>
      </c>
      <c r="E35" s="867" t="n">
        <v>0.303450441286468</v>
      </c>
      <c r="F35" s="868" t="n">
        <v>0.303450441286468</v>
      </c>
      <c r="G35" s="2"/>
      <c r="H35" s="2"/>
      <c r="I35" s="2"/>
      <c r="J35" s="2"/>
      <c r="K35" s="2"/>
      <c r="L35" s="2"/>
      <c r="M35" s="2"/>
      <c r="N35" s="2"/>
    </row>
    <row r="36" customFormat="false" ht="15.6" hidden="false" customHeight="false" outlineLevel="0" collapsed="false">
      <c r="A36" s="18" t="s">
        <v>739</v>
      </c>
      <c r="B36" s="866" t="n">
        <f aca="false">'Income Statement'!I80/'Income Statement'!I11</f>
        <v>0.20669187471551</v>
      </c>
      <c r="C36" s="867" t="n">
        <v>0.13983212556253</v>
      </c>
      <c r="D36" s="867" t="n">
        <v>0.240698731755984</v>
      </c>
      <c r="E36" s="867" t="n">
        <v>0.20669187471551</v>
      </c>
      <c r="F36" s="868" t="n">
        <v>0.20669187471551</v>
      </c>
      <c r="G36" s="2"/>
      <c r="H36" s="2"/>
      <c r="I36" s="2"/>
      <c r="J36" s="2"/>
      <c r="K36" s="2"/>
      <c r="L36" s="2"/>
      <c r="M36" s="2"/>
      <c r="N36" s="2"/>
    </row>
    <row r="37" customFormat="false" ht="15.6" hidden="false" customHeight="false" outlineLevel="0" collapsed="false">
      <c r="A37" s="18" t="s">
        <v>740</v>
      </c>
      <c r="B37" s="863" t="n">
        <f aca="false">'Income Statement'!I78/1000000</f>
        <v>13.3741460043913</v>
      </c>
      <c r="C37" s="864" t="n">
        <v>-0.188144670982913</v>
      </c>
      <c r="D37" s="864" t="n">
        <v>25.7416742613056</v>
      </c>
      <c r="E37" s="864" t="n">
        <v>16.1935208378721</v>
      </c>
      <c r="F37" s="865" t="n">
        <v>12.6693022960211</v>
      </c>
      <c r="G37" s="2"/>
      <c r="H37" s="2"/>
      <c r="I37" s="2"/>
      <c r="J37" s="2"/>
      <c r="K37" s="2"/>
      <c r="L37" s="2"/>
      <c r="M37" s="2"/>
      <c r="N37" s="2"/>
    </row>
    <row r="38" customFormat="false" ht="15.6" hidden="false" customHeight="false" outlineLevel="0" collapsed="false">
      <c r="A38" s="18" t="s">
        <v>741</v>
      </c>
      <c r="B38" s="863" t="n">
        <f aca="false">SUM(DCF!C10:G10)/1000000</f>
        <v>-53.9371425360351</v>
      </c>
      <c r="C38" s="864" t="n">
        <v>-57.6325593720804</v>
      </c>
      <c r="D38" s="864" t="n">
        <v>-49.3917978554204</v>
      </c>
      <c r="E38" s="864" t="n">
        <v>-53.9371425360351</v>
      </c>
      <c r="F38" s="865" t="n">
        <v>-53.9371425360351</v>
      </c>
      <c r="G38" s="2"/>
      <c r="H38" s="2"/>
      <c r="I38" s="2"/>
      <c r="J38" s="2"/>
      <c r="K38" s="2"/>
      <c r="L38" s="2"/>
      <c r="M38" s="2"/>
      <c r="N38" s="2"/>
    </row>
    <row r="39" customFormat="false" ht="15.6" hidden="false" customHeight="false" outlineLevel="0" collapsed="false">
      <c r="A39" s="18" t="s">
        <v>742</v>
      </c>
      <c r="B39" s="863" t="n">
        <f aca="false">'Pro Forma'!B61/1000000</f>
        <v>40.4646713598887</v>
      </c>
      <c r="C39" s="864" t="n">
        <v>47.3094743775238</v>
      </c>
      <c r="D39" s="864" t="n">
        <v>34.3242588002227</v>
      </c>
      <c r="E39" s="864" t="n">
        <v>73.6277508567534</v>
      </c>
      <c r="F39" s="865" t="n">
        <v>33.9174564688055</v>
      </c>
      <c r="G39" s="2"/>
      <c r="H39" s="2"/>
      <c r="I39" s="2"/>
      <c r="J39" s="2"/>
      <c r="K39" s="2"/>
      <c r="L39" s="2"/>
      <c r="M39" s="2"/>
      <c r="N39" s="2"/>
    </row>
    <row r="40" customFormat="false" ht="15.6" hidden="false" customHeight="false" outlineLevel="0" collapsed="false">
      <c r="A40" s="18" t="s">
        <v>743</v>
      </c>
      <c r="B40" s="863" t="n">
        <f aca="false">SUM(Drivers!F125:J125)/1000000</f>
        <v>39.1579837983445</v>
      </c>
      <c r="C40" s="864" t="n">
        <v>31.4016790921057</v>
      </c>
      <c r="D40" s="864" t="n">
        <v>44.8558406219516</v>
      </c>
      <c r="E40" s="864" t="n">
        <v>0</v>
      </c>
      <c r="F40" s="865" t="n">
        <v>48.9474797479307</v>
      </c>
      <c r="G40" s="2"/>
      <c r="H40" s="2"/>
      <c r="I40" s="2"/>
      <c r="J40" s="2"/>
      <c r="K40" s="2"/>
      <c r="L40" s="2"/>
      <c r="M40" s="2"/>
      <c r="N40" s="2"/>
    </row>
    <row r="41" customFormat="false" ht="15.6" hidden="false" customHeight="false" outlineLevel="0" collapsed="false">
      <c r="A41" s="18" t="s">
        <v>34</v>
      </c>
      <c r="B41" s="866" t="n">
        <f aca="false">'Discount rate'!E4</f>
        <v>0.141309839519679</v>
      </c>
      <c r="C41" s="867" t="n">
        <v>0.140795536109349</v>
      </c>
      <c r="D41" s="867" t="n">
        <v>0.14166079659066</v>
      </c>
      <c r="E41" s="867" t="n">
        <v>0.136668124116301</v>
      </c>
      <c r="F41" s="868" t="n">
        <v>0.142347620348559</v>
      </c>
      <c r="G41" s="2"/>
      <c r="H41" s="2"/>
      <c r="I41" s="2"/>
      <c r="J41" s="2"/>
      <c r="K41" s="2"/>
      <c r="L41" s="2"/>
      <c r="M41" s="2"/>
      <c r="N41" s="2"/>
    </row>
    <row r="42" customFormat="false" ht="15.6" hidden="false" customHeight="false" outlineLevel="0" collapsed="false">
      <c r="A42" s="18" t="s">
        <v>744</v>
      </c>
      <c r="B42" s="863" t="n">
        <f aca="false">B5</f>
        <v>22.9947614067526</v>
      </c>
      <c r="C42" s="864" t="n">
        <v>-60.2877610097098</v>
      </c>
      <c r="D42" s="864" t="n">
        <v>99.8206222064367</v>
      </c>
      <c r="E42" s="864" t="n">
        <v>27.2563852914441</v>
      </c>
      <c r="F42" s="865" t="n">
        <v>22.1075648881229</v>
      </c>
      <c r="G42" s="2"/>
      <c r="H42" s="2"/>
      <c r="I42" s="2"/>
      <c r="J42" s="2"/>
      <c r="K42" s="2"/>
      <c r="L42" s="2"/>
      <c r="M42" s="2"/>
      <c r="N42" s="2"/>
    </row>
    <row r="43" customFormat="false" ht="15.6" hidden="false" customHeight="false" outlineLevel="0" collapsed="false">
      <c r="A43" s="18" t="s">
        <v>745</v>
      </c>
      <c r="B43" s="863" t="n">
        <f aca="false">B6</f>
        <v>28.1685006370529</v>
      </c>
      <c r="C43" s="864" t="n">
        <v>-27.1869051180712</v>
      </c>
      <c r="D43" s="864" t="n">
        <v>77.9063327224381</v>
      </c>
      <c r="E43" s="864" t="n">
        <v>7.89790782077882</v>
      </c>
      <c r="F43" s="865" t="n">
        <v>31.8861460935203</v>
      </c>
      <c r="G43" s="2"/>
      <c r="H43" s="2"/>
      <c r="I43" s="2"/>
      <c r="J43" s="2"/>
      <c r="K43" s="2"/>
      <c r="L43" s="2"/>
      <c r="M43" s="2"/>
      <c r="N43" s="2"/>
    </row>
    <row r="44" customFormat="false" ht="15.6" hidden="false" customHeight="false" outlineLevel="0" collapsed="false">
      <c r="A44" s="18" t="s">
        <v>746</v>
      </c>
      <c r="B44" s="863" t="n">
        <f aca="false">B8</f>
        <v>26.0074983564468</v>
      </c>
      <c r="C44" s="864" t="n">
        <v>-29.4476729121878</v>
      </c>
      <c r="D44" s="864" t="n">
        <v>76.6329755104745</v>
      </c>
      <c r="E44" s="864" t="n">
        <v>19.6039107838137</v>
      </c>
      <c r="F44" s="865" t="n">
        <v>27.1396779315818</v>
      </c>
      <c r="G44" s="2"/>
      <c r="H44" s="2"/>
      <c r="I44" s="2"/>
      <c r="J44" s="2"/>
      <c r="K44" s="2"/>
      <c r="L44" s="2"/>
      <c r="M44" s="2"/>
      <c r="N44" s="2"/>
    </row>
    <row r="45" customFormat="false" ht="15.6" hidden="false" customHeight="false" outlineLevel="0" collapsed="false">
      <c r="A45" s="18" t="s">
        <v>747</v>
      </c>
      <c r="B45" s="866" t="n">
        <f aca="false">E8</f>
        <v>0.608746059178877</v>
      </c>
      <c r="C45" s="867" t="s">
        <v>748</v>
      </c>
      <c r="D45" s="867" t="n">
        <v>0.309346740782215</v>
      </c>
      <c r="E45" s="867" t="n">
        <v>0.789729042271154</v>
      </c>
      <c r="F45" s="868" t="n">
        <v>0.555503575493552</v>
      </c>
      <c r="G45" s="2"/>
      <c r="H45" s="2"/>
      <c r="I45" s="2"/>
      <c r="J45" s="2"/>
      <c r="K45" s="2"/>
      <c r="L45" s="2"/>
      <c r="M45" s="2"/>
      <c r="N45" s="2"/>
    </row>
    <row r="46" customFormat="false" ht="15.75" hidden="false" customHeight="true" outlineLevel="0" collapsed="false">
      <c r="A46" s="817" t="s">
        <v>749</v>
      </c>
      <c r="B46" s="869" t="n">
        <f aca="false">IF(B8&lt;=0,"n.m.",1-E8)</f>
        <v>0.391253940821123</v>
      </c>
      <c r="C46" s="870" t="s">
        <v>748</v>
      </c>
      <c r="D46" s="870" t="n">
        <v>0.690653259217785</v>
      </c>
      <c r="E46" s="870" t="n">
        <v>0.210270957728846</v>
      </c>
      <c r="F46" s="871" t="n">
        <v>0.444496424506448</v>
      </c>
      <c r="G46" s="2"/>
      <c r="H46" s="2"/>
      <c r="I46" s="2"/>
      <c r="J46" s="2"/>
      <c r="K46" s="2"/>
      <c r="L46" s="2"/>
      <c r="M46" s="2"/>
      <c r="N46" s="2"/>
    </row>
    <row r="47" customFormat="false" ht="15.6" hidden="false" customHeight="false" outlineLevel="0" collapsed="false">
      <c r="A47" s="2"/>
      <c r="B47" s="2"/>
      <c r="C47" s="2"/>
      <c r="D47" s="2"/>
      <c r="E47" s="2"/>
      <c r="F47" s="2"/>
      <c r="G47" s="2"/>
      <c r="H47" s="2"/>
      <c r="I47" s="2"/>
      <c r="J47" s="2"/>
      <c r="K47" s="2"/>
      <c r="L47" s="2"/>
      <c r="M47" s="2"/>
      <c r="N47" s="2"/>
    </row>
    <row r="48" customFormat="false" ht="15.6" hidden="false" customHeight="false" outlineLevel="0" collapsed="false">
      <c r="A48" s="2"/>
      <c r="B48" s="2"/>
      <c r="C48" s="2"/>
      <c r="D48" s="2"/>
      <c r="E48" s="2"/>
      <c r="F48" s="2"/>
      <c r="G48" s="2"/>
      <c r="H48" s="2"/>
      <c r="I48" s="2"/>
      <c r="J48" s="2"/>
      <c r="K48" s="2"/>
      <c r="L48" s="2"/>
      <c r="M48" s="2"/>
      <c r="N48" s="2"/>
    </row>
    <row r="49" customFormat="false" ht="15.6" hidden="false" customHeight="false" outlineLevel="0" collapsed="false">
      <c r="A49" s="812" t="s">
        <v>750</v>
      </c>
      <c r="B49" s="2"/>
      <c r="C49" s="2"/>
      <c r="D49" s="2"/>
      <c r="E49" s="2"/>
      <c r="F49" s="2"/>
      <c r="G49" s="2"/>
      <c r="H49" s="2"/>
      <c r="I49" s="2"/>
      <c r="J49" s="2"/>
      <c r="K49" s="2"/>
      <c r="L49" s="2"/>
      <c r="M49" s="2"/>
      <c r="N49" s="2"/>
    </row>
    <row r="50" customFormat="false" ht="15.6" hidden="false" customHeight="false" outlineLevel="0" collapsed="false">
      <c r="A50" s="336" t="s">
        <v>751</v>
      </c>
      <c r="B50" s="2"/>
      <c r="C50" s="2"/>
      <c r="D50" s="2"/>
      <c r="E50" s="2"/>
      <c r="F50" s="2"/>
      <c r="G50" s="2"/>
      <c r="H50" s="2"/>
      <c r="I50" s="2"/>
      <c r="J50" s="2"/>
      <c r="K50" s="2"/>
      <c r="L50" s="2"/>
      <c r="M50" s="2"/>
      <c r="N50" s="2"/>
    </row>
    <row r="51" customFormat="false" ht="31.5" hidden="false" customHeight="true" outlineLevel="0" collapsed="false">
      <c r="A51" s="831" t="s">
        <v>752</v>
      </c>
      <c r="B51" s="831" t="s">
        <v>753</v>
      </c>
      <c r="C51" s="831" t="s">
        <v>754</v>
      </c>
      <c r="D51" s="831" t="s">
        <v>755</v>
      </c>
      <c r="E51" s="831" t="s">
        <v>756</v>
      </c>
      <c r="F51" s="831" t="s">
        <v>757</v>
      </c>
      <c r="G51" s="831" t="s">
        <v>758</v>
      </c>
      <c r="H51" s="831" t="s">
        <v>759</v>
      </c>
      <c r="I51" s="831" t="s">
        <v>760</v>
      </c>
      <c r="J51" s="831" t="s">
        <v>761</v>
      </c>
      <c r="K51" s="831" t="s">
        <v>762</v>
      </c>
      <c r="L51" s="831" t="s">
        <v>763</v>
      </c>
      <c r="M51" s="831" t="s">
        <v>764</v>
      </c>
      <c r="N51" s="831" t="s">
        <v>765</v>
      </c>
    </row>
    <row r="52" customFormat="false" ht="15.6" hidden="false" customHeight="false" outlineLevel="0" collapsed="false">
      <c r="A52" s="872" t="s">
        <v>766</v>
      </c>
      <c r="B52" s="873" t="n">
        <v>26.0074983564468</v>
      </c>
      <c r="C52" s="873" t="n">
        <v>26.0074983564468</v>
      </c>
      <c r="D52" s="874" t="n">
        <v>0</v>
      </c>
      <c r="E52" s="874" t="n">
        <v>0</v>
      </c>
      <c r="F52" s="873" t="n">
        <v>22.9947614067526</v>
      </c>
      <c r="G52" s="873" t="n">
        <v>22.9947614067526</v>
      </c>
      <c r="H52" s="873" t="n">
        <v>28.1685006370529</v>
      </c>
      <c r="I52" s="873" t="n">
        <v>28.1685006370529</v>
      </c>
      <c r="J52" s="873" t="n">
        <v>178.89220902969</v>
      </c>
      <c r="K52" s="873" t="n">
        <v>178.89220902969</v>
      </c>
      <c r="L52" s="873" t="n">
        <v>13.3741460043913</v>
      </c>
      <c r="M52" s="873" t="n">
        <v>13.3741460043913</v>
      </c>
      <c r="N52" s="465"/>
    </row>
    <row r="53" customFormat="false" ht="46.5" hidden="false" customHeight="true" outlineLevel="0" collapsed="false">
      <c r="A53" s="783" t="s">
        <v>767</v>
      </c>
      <c r="B53" s="864" t="n">
        <v>-1.96554644080494</v>
      </c>
      <c r="C53" s="864" t="n">
        <v>59.9233919574906</v>
      </c>
      <c r="D53" s="875" t="n">
        <v>-27.9730447972517</v>
      </c>
      <c r="E53" s="875" t="n">
        <v>33.9158936010438</v>
      </c>
      <c r="F53" s="864" t="n">
        <v>-20.312298248552</v>
      </c>
      <c r="G53" s="864" t="n">
        <v>75.8171447729884</v>
      </c>
      <c r="H53" s="864" t="n">
        <v>1.5429482992283</v>
      </c>
      <c r="I53" s="864" t="n">
        <v>60.1358512734266</v>
      </c>
      <c r="J53" s="864" t="n">
        <v>142.915944245401</v>
      </c>
      <c r="K53" s="864" t="n">
        <v>221.944073516401</v>
      </c>
      <c r="L53" s="864" t="n">
        <v>5.87980417282567</v>
      </c>
      <c r="M53" s="864" t="n">
        <v>22.5009174886484</v>
      </c>
      <c r="N53" s="781" t="s">
        <v>768</v>
      </c>
    </row>
    <row r="54" customFormat="false" ht="30.75" hidden="false" customHeight="true" outlineLevel="0" collapsed="false">
      <c r="A54" s="783" t="s">
        <v>769</v>
      </c>
      <c r="B54" s="864" t="n">
        <v>19.3741392318594</v>
      </c>
      <c r="C54" s="864" t="n">
        <v>32.925863476306</v>
      </c>
      <c r="D54" s="875" t="n">
        <v>-6.63335912458738</v>
      </c>
      <c r="E54" s="875" t="n">
        <v>6.91836511985926</v>
      </c>
      <c r="F54" s="864" t="n">
        <v>12.7144146114538</v>
      </c>
      <c r="G54" s="864" t="n">
        <v>33.7306141755154</v>
      </c>
      <c r="H54" s="864" t="n">
        <v>21.8654496208832</v>
      </c>
      <c r="I54" s="864" t="n">
        <v>34.7285606679383</v>
      </c>
      <c r="J54" s="864" t="n">
        <v>170.288003540798</v>
      </c>
      <c r="K54" s="864" t="n">
        <v>187.840751522138</v>
      </c>
      <c r="L54" s="864" t="n">
        <v>11.5840438628959</v>
      </c>
      <c r="M54" s="864" t="n">
        <v>15.2430370919031</v>
      </c>
      <c r="N54" s="781" t="s">
        <v>770</v>
      </c>
    </row>
    <row r="55" customFormat="false" ht="30.75" hidden="false" customHeight="true" outlineLevel="0" collapsed="false">
      <c r="A55" s="783" t="s">
        <v>771</v>
      </c>
      <c r="B55" s="864" t="n">
        <v>16.991754813111</v>
      </c>
      <c r="C55" s="864" t="n">
        <v>35.0041933420044</v>
      </c>
      <c r="D55" s="875" t="n">
        <v>-9.01574354333572</v>
      </c>
      <c r="E55" s="875" t="n">
        <v>8.99669498555765</v>
      </c>
      <c r="F55" s="864" t="n">
        <v>10.5311256827794</v>
      </c>
      <c r="G55" s="864" t="n">
        <v>35.4166973517185</v>
      </c>
      <c r="H55" s="864" t="n">
        <v>18.0927775026868</v>
      </c>
      <c r="I55" s="864" t="n">
        <v>38.2383021559811</v>
      </c>
      <c r="J55" s="864" t="n">
        <v>178.89220902969</v>
      </c>
      <c r="K55" s="864" t="n">
        <v>178.89220902969</v>
      </c>
      <c r="L55" s="864" t="n">
        <v>11.9430083321538</v>
      </c>
      <c r="M55" s="864" t="n">
        <v>14.8052836766288</v>
      </c>
      <c r="N55" s="781" t="s">
        <v>772</v>
      </c>
    </row>
    <row r="56" customFormat="false" ht="30.75" hidden="false" customHeight="true" outlineLevel="0" collapsed="false">
      <c r="A56" s="783" t="s">
        <v>773</v>
      </c>
      <c r="B56" s="864" t="n">
        <v>14.866604664728</v>
      </c>
      <c r="C56" s="864" t="n">
        <v>37.1221726922844</v>
      </c>
      <c r="D56" s="875" t="n">
        <v>-11.1408936917188</v>
      </c>
      <c r="E56" s="875" t="n">
        <v>11.1146743358376</v>
      </c>
      <c r="F56" s="864" t="n">
        <v>7.46763841904257</v>
      </c>
      <c r="G56" s="864" t="n">
        <v>38.4644591134795</v>
      </c>
      <c r="H56" s="864" t="n">
        <v>15.8433893954659</v>
      </c>
      <c r="I56" s="864" t="n">
        <v>40.4854887699201</v>
      </c>
      <c r="J56" s="864" t="n">
        <v>178.89220902969</v>
      </c>
      <c r="K56" s="864" t="n">
        <v>178.89220902969</v>
      </c>
      <c r="L56" s="864" t="n">
        <v>11.5422897839273</v>
      </c>
      <c r="M56" s="864" t="n">
        <v>15.2060022248553</v>
      </c>
      <c r="N56" s="781" t="s">
        <v>774</v>
      </c>
    </row>
    <row r="57" customFormat="false" ht="46.5" hidden="false" customHeight="true" outlineLevel="0" collapsed="false">
      <c r="A57" s="783" t="s">
        <v>775</v>
      </c>
      <c r="B57" s="864" t="n">
        <v>21.6260696287263</v>
      </c>
      <c r="C57" s="864" t="n">
        <v>31.198177127893</v>
      </c>
      <c r="D57" s="875" t="n">
        <v>-4.38142872772042</v>
      </c>
      <c r="E57" s="875" t="n">
        <v>5.19067877144628</v>
      </c>
      <c r="F57" s="864" t="n">
        <v>15.7283531504832</v>
      </c>
      <c r="G57" s="864" t="n">
        <v>32.1506176525824</v>
      </c>
      <c r="H57" s="864" t="n">
        <v>24.4813370740213</v>
      </c>
      <c r="I57" s="864" t="n">
        <v>31.9893413198388</v>
      </c>
      <c r="J57" s="864" t="n">
        <v>178.89220902969</v>
      </c>
      <c r="K57" s="864" t="n">
        <v>178.89220902969</v>
      </c>
      <c r="L57" s="864" t="n">
        <v>13.0793877210432</v>
      </c>
      <c r="M57" s="864" t="n">
        <v>13.6689042877394</v>
      </c>
      <c r="N57" s="781" t="s">
        <v>776</v>
      </c>
    </row>
    <row r="58" customFormat="false" ht="30.75" hidden="false" customHeight="true" outlineLevel="0" collapsed="false">
      <c r="A58" s="783" t="s">
        <v>777</v>
      </c>
      <c r="B58" s="864" t="n">
        <v>21.7559343776643</v>
      </c>
      <c r="C58" s="864" t="n">
        <v>31.259573190541</v>
      </c>
      <c r="D58" s="875" t="n">
        <v>-4.25156397878245</v>
      </c>
      <c r="E58" s="875" t="n">
        <v>5.25207483409425</v>
      </c>
      <c r="F58" s="864" t="n">
        <v>14.9782604607731</v>
      </c>
      <c r="G58" s="864" t="n">
        <v>33.38364800817</v>
      </c>
      <c r="H58" s="864" t="n">
        <v>25.5560916360763</v>
      </c>
      <c r="I58" s="864" t="n">
        <v>30.9098011208712</v>
      </c>
      <c r="J58" s="864" t="n">
        <v>178.89220902969</v>
      </c>
      <c r="K58" s="864" t="n">
        <v>178.89220902969</v>
      </c>
      <c r="L58" s="864" t="n">
        <v>13.3741460043913</v>
      </c>
      <c r="M58" s="864" t="n">
        <v>13.3741460043913</v>
      </c>
      <c r="N58" s="781" t="s">
        <v>778</v>
      </c>
    </row>
    <row r="59" customFormat="false" ht="31.5" hidden="false" customHeight="true" outlineLevel="0" collapsed="false">
      <c r="A59" s="786" t="s">
        <v>779</v>
      </c>
      <c r="B59" s="876" t="n">
        <v>26.0074983564468</v>
      </c>
      <c r="C59" s="876" t="n">
        <v>29.4860145263927</v>
      </c>
      <c r="D59" s="877" t="n">
        <v>0</v>
      </c>
      <c r="E59" s="877" t="n">
        <v>3.47851616994597</v>
      </c>
      <c r="F59" s="876" t="n">
        <v>22.9947614067526</v>
      </c>
      <c r="G59" s="876" t="n">
        <v>26.6177473961008</v>
      </c>
      <c r="H59" s="876" t="n">
        <v>28.1685006370529</v>
      </c>
      <c r="I59" s="876" t="n">
        <v>33.2418050725696</v>
      </c>
      <c r="J59" s="876" t="n">
        <v>178.89220902969</v>
      </c>
      <c r="K59" s="876" t="n">
        <v>178.89220902969</v>
      </c>
      <c r="L59" s="876" t="n">
        <v>13.3741460043913</v>
      </c>
      <c r="M59" s="876" t="n">
        <v>13.3741460043913</v>
      </c>
      <c r="N59" s="804" t="s">
        <v>780</v>
      </c>
    </row>
  </sheetData>
  <mergeCells count="2">
    <mergeCell ref="D11:F11"/>
    <mergeCell ref="D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F28"/>
  <sheetViews>
    <sheetView showFormulas="false" showGridLines="false" showRowColHeaders="true" showZeros="true" rightToLeft="false" tabSelected="false" showOutlineSymbols="true" defaultGridColor="true" view="normal" topLeftCell="A9" colorId="64" zoomScale="90" zoomScaleNormal="90" zoomScalePageLayoutView="100" workbookViewId="0">
      <selection pane="topLeft" activeCell="H25" activeCellId="0" sqref="H25"/>
    </sheetView>
  </sheetViews>
  <sheetFormatPr defaultColWidth="8.515625" defaultRowHeight="15.6" zeroHeight="false" outlineLevelRow="0" outlineLevelCol="0"/>
  <cols>
    <col collapsed="false" customWidth="true" hidden="false" outlineLevel="0" max="1" min="1" style="1" width="36"/>
    <col collapsed="false" customWidth="true" hidden="false" outlineLevel="0" max="8" min="2" style="1" width="14"/>
  </cols>
  <sheetData>
    <row r="1" customFormat="false" ht="19.7" hidden="false" customHeight="false" outlineLevel="0" collapsed="false">
      <c r="A1" s="790" t="s">
        <v>781</v>
      </c>
      <c r="B1" s="226"/>
      <c r="C1" s="226"/>
      <c r="D1" s="2"/>
      <c r="E1" s="2"/>
      <c r="F1" s="2"/>
    </row>
    <row r="2" customFormat="false" ht="15.6" hidden="false" customHeight="false" outlineLevel="0" collapsed="false">
      <c r="A2" s="336" t="s">
        <v>782</v>
      </c>
      <c r="B2" s="2"/>
      <c r="C2" s="2"/>
      <c r="D2" s="2"/>
      <c r="E2" s="2"/>
      <c r="F2" s="2"/>
    </row>
    <row r="3" customFormat="false" ht="15.6" hidden="false" customHeight="false" outlineLevel="0" collapsed="false">
      <c r="A3" s="2"/>
      <c r="B3" s="2"/>
      <c r="C3" s="2"/>
      <c r="D3" s="2"/>
      <c r="E3" s="2"/>
      <c r="F3" s="2"/>
    </row>
    <row r="4" customFormat="false" ht="15.75" hidden="false" customHeight="true" outlineLevel="0" collapsed="false">
      <c r="A4" s="414" t="s">
        <v>783</v>
      </c>
      <c r="B4" s="2"/>
      <c r="C4" s="2"/>
      <c r="D4" s="2"/>
      <c r="E4" s="2"/>
      <c r="F4" s="2"/>
    </row>
    <row r="5" customFormat="false" ht="15.6" hidden="false" customHeight="false" outlineLevel="0" collapsed="false">
      <c r="A5" s="813" t="s">
        <v>784</v>
      </c>
      <c r="B5" s="878" t="n">
        <f aca="false">Assumption!$B$14+(-0.02)</f>
        <v>0.03</v>
      </c>
      <c r="C5" s="878" t="n">
        <f aca="false">Assumption!$B$14+(-0.01)</f>
        <v>0.04</v>
      </c>
      <c r="D5" s="878" t="n">
        <f aca="false">Assumption!$B$14+(0)</f>
        <v>0.05</v>
      </c>
      <c r="E5" s="878" t="n">
        <f aca="false">Assumption!$B$14+(0.01)</f>
        <v>0.06</v>
      </c>
      <c r="F5" s="879" t="n">
        <f aca="false">Assumption!$B$14+(0.02)</f>
        <v>0.07</v>
      </c>
    </row>
    <row r="6" customFormat="false" ht="15.6" hidden="false" customHeight="false" outlineLevel="0" collapsed="false">
      <c r="A6" s="880" t="n">
        <f aca="false">Assumption!$B$16+(-0.02)</f>
        <v>0.121309839519679</v>
      </c>
      <c r="B6" s="881" t="n">
        <f aca="false">(SUMPRODUCT(DCF!$C$10:$G$10*DCF!$C$11:$G$11/(1+$A6)^DCF!$C$3:$G$3)+(DCF!$G$5*(1+B$5)*(1-B$5/Assumption!$B$17)/($A6-B$5))/(1+$A6)^DCF!$G$3+DCF!$B$31-DCF!$B$32)/1000000</f>
        <v>43.6632784026025</v>
      </c>
      <c r="C6" s="881" t="n">
        <f aca="false">(SUMPRODUCT(DCF!$C$10:$G$10*DCF!$C$11:$G$11/(1+$A6)^DCF!$C$3:$G$3)+(DCF!$G$5*(1+C$5)*(1-C$5/Assumption!$B$17)/($A6-C$5))/(1+$A6)^DCF!$G$3+DCF!$B$31-DCF!$B$32)/1000000</f>
        <v>44.7004899324069</v>
      </c>
      <c r="D6" s="881" t="n">
        <f aca="false">(SUMPRODUCT(DCF!$C$10:$G$10*DCF!$C$11:$G$11/(1+$A6)^DCF!$C$3:$G$3)+(DCF!$G$5*(1+D$5)*(1-D$5/Assumption!$B$17)/($A6-D$5))/(1+$A6)^DCF!$G$3+DCF!$B$31-DCF!$B$32)/1000000</f>
        <v>45.8000450628265</v>
      </c>
      <c r="E6" s="881" t="n">
        <f aca="false">(SUMPRODUCT(DCF!$C$10:$G$10*DCF!$C$11:$G$11/(1+$A6)^DCF!$C$3:$G$3)+(DCF!$G$5*(1+E$5)*(1-E$5/Assumption!$B$17)/($A6-E$5))/(1+$A6)^DCF!$G$3+DCF!$B$31-DCF!$B$32)/1000000</f>
        <v>46.9924496316371</v>
      </c>
      <c r="F6" s="882" t="n">
        <f aca="false">(SUMPRODUCT(DCF!$C$10:$G$10*DCF!$C$11:$G$11/(1+$A6)^DCF!$C$3:$G$3)+(DCF!$G$5*(1+F$5)*(1-F$5/Assumption!$B$17)/($A6-F$5))/(1+$A6)^DCF!$G$3+DCF!$B$31-DCF!$B$32)/1000000</f>
        <v>48.3319911434931</v>
      </c>
    </row>
    <row r="7" customFormat="false" ht="15.6" hidden="false" customHeight="false" outlineLevel="0" collapsed="false">
      <c r="A7" s="880" t="n">
        <f aca="false">Assumption!$B$16+(-0.01)</f>
        <v>0.131309839519679</v>
      </c>
      <c r="B7" s="881" t="n">
        <f aca="false">(SUMPRODUCT(DCF!$C$10:$G$10*DCF!$C$11:$G$11/(1+$A7)^DCF!$C$3:$G$3)+(DCF!$G$5*(1+B$5)*(1-B$5/Assumption!$B$17)/($A7-B$5))/(1+$A7)^DCF!$G$3+DCF!$B$31-DCF!$B$32)/1000000</f>
        <v>33.051201020086</v>
      </c>
      <c r="C7" s="881" t="n">
        <f aca="false">(SUMPRODUCT(DCF!$C$10:$G$10*DCF!$C$11:$G$11/(1+$A7)^DCF!$C$3:$G$3)+(DCF!$G$5*(1+C$5)*(1-C$5/Assumption!$B$17)/($A7-C$5))/(1+$A7)^DCF!$G$3+DCF!$B$31-DCF!$B$32)/1000000</f>
        <v>33.0495622160443</v>
      </c>
      <c r="D7" s="881" t="n">
        <f aca="false">(SUMPRODUCT(DCF!$C$10:$G$10*DCF!$C$11:$G$11/(1+$A7)^DCF!$C$3:$G$3)+(DCF!$G$5*(1+D$5)*(1-D$5/Assumption!$B$17)/($A7-D$5))/(1+$A7)^DCF!$G$3+DCF!$B$31-DCF!$B$32)/1000000</f>
        <v>32.8544936419302</v>
      </c>
      <c r="E7" s="881" t="n">
        <f aca="false">(SUMPRODUCT(DCF!$C$10:$G$10*DCF!$C$11:$G$11/(1+$A7)^DCF!$C$3:$G$3)+(DCF!$G$5*(1+E$5)*(1-E$5/Assumption!$B$17)/($A7-E$5))/(1+$A7)^DCF!$G$3+DCF!$B$31-DCF!$B$32)/1000000</f>
        <v>32.3846195277062</v>
      </c>
      <c r="F7" s="882" t="n">
        <f aca="false">(SUMPRODUCT(DCF!$C$10:$G$10*DCF!$C$11:$G$11/(1+$A7)^DCF!$C$3:$G$3)+(DCF!$G$5*(1+F$5)*(1-F$5/Assumption!$B$17)/($A7-F$5))/(1+$A7)^DCF!$G$3+DCF!$B$31-DCF!$B$32)/1000000</f>
        <v>31.5054726121973</v>
      </c>
    </row>
    <row r="8" customFormat="false" ht="15.6" hidden="false" customHeight="false" outlineLevel="0" collapsed="false">
      <c r="A8" s="880" t="n">
        <f aca="false">Assumption!$B$16+(0)</f>
        <v>0.141309839519679</v>
      </c>
      <c r="B8" s="881" t="n">
        <f aca="false">(SUMPRODUCT(DCF!$C$10:$G$10*DCF!$C$11:$G$11/(1+$A8)^DCF!$C$3:$G$3)+(DCF!$G$5*(1+B$5)*(1-B$5/Assumption!$B$17)/($A8-B$5))/(1+$A8)^DCF!$G$3+DCF!$B$31-DCF!$B$32)/1000000</f>
        <v>24.5717305276797</v>
      </c>
      <c r="C8" s="881" t="n">
        <f aca="false">(SUMPRODUCT(DCF!$C$10:$G$10*DCF!$C$11:$G$11/(1+$A8)^DCF!$C$3:$G$3)+(DCF!$G$5*(1+C$5)*(1-C$5/Assumption!$B$17)/($A8-C$5))/(1+$A8)^DCF!$G$3+DCF!$B$31-DCF!$B$32)/1000000</f>
        <v>23.9356915628625</v>
      </c>
      <c r="D8" s="883" t="n">
        <f aca="false">(SUMPRODUCT(DCF!$C$10:$G$10*DCF!$C$11:$G$11/(1+$A8)^DCF!$C$3:$G$3)+(DCF!$G$5*(1+D$5)*(1-D$5/Assumption!$B$17)/($A8-D$5))/(1+$A8)^DCF!$G$3+DCF!$B$31-DCF!$B$32)/1000000</f>
        <v>22.9947614067526</v>
      </c>
      <c r="E8" s="881" t="n">
        <f aca="false">(SUMPRODUCT(DCF!$C$10:$G$10*DCF!$C$11:$G$11/(1+$A8)^DCF!$C$3:$G$3)+(DCF!$G$5*(1+E$5)*(1-E$5/Assumption!$B$17)/($A8-E$5))/(1+$A8)^DCF!$G$3+DCF!$B$31-DCF!$B$32)/1000000</f>
        <v>21.6364476993502</v>
      </c>
      <c r="F8" s="882" t="n">
        <f aca="false">(SUMPRODUCT(DCF!$C$10:$G$10*DCF!$C$11:$G$11/(1+$A8)^DCF!$C$3:$G$3)+(DCF!$G$5*(1+F$5)*(1-F$5/Assumption!$B$17)/($A8-F$5))/(1+$A8)^DCF!$G$3+DCF!$B$31-DCF!$B$32)/1000000</f>
        <v>19.6851574702728</v>
      </c>
    </row>
    <row r="9" customFormat="false" ht="15.6" hidden="false" customHeight="false" outlineLevel="0" collapsed="false">
      <c r="A9" s="880" t="n">
        <f aca="false">Assumption!$B$16+(0.01)</f>
        <v>0.151309839519679</v>
      </c>
      <c r="B9" s="881" t="n">
        <f aca="false">(SUMPRODUCT(DCF!$C$10:$G$10*DCF!$C$11:$G$11/(1+$A9)^DCF!$C$3:$G$3)+(DCF!$G$5*(1+B$5)*(1-B$5/Assumption!$B$17)/($A9-B$5))/(1+$A9)^DCF!$G$3+DCF!$B$31-DCF!$B$32)/1000000</f>
        <v>17.6880241299027</v>
      </c>
      <c r="C9" s="881" t="n">
        <f aca="false">(SUMPRODUCT(DCF!$C$10:$G$10*DCF!$C$11:$G$11/(1+$A9)^DCF!$C$3:$G$3)+(DCF!$G$5*(1+C$5)*(1-C$5/Assumption!$B$17)/($A9-C$5))/(1+$A9)^DCF!$G$3+DCF!$B$31-DCF!$B$32)/1000000</f>
        <v>16.6653784440411</v>
      </c>
      <c r="D9" s="881" t="n">
        <f aca="false">(SUMPRODUCT(DCF!$C$10:$G$10*DCF!$C$11:$G$11/(1+$A9)^DCF!$C$3:$G$3)+(DCF!$G$5*(1+D$5)*(1-D$5/Assumption!$B$17)/($A9-D$5))/(1+$A9)^DCF!$G$3+DCF!$B$31-DCF!$B$32)/1000000</f>
        <v>15.2970464524351</v>
      </c>
      <c r="E9" s="881" t="n">
        <f aca="false">(SUMPRODUCT(DCF!$C$10:$G$10*DCF!$C$11:$G$11/(1+$A9)^DCF!$C$3:$G$3)+(DCF!$G$5*(1+E$5)*(1-E$5/Assumption!$B$17)/($A9-E$5))/(1+$A9)^DCF!$G$3+DCF!$B$31-DCF!$B$32)/1000000</f>
        <v>13.4694523430269</v>
      </c>
      <c r="F9" s="882" t="n">
        <f aca="false">(SUMPRODUCT(DCF!$C$10:$G$10*DCF!$C$11:$G$11/(1+$A9)^DCF!$C$3:$G$3)+(DCF!$G$5*(1+F$5)*(1-F$5/Assumption!$B$17)/($A9-F$5))/(1+$A9)^DCF!$G$3+DCF!$B$31-DCF!$B$32)/1000000</f>
        <v>11.0131472075974</v>
      </c>
    </row>
    <row r="10" customFormat="false" ht="15.6" hidden="false" customHeight="false" outlineLevel="0" collapsed="false">
      <c r="A10" s="880" t="n">
        <f aca="false">Assumption!$B$16+(0.02)</f>
        <v>0.161309839519679</v>
      </c>
      <c r="B10" s="881" t="n">
        <f aca="false">(SUMPRODUCT(DCF!$C$10:$G$10*DCF!$C$11:$G$11/(1+$A10)^DCF!$C$3:$G$3)+(DCF!$G$5*(1+B$5)*(1-B$5/Assumption!$B$17)/($A10-B$5))/(1+$A10)^DCF!$G$3+DCF!$B$31-DCF!$B$32)/1000000</f>
        <v>12.0272360755729</v>
      </c>
      <c r="C10" s="881" t="n">
        <f aca="false">(SUMPRODUCT(DCF!$C$10:$G$10*DCF!$C$11:$G$11/(1+$A10)^DCF!$C$3:$G$3)+(DCF!$G$5*(1+C$5)*(1-C$5/Assumption!$B$17)/($A10-C$5))/(1+$A10)^DCF!$G$3+DCF!$B$31-DCF!$B$32)/1000000</f>
        <v>10.7742603486568</v>
      </c>
      <c r="D10" s="881" t="n">
        <f aca="false">(SUMPRODUCT(DCF!$C$10:$G$10*DCF!$C$11:$G$11/(1+$A10)^DCF!$C$3:$G$3)+(DCF!$G$5*(1+D$5)*(1-D$5/Assumption!$B$17)/($A10-D$5))/(1+$A10)^DCF!$G$3+DCF!$B$31-DCF!$B$32)/1000000</f>
        <v>9.16999241407187</v>
      </c>
      <c r="E10" s="881" t="n">
        <f aca="false">(SUMPRODUCT(DCF!$C$10:$G$10*DCF!$C$11:$G$11/(1+$A10)^DCF!$C$3:$G$3)+(DCF!$G$5*(1+E$5)*(1-E$5/Assumption!$B$17)/($A10-E$5))/(1+$A10)^DCF!$G$3+DCF!$B$31-DCF!$B$32)/1000000</f>
        <v>7.11040717139316</v>
      </c>
      <c r="F10" s="882" t="n">
        <f aca="false">(SUMPRODUCT(DCF!$C$10:$G$10*DCF!$C$11:$G$11/(1+$A10)^DCF!$C$3:$G$3)+(DCF!$G$5*(1+F$5)*(1-F$5/Assumption!$B$17)/($A10-F$5))/(1+$A10)^DCF!$G$3+DCF!$B$31-DCF!$B$32)/1000000</f>
        <v>4.44590935997118</v>
      </c>
    </row>
    <row r="11" customFormat="false" ht="15.75" hidden="false" customHeight="true" outlineLevel="0" collapsed="false">
      <c r="A11" s="825" t="s">
        <v>785</v>
      </c>
      <c r="B11" s="884" t="n">
        <f aca="false">ROUND(D8-DCF!B22/1000000,6)</f>
        <v>0</v>
      </c>
      <c r="C11" s="498"/>
      <c r="D11" s="498"/>
      <c r="E11" s="498"/>
      <c r="F11" s="38"/>
    </row>
    <row r="12" customFormat="false" ht="15.6" hidden="false" customHeight="false" outlineLevel="0" collapsed="false">
      <c r="A12" s="2"/>
      <c r="B12" s="2"/>
      <c r="C12" s="2"/>
      <c r="D12" s="2"/>
      <c r="E12" s="2"/>
      <c r="F12" s="2"/>
    </row>
    <row r="13" customFormat="false" ht="15.75" hidden="false" customHeight="true" outlineLevel="0" collapsed="false">
      <c r="A13" s="414" t="s">
        <v>786</v>
      </c>
      <c r="B13" s="2"/>
      <c r="C13" s="2"/>
      <c r="D13" s="2"/>
      <c r="E13" s="2"/>
      <c r="F13" s="2"/>
    </row>
    <row r="14" customFormat="false" ht="15.6" hidden="false" customHeight="false" outlineLevel="0" collapsed="false">
      <c r="A14" s="813" t="s">
        <v>787</v>
      </c>
      <c r="B14" s="885" t="n">
        <v>-0.3</v>
      </c>
      <c r="C14" s="885" t="n">
        <v>-0.15</v>
      </c>
      <c r="D14" s="885" t="n">
        <v>0</v>
      </c>
      <c r="E14" s="885" t="n">
        <v>0.15</v>
      </c>
      <c r="F14" s="886" t="n">
        <v>0.3</v>
      </c>
    </row>
    <row r="15" customFormat="false" ht="15.6" hidden="false" customHeight="false" outlineLevel="0" collapsed="false">
      <c r="A15" s="887" t="n">
        <v>0.3</v>
      </c>
      <c r="B15" s="881" t="n">
        <f aca="false">(VCM!$E$4*(1+B$14)*(1-$A15)/(1+VCM!$B$5)^VCM!$B$3-VCM!$E$3)/1000000</f>
        <v>15.5857524376136</v>
      </c>
      <c r="C15" s="881" t="n">
        <f aca="false">(VCM!$E$4*(1+C$14)*(1-$A15)/(1+VCM!$B$5)^VCM!$B$3-VCM!$E$3)/1000000</f>
        <v>27.5965575370784</v>
      </c>
      <c r="D15" s="881" t="n">
        <f aca="false">(VCM!$E$4*(1+D$14)*(1-$A15)/(1+VCM!$B$5)^VCM!$B$3-VCM!$E$3)/1000000</f>
        <v>39.6073626365432</v>
      </c>
      <c r="E15" s="881" t="n">
        <f aca="false">(VCM!$E$4*(1+E$14)*(1-$A15)/(1+VCM!$B$5)^VCM!$B$3-VCM!$E$3)/1000000</f>
        <v>51.618167736008</v>
      </c>
      <c r="F15" s="882" t="n">
        <f aca="false">(VCM!$E$4*(1+F$14)*(1-$A15)/(1+VCM!$B$5)^VCM!$B$3-VCM!$E$3)/1000000</f>
        <v>63.6289728354728</v>
      </c>
    </row>
    <row r="16" customFormat="false" ht="15.6" hidden="false" customHeight="false" outlineLevel="0" collapsed="false">
      <c r="A16" s="887" t="n">
        <v>0.35</v>
      </c>
      <c r="B16" s="881" t="n">
        <f aca="false">(VCM!$E$4*(1+B$14)*(1-$A16)/(1+VCM!$B$5)^VCM!$B$3-VCM!$E$3)/1000000</f>
        <v>11.582150737792</v>
      </c>
      <c r="C16" s="881" t="n">
        <f aca="false">(VCM!$E$4*(1+C$14)*(1-$A16)/(1+VCM!$B$5)^VCM!$B$3-VCM!$E$3)/1000000</f>
        <v>22.735041187295</v>
      </c>
      <c r="D16" s="881" t="n">
        <f aca="false">(VCM!$E$4*(1+D$14)*(1-$A16)/(1+VCM!$B$5)^VCM!$B$3-VCM!$E$3)/1000000</f>
        <v>33.8879316367981</v>
      </c>
      <c r="E16" s="881" t="n">
        <f aca="false">(VCM!$E$4*(1+E$14)*(1-$A16)/(1+VCM!$B$5)^VCM!$B$3-VCM!$E$3)/1000000</f>
        <v>45.0408220863011</v>
      </c>
      <c r="F16" s="882" t="n">
        <f aca="false">(VCM!$E$4*(1+F$14)*(1-$A16)/(1+VCM!$B$5)^VCM!$B$3-VCM!$E$3)/1000000</f>
        <v>56.1937125358041</v>
      </c>
    </row>
    <row r="17" customFormat="false" ht="15.6" hidden="false" customHeight="false" outlineLevel="0" collapsed="false">
      <c r="A17" s="887" t="n">
        <v>0.4</v>
      </c>
      <c r="B17" s="881" t="n">
        <f aca="false">(VCM!$E$4*(1+B$14)*(1-$A17)/(1+VCM!$B$5)^VCM!$B$3-VCM!$E$3)/1000000</f>
        <v>7.57854903797042</v>
      </c>
      <c r="C17" s="881" t="n">
        <f aca="false">(VCM!$E$4*(1+C$14)*(1-$A17)/(1+VCM!$B$5)^VCM!$B$3-VCM!$E$3)/1000000</f>
        <v>17.8735248375117</v>
      </c>
      <c r="D17" s="883" t="n">
        <f aca="false">(VCM!$E$4*(1+D$14)*(1-$A17)/(1+VCM!$B$5)^VCM!$B$3-VCM!$E$3)/1000000</f>
        <v>28.1685006370529</v>
      </c>
      <c r="E17" s="881" t="n">
        <f aca="false">(VCM!$E$4*(1+E$14)*(1-$A17)/(1+VCM!$B$5)^VCM!$B$3-VCM!$E$3)/1000000</f>
        <v>38.4634764365942</v>
      </c>
      <c r="F17" s="882" t="n">
        <f aca="false">(VCM!$E$4*(1+F$14)*(1-$A17)/(1+VCM!$B$5)^VCM!$B$3-VCM!$E$3)/1000000</f>
        <v>48.7584522361354</v>
      </c>
    </row>
    <row r="18" customFormat="false" ht="15.6" hidden="false" customHeight="false" outlineLevel="0" collapsed="false">
      <c r="A18" s="887" t="n">
        <v>0.45</v>
      </c>
      <c r="B18" s="881" t="n">
        <f aca="false">(VCM!$E$4*(1+B$14)*(1-$A18)/(1+VCM!$B$5)^VCM!$B$3-VCM!$E$3)/1000000</f>
        <v>3.57494733814883</v>
      </c>
      <c r="C18" s="881" t="n">
        <f aca="false">(VCM!$E$4*(1+C$14)*(1-$A18)/(1+VCM!$B$5)^VCM!$B$3-VCM!$E$3)/1000000</f>
        <v>13.0120084877283</v>
      </c>
      <c r="D18" s="881" t="n">
        <f aca="false">(VCM!$E$4*(1+D$14)*(1-$A18)/(1+VCM!$B$5)^VCM!$B$3-VCM!$E$3)/1000000</f>
        <v>22.4490696373078</v>
      </c>
      <c r="E18" s="881" t="n">
        <f aca="false">(VCM!$E$4*(1+E$14)*(1-$A18)/(1+VCM!$B$5)^VCM!$B$3-VCM!$E$3)/1000000</f>
        <v>31.8861307868873</v>
      </c>
      <c r="F18" s="882" t="n">
        <f aca="false">(VCM!$E$4*(1+F$14)*(1-$A18)/(1+VCM!$B$5)^VCM!$B$3-VCM!$E$3)/1000000</f>
        <v>41.3231919364668</v>
      </c>
    </row>
    <row r="19" customFormat="false" ht="15.6" hidden="false" customHeight="false" outlineLevel="0" collapsed="false">
      <c r="A19" s="887" t="n">
        <v>0.5</v>
      </c>
      <c r="B19" s="881" t="n">
        <f aca="false">(VCM!$E$4*(1+B$14)*(1-$A19)/(1+VCM!$B$5)^VCM!$B$3-VCM!$E$3)/1000000</f>
        <v>-0.428654361672774</v>
      </c>
      <c r="C19" s="881" t="n">
        <f aca="false">(VCM!$E$4*(1+C$14)*(1-$A19)/(1+VCM!$B$5)^VCM!$B$3-VCM!$E$3)/1000000</f>
        <v>8.15049213794494</v>
      </c>
      <c r="D19" s="881" t="n">
        <f aca="false">(VCM!$E$4*(1+D$14)*(1-$A19)/(1+VCM!$B$5)^VCM!$B$3-VCM!$E$3)/1000000</f>
        <v>16.7296386375626</v>
      </c>
      <c r="E19" s="881" t="n">
        <f aca="false">(VCM!$E$4*(1+E$14)*(1-$A19)/(1+VCM!$B$5)^VCM!$B$3-VCM!$E$3)/1000000</f>
        <v>25.3087851371804</v>
      </c>
      <c r="F19" s="882" t="n">
        <f aca="false">(VCM!$E$4*(1+F$14)*(1-$A19)/(1+VCM!$B$5)^VCM!$B$3-VCM!$E$3)/1000000</f>
        <v>33.8879316367981</v>
      </c>
    </row>
    <row r="20" customFormat="false" ht="15.75" hidden="false" customHeight="true" outlineLevel="0" collapsed="false">
      <c r="A20" s="825" t="s">
        <v>788</v>
      </c>
      <c r="B20" s="884" t="n">
        <f aca="false">ROUND(D17-VCM!E7/1000000,6)</f>
        <v>0</v>
      </c>
      <c r="C20" s="498"/>
      <c r="D20" s="498"/>
      <c r="E20" s="498"/>
      <c r="F20" s="38"/>
    </row>
    <row r="21" customFormat="false" ht="15.6" hidden="false" customHeight="false" outlineLevel="0" collapsed="false">
      <c r="A21" s="2"/>
      <c r="B21" s="2"/>
      <c r="C21" s="2"/>
      <c r="D21" s="2"/>
      <c r="E21" s="2"/>
      <c r="F21" s="2"/>
    </row>
    <row r="22" customFormat="false" ht="15.75" hidden="false" customHeight="true" outlineLevel="0" collapsed="false">
      <c r="A22" s="414" t="s">
        <v>789</v>
      </c>
      <c r="B22" s="2"/>
      <c r="C22" s="2"/>
      <c r="D22" s="2"/>
      <c r="E22" s="2"/>
      <c r="F22" s="2"/>
    </row>
    <row r="23" customFormat="false" ht="15.6" hidden="false" customHeight="false" outlineLevel="0" collapsed="false">
      <c r="A23" s="813" t="s">
        <v>790</v>
      </c>
      <c r="B23" s="878" t="n">
        <f aca="false">Assumption!$B$17+(-0.04)</f>
        <v>0.0831158832517256</v>
      </c>
      <c r="C23" s="878" t="n">
        <f aca="false">Assumption!$B$17+(-0.02)</f>
        <v>0.103115883251726</v>
      </c>
      <c r="D23" s="878" t="n">
        <f aca="false">Assumption!$B$17+(0)</f>
        <v>0.123115883251726</v>
      </c>
      <c r="E23" s="878" t="n">
        <f aca="false">Assumption!$B$17+(0.02)</f>
        <v>0.143115883251726</v>
      </c>
      <c r="F23" s="879" t="n">
        <f aca="false">Assumption!$B$17+(0.04)</f>
        <v>0.163115883251726</v>
      </c>
    </row>
    <row r="24" customFormat="false" ht="15.6" hidden="false" customHeight="false" outlineLevel="0" collapsed="false">
      <c r="A24" s="880" t="n">
        <f aca="false">Assumption!$B$16+(-0.02)</f>
        <v>0.121309839519679</v>
      </c>
      <c r="B24" s="881" t="n">
        <f aca="false">(SUMPRODUCT(DCF!$C$10:$G$10*DCF!$C$11:$G$11/(1+$A24)^DCF!$C$3:$G$3)+(DCF!$G$5*(1+Assumption!$B$14)*(1-Assumption!$B$14/B$23)/($A24-Assumption!$B$14))/(1+$A24)^DCF!$G$3+DCF!$B$31-DCF!$B$32)/1000000</f>
        <v>16.9262450704033</v>
      </c>
      <c r="C24" s="881" t="n">
        <f aca="false">(SUMPRODUCT(DCF!$C$10:$G$10*DCF!$C$11:$G$11/(1+$A24)^DCF!$C$3:$G$3)+(DCF!$G$5*(1+Assumption!$B$14)*(1-Assumption!$B$14/C$23)/($A24-Assumption!$B$14))/(1+$A24)^DCF!$G$3+DCF!$B$31-DCF!$B$32)/1000000</f>
        <v>34.1632762473697</v>
      </c>
      <c r="D24" s="881" t="n">
        <f aca="false">(SUMPRODUCT(DCF!$C$10:$G$10*DCF!$C$11:$G$11/(1+$A24)^DCF!$C$3:$G$3)+(DCF!$G$5*(1+Assumption!$B$14)*(1-Assumption!$B$14/D$23)/($A24-Assumption!$B$14))/(1+$A24)^DCF!$G$3+DCF!$B$31-DCF!$B$32)/1000000</f>
        <v>45.8000450628265</v>
      </c>
      <c r="E24" s="881" t="n">
        <f aca="false">(SUMPRODUCT(DCF!$C$10:$G$10*DCF!$C$11:$G$11/(1+$A24)^DCF!$C$3:$G$3)+(DCF!$G$5*(1+Assumption!$B$14)*(1-Assumption!$B$14/E$23)/($A24-Assumption!$B$14))/(1+$A24)^DCF!$G$3+DCF!$B$31-DCF!$B$32)/1000000</f>
        <v>54.1844093090465</v>
      </c>
      <c r="F24" s="882" t="n">
        <f aca="false">(SUMPRODUCT(DCF!$C$10:$G$10*DCF!$C$11:$G$11/(1+$A24)^DCF!$C$3:$G$3)+(DCF!$G$5*(1+Assumption!$B$14)*(1-Assumption!$B$14/F$23)/($A24-Assumption!$B$14))/(1+$A24)^DCF!$G$3+DCF!$B$31-DCF!$B$32)/1000000</f>
        <v>60.5127225860838</v>
      </c>
    </row>
    <row r="25" customFormat="false" ht="15.6" hidden="false" customHeight="false" outlineLevel="0" collapsed="false">
      <c r="A25" s="880" t="n">
        <f aca="false">Assumption!$B$16+(-0.01)</f>
        <v>0.131309839519679</v>
      </c>
      <c r="B25" s="881" t="n">
        <f aca="false">(SUMPRODUCT(DCF!$C$10:$G$10*DCF!$C$11:$G$11/(1+$A25)^DCF!$C$3:$G$3)+(DCF!$G$5*(1+Assumption!$B$14)*(1-Assumption!$B$14/B$23)/($A25-Assumption!$B$14))/(1+$A25)^DCF!$G$3+DCF!$B$31-DCF!$B$32)/1000000</f>
        <v>8.46950312566897</v>
      </c>
      <c r="C25" s="881" t="n">
        <f aca="false">(SUMPRODUCT(DCF!$C$10:$G$10*DCF!$C$11:$G$11/(1+$A25)^DCF!$C$3:$G$3)+(DCF!$G$5*(1+Assumption!$B$14)*(1-Assumption!$B$14/C$23)/($A25-Assumption!$B$14))/(1+$A25)^DCF!$G$3+DCF!$B$31-DCF!$B$32)/1000000</f>
        <v>23.026812585772</v>
      </c>
      <c r="D25" s="881" t="n">
        <f aca="false">(SUMPRODUCT(DCF!$C$10:$G$10*DCF!$C$11:$G$11/(1+$A25)^DCF!$C$3:$G$3)+(DCF!$G$5*(1+Assumption!$B$14)*(1-Assumption!$B$14/D$23)/($A25-Assumption!$B$14))/(1+$A25)^DCF!$G$3+DCF!$B$31-DCF!$B$32)/1000000</f>
        <v>32.8544936419302</v>
      </c>
      <c r="E25" s="881" t="n">
        <f aca="false">(SUMPRODUCT(DCF!$C$10:$G$10*DCF!$C$11:$G$11/(1+$A25)^DCF!$C$3:$G$3)+(DCF!$G$5*(1+Assumption!$B$14)*(1-Assumption!$B$14/E$23)/($A25-Assumption!$B$14))/(1+$A25)^DCF!$G$3+DCF!$B$31-DCF!$B$32)/1000000</f>
        <v>39.9353989153131</v>
      </c>
      <c r="F25" s="882" t="n">
        <f aca="false">(SUMPRODUCT(DCF!$C$10:$G$10*DCF!$C$11:$G$11/(1+$A25)^DCF!$C$3:$G$3)+(DCF!$G$5*(1+Assumption!$B$14)*(1-Assumption!$B$14/F$23)/($A25-Assumption!$B$14))/(1+$A25)^DCF!$G$3+DCF!$B$31-DCF!$B$32)/1000000</f>
        <v>45.2798932071963</v>
      </c>
    </row>
    <row r="26" customFormat="false" ht="15.6" hidden="false" customHeight="false" outlineLevel="0" collapsed="false">
      <c r="A26" s="880" t="n">
        <f aca="false">Assumption!$B$16+(0)</f>
        <v>0.141309839519679</v>
      </c>
      <c r="B26" s="881" t="n">
        <f aca="false">(SUMPRODUCT(DCF!$C$10:$G$10*DCF!$C$11:$G$11/(1+$A26)^DCF!$C$3:$G$3)+(DCF!$G$5*(1+Assumption!$B$14)*(1-Assumption!$B$14/B$23)/($A26-Assumption!$B$14))/(1+$A26)^DCF!$G$3+DCF!$B$31-DCF!$B$32)/1000000</f>
        <v>2.07750943539398</v>
      </c>
      <c r="C26" s="881" t="n">
        <f aca="false">(SUMPRODUCT(DCF!$C$10:$G$10*DCF!$C$11:$G$11/(1+$A26)^DCF!$C$3:$G$3)+(DCF!$G$5*(1+Assumption!$B$14)*(1-Assumption!$B$14/C$23)/($A26-Assumption!$B$14))/(1+$A26)^DCF!$G$3+DCF!$B$31-DCF!$B$32)/1000000</f>
        <v>14.5646543370482</v>
      </c>
      <c r="D26" s="883" t="n">
        <f aca="false">(SUMPRODUCT(DCF!$C$10:$G$10*DCF!$C$11:$G$11/(1+$A26)^DCF!$C$3:$G$3)+(DCF!$G$5*(1+Assumption!$B$14)*(1-Assumption!$B$14/D$23)/($A26-Assumption!$B$14))/(1+$A26)^DCF!$G$3+DCF!$B$31-DCF!$B$32)/1000000</f>
        <v>22.9947614067526</v>
      </c>
      <c r="E26" s="881" t="n">
        <f aca="false">(SUMPRODUCT(DCF!$C$10:$G$10*DCF!$C$11:$G$11/(1+$A26)^DCF!$C$3:$G$3)+(DCF!$G$5*(1+Assumption!$B$14)*(1-Assumption!$B$14/E$23)/($A26-Assumption!$B$14))/(1+$A26)^DCF!$G$3+DCF!$B$31-DCF!$B$32)/1000000</f>
        <v>29.0687059379142</v>
      </c>
      <c r="F26" s="882" t="n">
        <f aca="false">(SUMPRODUCT(DCF!$C$10:$G$10*DCF!$C$11:$G$11/(1+$A26)^DCF!$C$3:$G$3)+(DCF!$G$5*(1+Assumption!$B$14)*(1-Assumption!$B$14/F$23)/($A26-Assumption!$B$14))/(1+$A26)^DCF!$G$3+DCF!$B$31-DCF!$B$32)/1000000</f>
        <v>33.6531708647412</v>
      </c>
    </row>
    <row r="27" customFormat="false" ht="15.6" hidden="false" customHeight="false" outlineLevel="0" collapsed="false">
      <c r="A27" s="880" t="n">
        <f aca="false">Assumption!$B$16+(0.01)</f>
        <v>0.151309839519679</v>
      </c>
      <c r="B27" s="881" t="n">
        <f aca="false">(SUMPRODUCT(DCF!$C$10:$G$10*DCF!$C$11:$G$11/(1+$A27)^DCF!$C$3:$G$3)+(DCF!$G$5*(1+Assumption!$B$14)*(1-Assumption!$B$14/B$23)/($A27-Assumption!$B$14))/(1+$A27)^DCF!$G$3+DCF!$B$31-DCF!$B$32)/1000000</f>
        <v>-2.86935038162652</v>
      </c>
      <c r="C27" s="881" t="n">
        <f aca="false">(SUMPRODUCT(DCF!$C$10:$G$10*DCF!$C$11:$G$11/(1+$A27)^DCF!$C$3:$G$3)+(DCF!$G$5*(1+Assumption!$B$14)*(1-Assumption!$B$14/C$23)/($A27-Assumption!$B$14))/(1+$A27)^DCF!$G$3+DCF!$B$31-DCF!$B$32)/1000000</f>
        <v>7.9755937782705</v>
      </c>
      <c r="D27" s="881" t="n">
        <f aca="false">(SUMPRODUCT(DCF!$C$10:$G$10*DCF!$C$11:$G$11/(1+$A27)^DCF!$C$3:$G$3)+(DCF!$G$5*(1+Assumption!$B$14)*(1-Assumption!$B$14/D$23)/($A27-Assumption!$B$14))/(1+$A27)^DCF!$G$3+DCF!$B$31-DCF!$B$32)/1000000</f>
        <v>15.2970464524351</v>
      </c>
      <c r="E27" s="881" t="n">
        <f aca="false">(SUMPRODUCT(DCF!$C$10:$G$10*DCF!$C$11:$G$11/(1+$A27)^DCF!$C$3:$G$3)+(DCF!$G$5*(1+Assumption!$B$14)*(1-Assumption!$B$14/E$23)/($A27-Assumption!$B$14))/(1+$A27)^DCF!$G$3+DCF!$B$31-DCF!$B$32)/1000000</f>
        <v>20.5721986020697</v>
      </c>
      <c r="F27" s="882" t="n">
        <f aca="false">(SUMPRODUCT(DCF!$C$10:$G$10*DCF!$C$11:$G$11/(1+$A27)^DCF!$C$3:$G$3)+(DCF!$G$5*(1+Assumption!$B$14)*(1-Assumption!$B$14/F$23)/($A27-Assumption!$B$14))/(1+$A27)^DCF!$G$3+DCF!$B$31-DCF!$B$32)/1000000</f>
        <v>24.5537545562942</v>
      </c>
    </row>
    <row r="28" customFormat="false" ht="15.75" hidden="false" customHeight="true" outlineLevel="0" collapsed="false">
      <c r="A28" s="888" t="n">
        <f aca="false">Assumption!$B$16+(0.02)</f>
        <v>0.161309839519679</v>
      </c>
      <c r="B28" s="889" t="n">
        <f aca="false">(SUMPRODUCT(DCF!$C$10:$G$10*DCF!$C$11:$G$11/(1+$A28)^DCF!$C$3:$G$3)+(DCF!$G$5*(1+Assumption!$B$14)*(1-Assumption!$B$14/B$23)/($A28-Assumption!$B$14))/(1+$A28)^DCF!$G$3+DCF!$B$31-DCF!$B$32)/1000000</f>
        <v>-6.76765950913217</v>
      </c>
      <c r="C28" s="889" t="n">
        <f aca="false">(SUMPRODUCT(DCF!$C$10:$G$10*DCF!$C$11:$G$11/(1+$A28)^DCF!$C$3:$G$3)+(DCF!$G$5*(1+Assumption!$B$14)*(1-Assumption!$B$14/C$23)/($A28-Assumption!$B$14))/(1+$A28)^DCF!$G$3+DCF!$B$31-DCF!$B$32)/1000000</f>
        <v>2.74677236890245</v>
      </c>
      <c r="D28" s="889" t="n">
        <f aca="false">(SUMPRODUCT(DCF!$C$10:$G$10*DCF!$C$11:$G$11/(1+$A28)^DCF!$C$3:$G$3)+(DCF!$G$5*(1+Assumption!$B$14)*(1-Assumption!$B$14/D$23)/($A28-Assumption!$B$14))/(1+$A28)^DCF!$G$3+DCF!$B$31-DCF!$B$32)/1000000</f>
        <v>9.16999241407187</v>
      </c>
      <c r="E28" s="889" t="n">
        <f aca="false">(SUMPRODUCT(DCF!$C$10:$G$10*DCF!$C$11:$G$11/(1+$A28)^DCF!$C$3:$G$3)+(DCF!$G$5*(1+Assumption!$B$14)*(1-Assumption!$B$14/E$23)/($A28-Assumption!$B$14))/(1+$A28)^DCF!$G$3+DCF!$B$31-DCF!$B$32)/1000000</f>
        <v>13.7979623726044</v>
      </c>
      <c r="F28" s="890" t="n">
        <f aca="false">(SUMPRODUCT(DCF!$C$10:$G$10*DCF!$C$11:$G$11/(1+$A28)^DCF!$C$3:$G$3)+(DCF!$G$5*(1+Assumption!$B$14)*(1-Assumption!$B$14/F$23)/($A28-Assumption!$B$14))/(1+$A28)^DCF!$G$3+DCF!$B$31-DCF!$B$32)/1000000</f>
        <v>17.2910410216522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203125" defaultRowHeight="12.8" zeroHeight="false" outlineLevelRow="0" outlineLevelCol="0"/>
  <cols>
    <col collapsed="false" customWidth="true" hidden="false" outlineLevel="0" max="1" min="1" style="1" width="62"/>
    <col collapsed="false" customWidth="true" hidden="false" outlineLevel="0" max="7" min="2" style="1" width="14"/>
  </cols>
  <sheetData>
    <row r="1" customFormat="false" ht="15" hidden="false" customHeight="true" outlineLevel="0" collapsed="false">
      <c r="A1" s="329" t="s">
        <v>791</v>
      </c>
    </row>
    <row r="2" customFormat="false" ht="15.75" hidden="false" customHeight="true" outlineLevel="0" collapsed="false"/>
    <row r="3" customFormat="false" ht="15" hidden="false" customHeight="true" outlineLevel="0" collapsed="false">
      <c r="A3" s="1" t="s">
        <v>792</v>
      </c>
      <c r="B3" s="1" t="s">
        <v>292</v>
      </c>
      <c r="C3" s="1" t="s">
        <v>293</v>
      </c>
      <c r="D3" s="1" t="s">
        <v>294</v>
      </c>
      <c r="E3" s="1" t="s">
        <v>295</v>
      </c>
      <c r="F3" s="1" t="s">
        <v>296</v>
      </c>
      <c r="G3" s="1" t="s">
        <v>793</v>
      </c>
    </row>
    <row r="4" customFormat="false" ht="15" hidden="false" customHeight="true" outlineLevel="0" collapsed="false">
      <c r="A4" s="1" t="s">
        <v>794</v>
      </c>
      <c r="B4" s="1" t="n">
        <f aca="false">ROUND('Balance Sheet'!G32-'Balance Sheet'!G75,0)</f>
        <v>0</v>
      </c>
      <c r="C4" s="1" t="n">
        <f aca="false">ROUND('Balance Sheet'!H32-'Balance Sheet'!H75,0)</f>
        <v>0</v>
      </c>
      <c r="D4" s="1" t="n">
        <f aca="false">ROUND('Balance Sheet'!I32-'Balance Sheet'!I75,0)</f>
        <v>0</v>
      </c>
      <c r="E4" s="1" t="n">
        <f aca="false">ROUND('Balance Sheet'!J32-'Balance Sheet'!J75,0)</f>
        <v>0</v>
      </c>
      <c r="F4" s="1" t="n">
        <f aca="false">ROUND('Balance Sheet'!K32-'Balance Sheet'!K75,0)</f>
        <v>0</v>
      </c>
      <c r="G4" s="1" t="str">
        <f aca="false">IF(AND(MAX(B4:F4)=0,MIN(B4:F4)=0),"OK","LỖI")</f>
        <v>OK</v>
      </c>
    </row>
    <row r="5" customFormat="false" ht="15" hidden="false" customHeight="true" outlineLevel="0" collapsed="false">
      <c r="A5" s="1" t="s">
        <v>795</v>
      </c>
      <c r="B5" s="1" t="n">
        <f aca="false">ROUND('Cash Flow Statement'!F34-'Balance Sheet'!G6,0)</f>
        <v>0</v>
      </c>
      <c r="C5" s="1" t="n">
        <f aca="false">ROUND('Cash Flow Statement'!G34-'Balance Sheet'!H6,0)</f>
        <v>0</v>
      </c>
      <c r="D5" s="1" t="n">
        <f aca="false">ROUND('Cash Flow Statement'!H34-'Balance Sheet'!I6,0)</f>
        <v>0</v>
      </c>
      <c r="E5" s="1" t="n">
        <f aca="false">ROUND('Cash Flow Statement'!I34-'Balance Sheet'!J6,0)</f>
        <v>0</v>
      </c>
      <c r="F5" s="1" t="n">
        <f aca="false">ROUND('Cash Flow Statement'!J34-'Balance Sheet'!K6,0)</f>
        <v>0</v>
      </c>
      <c r="G5" s="1" t="str">
        <f aca="false">IF(AND(MAX(B5:F5)=0,MIN(B5:F5)=0),"OK","LỖI")</f>
        <v>OK</v>
      </c>
    </row>
    <row r="6" customFormat="false" ht="15" hidden="false" customHeight="true" outlineLevel="0" collapsed="false">
      <c r="A6" s="1" t="s">
        <v>796</v>
      </c>
      <c r="B6" s="1" t="n">
        <f aca="false">ROUND('Income Statement'!E78-'Cash Flow Statement'!F4,0)</f>
        <v>0</v>
      </c>
      <c r="C6" s="1" t="n">
        <f aca="false">ROUND('Income Statement'!F78-'Cash Flow Statement'!G4,0)</f>
        <v>0</v>
      </c>
      <c r="D6" s="1" t="n">
        <f aca="false">ROUND('Income Statement'!G78-'Cash Flow Statement'!H4,0)</f>
        <v>0</v>
      </c>
      <c r="E6" s="1" t="n">
        <f aca="false">ROUND('Income Statement'!H78-'Cash Flow Statement'!I4,0)</f>
        <v>0</v>
      </c>
      <c r="F6" s="1" t="n">
        <f aca="false">ROUND('Income Statement'!I78-'Cash Flow Statement'!J4,0)</f>
        <v>0</v>
      </c>
      <c r="G6" s="1" t="str">
        <f aca="false">IF(AND(MAX(B6:F6)=0,MIN(B6:F6)=0),"OK","LỖI")</f>
        <v>OK</v>
      </c>
    </row>
    <row r="7" customFormat="false" ht="15" hidden="false" customHeight="true" outlineLevel="0" collapsed="false">
      <c r="A7" s="1" t="s">
        <v>797</v>
      </c>
      <c r="B7" s="1" t="n">
        <f aca="false">ROUND('Pro Forma'!C4-'Income Statement'!E11,0)</f>
        <v>0</v>
      </c>
      <c r="C7" s="1" t="n">
        <f aca="false">ROUND('Pro Forma'!D4-'Income Statement'!F11,0)</f>
        <v>0</v>
      </c>
      <c r="D7" s="1" t="n">
        <f aca="false">ROUND('Pro Forma'!E4-'Income Statement'!G11,0)</f>
        <v>0</v>
      </c>
      <c r="E7" s="1" t="n">
        <f aca="false">ROUND('Pro Forma'!F4-'Income Statement'!H11,0)</f>
        <v>0</v>
      </c>
      <c r="F7" s="1" t="n">
        <f aca="false">ROUND('Pro Forma'!G4-'Income Statement'!I11,0)</f>
        <v>0</v>
      </c>
      <c r="G7" s="1" t="str">
        <f aca="false">IF(AND(MAX(B7:F7)=0,MIN(B7:F7)=0),"OK","LỖI")</f>
        <v>OK</v>
      </c>
    </row>
    <row r="8" customFormat="false" ht="15" hidden="false" customHeight="true" outlineLevel="0" collapsed="false">
      <c r="A8" s="1" t="s">
        <v>798</v>
      </c>
      <c r="B8" s="1" t="n">
        <f aca="false">ROUND('Pro Forma'!C14-'Income Statement'!E78,0)</f>
        <v>0</v>
      </c>
      <c r="C8" s="1" t="n">
        <f aca="false">ROUND('Pro Forma'!D14-'Income Statement'!F78,0)</f>
        <v>0</v>
      </c>
      <c r="D8" s="1" t="n">
        <f aca="false">ROUND('Pro Forma'!E14-'Income Statement'!G78,0)</f>
        <v>0</v>
      </c>
      <c r="E8" s="1" t="n">
        <f aca="false">ROUND('Pro Forma'!F14-'Income Statement'!H78,0)</f>
        <v>-0</v>
      </c>
      <c r="F8" s="1" t="n">
        <f aca="false">ROUND('Pro Forma'!G14-'Income Statement'!I78,0)</f>
        <v>0</v>
      </c>
      <c r="G8" s="1" t="str">
        <f aca="false">IF(AND(MAX(B8:F8)=0,MIN(B8:F8)=0),"OK","LỖI")</f>
        <v>OK</v>
      </c>
    </row>
    <row r="9" customFormat="false" ht="15" hidden="false" customHeight="true" outlineLevel="0" collapsed="false">
      <c r="A9" s="1" t="s">
        <v>799</v>
      </c>
      <c r="B9" s="1" t="n">
        <f aca="false">ROUND('Pro Forma'!C36-Drivers!F115,0)</f>
        <v>0</v>
      </c>
      <c r="C9" s="1" t="n">
        <f aca="false">ROUND('Pro Forma'!D36-Drivers!G115,0)</f>
        <v>0</v>
      </c>
      <c r="D9" s="1" t="n">
        <f aca="false">ROUND('Pro Forma'!E36-Drivers!H115,0)</f>
        <v>0</v>
      </c>
      <c r="E9" s="1" t="n">
        <f aca="false">ROUND('Pro Forma'!F36-Drivers!I115,0)</f>
        <v>0</v>
      </c>
      <c r="F9" s="1" t="n">
        <f aca="false">ROUND('Pro Forma'!G36-Drivers!J115,0)</f>
        <v>0</v>
      </c>
      <c r="G9" s="1" t="str">
        <f aca="false">IF(AND(MAX(B9:F9)=0,MIN(B9:F9)=0),"OK","LỖI")</f>
        <v>OK</v>
      </c>
    </row>
    <row r="10" customFormat="false" ht="15" hidden="false" customHeight="true" outlineLevel="0" collapsed="false">
      <c r="A10" s="1" t="s">
        <v>800</v>
      </c>
      <c r="B10" s="1" t="n">
        <f aca="false">ROUND('Pro Forma'!C9-'Income Statement'!E69,0)</f>
        <v>0</v>
      </c>
      <c r="C10" s="1" t="n">
        <f aca="false">ROUND('Pro Forma'!D9-'Income Statement'!F69,0)</f>
        <v>0</v>
      </c>
      <c r="D10" s="1" t="n">
        <f aca="false">ROUND('Pro Forma'!E9-'Income Statement'!G69,0)</f>
        <v>0</v>
      </c>
      <c r="E10" s="1" t="n">
        <f aca="false">ROUND('Pro Forma'!F9-'Income Statement'!H69,0)</f>
        <v>0</v>
      </c>
      <c r="F10" s="1" t="n">
        <f aca="false">ROUND('Pro Forma'!G9-'Income Statement'!I69,0)</f>
        <v>0</v>
      </c>
      <c r="G10" s="1" t="str">
        <f aca="false">IF(AND(MAX(B10:F10)=0,MIN(B10:F10)=0),"OK","LỖI")</f>
        <v>OK</v>
      </c>
    </row>
    <row r="11" customFormat="false" ht="15" hidden="false" customHeight="true" outlineLevel="0" collapsed="false">
      <c r="A11" s="1" t="s">
        <v>801</v>
      </c>
      <c r="B11" s="1" t="n">
        <f aca="false">ROUND(SUM(Drivers!F96,'Cash Flow Statement'!F20),0)</f>
        <v>0</v>
      </c>
      <c r="C11" s="1" t="n">
        <f aca="false">ROUND(SUM(Drivers!G96,'Cash Flow Statement'!G20),0)</f>
        <v>0</v>
      </c>
      <c r="D11" s="1" t="n">
        <f aca="false">ROUND(SUM(Drivers!H96,'Cash Flow Statement'!H20),0)</f>
        <v>0</v>
      </c>
      <c r="E11" s="1" t="n">
        <f aca="false">ROUND(SUM(Drivers!I96,'Cash Flow Statement'!I20),0)</f>
        <v>0</v>
      </c>
      <c r="F11" s="1" t="n">
        <f aca="false">ROUND(SUM(Drivers!J96,'Cash Flow Statement'!J20),0)</f>
        <v>0</v>
      </c>
      <c r="G11" s="1" t="str">
        <f aca="false">IF(AND(MAX(B11:F11)=0,MIN(B11:F11)=0),"OK","LỖI")</f>
        <v>OK</v>
      </c>
    </row>
    <row r="12" customFormat="false" ht="15" hidden="false" customHeight="true" outlineLevel="0" collapsed="false">
      <c r="A12" s="1" t="s">
        <v>802</v>
      </c>
      <c r="B12" s="1" t="n">
        <f aca="false">ROUND(MIN(0,'Balance Sheet'!G6-Drivers!F121),0)</f>
        <v>0</v>
      </c>
      <c r="C12" s="1" t="n">
        <f aca="false">ROUND(MIN(0,'Balance Sheet'!H6-Drivers!G121),0)</f>
        <v>0</v>
      </c>
      <c r="D12" s="1" t="n">
        <f aca="false">ROUND(MIN(0,'Balance Sheet'!I6-Drivers!H121),0)</f>
        <v>0</v>
      </c>
      <c r="E12" s="1" t="n">
        <f aca="false">ROUND(MIN(0,'Balance Sheet'!J6-Drivers!I121),0)</f>
        <v>0</v>
      </c>
      <c r="F12" s="1" t="n">
        <f aca="false">ROUND(MIN(0,'Balance Sheet'!K6-Drivers!J121),0)</f>
        <v>0</v>
      </c>
      <c r="G12" s="1" t="str">
        <f aca="false">IF(AND(MAX(B12:F12)=0,MIN(B12:F12)=0),"OK","LỖI")</f>
        <v>OK</v>
      </c>
    </row>
    <row r="13" customFormat="false" ht="15" hidden="false" customHeight="true" outlineLevel="0" collapsed="false">
      <c r="A13" s="1" t="s">
        <v>803</v>
      </c>
      <c r="B13" s="1" t="n">
        <f aca="false">SUMPRODUCT((Drivers!F7:J7=Drivers!C156)*Drivers!F94:J94)</f>
        <v>0.65</v>
      </c>
      <c r="G13" s="1" t="str">
        <f aca="false">IF(ROUND(B13,4)=Drivers!C158,"OK","LỖI")</f>
        <v>OK</v>
      </c>
    </row>
    <row r="14" customFormat="false" ht="15" hidden="false" customHeight="true" outlineLevel="0" collapsed="false">
      <c r="A14" s="1" t="s">
        <v>804</v>
      </c>
      <c r="B14" s="891" t="n">
        <f aca="false">Sensitivity!B11</f>
        <v>0</v>
      </c>
      <c r="C14" s="891" t="n">
        <f aca="false">Sensitivity!B20</f>
        <v>0</v>
      </c>
      <c r="G14" s="1" t="str">
        <f aca="false">IF(AND(B14=0,C14=0),"OK","LỖI")</f>
        <v>OK</v>
      </c>
    </row>
    <row r="15" customFormat="false" ht="15" hidden="false" customHeight="true" outlineLevel="0" collapsed="false">
      <c r="A15" s="1" t="s">
        <v>805</v>
      </c>
      <c r="G15" s="1" t="str">
        <f aca="false">IF(Assumption!B14&lt;Assumption!B16,"OK","LỖI")</f>
        <v>OK</v>
      </c>
    </row>
    <row r="16" customFormat="false" ht="15" hidden="false" customHeight="true" outlineLevel="0" collapsed="false">
      <c r="A16" s="1" t="s">
        <v>806</v>
      </c>
      <c r="B16" s="1" t="n">
        <f aca="false">IF(Drivers!F$7=Drivers!$C$156,0,Drivers!F124)</f>
        <v>0</v>
      </c>
      <c r="C16" s="1" t="n">
        <f aca="false">IF(Drivers!G$7=Drivers!$C$156,0,Drivers!G124)</f>
        <v>0</v>
      </c>
      <c r="D16" s="1" t="n">
        <f aca="false">IF(Drivers!H$7=Drivers!$C$156,0,Drivers!H124)</f>
        <v>0</v>
      </c>
      <c r="E16" s="1" t="n">
        <f aca="false">IF(Drivers!I$7=Drivers!$C$156,0,Drivers!I124)</f>
        <v>0</v>
      </c>
      <c r="F16" s="1" t="n">
        <f aca="false">IF(Drivers!J$7=Drivers!$C$156,0,Drivers!J124)</f>
        <v>0</v>
      </c>
      <c r="G16" s="1" t="str">
        <f aca="false">IF(AND(MAX(B16:F16)=0,MIN(B16:F16)=0),"OK","LỖI")</f>
        <v>OK</v>
      </c>
    </row>
    <row r="17" customFormat="false" ht="15.75" hidden="false" customHeight="true" outlineLevel="0" collapsed="false">
      <c r="A17" s="1" t="s">
        <v>807</v>
      </c>
      <c r="G17" s="1" t="str">
        <f aca="false">IF(AND(COUNTIF(G4:G16,"LỖI")=0,SUMPRODUCT(ISERROR(G4:G16)*1)=0),"TẤT CẢ OK","CÓ LỖI")</f>
        <v>TẤT CẢ OK</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Roman,Regular"&amp;A</oddHeader>
    <oddFooter>&amp;C&amp;"Times New Roman,Regular"Page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2020-12-20T23:38:00Z</dcterms:created>
  <dc:creator>Christina Ross</dc:creator>
  <dc:description/>
  <dc:language>en-US</dc:language>
  <cp:lastModifiedBy/>
  <dcterms:modified xsi:type="dcterms:W3CDTF">2026-10-08T11:21:57Z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32A27086E6C5449C8FFA0E10CAFFE8B6_12</vt:lpwstr>
  </property>
  <property fmtid="{D5CDD505-2E9C-101B-9397-08002B2CF9AE}" pid="3" name="KSOProductBuildVer">
    <vt:lpwstr>1033-12.2.0.22530</vt:lpwstr>
  </property>
</Properties>
</file>