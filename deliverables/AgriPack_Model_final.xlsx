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ướng dẫn" sheetId="1" state="visible" r:id="rId3"/>
    <sheet name="Investment" sheetId="2" state="hidden" r:id="rId4"/>
    <sheet name="Income Statement" sheetId="3" state="visible" r:id="rId5"/>
    <sheet name="Balance Sheet" sheetId="4" state="visible" r:id="rId6"/>
    <sheet name="Cash Flow Statement" sheetId="5" state="visible" r:id="rId7"/>
    <sheet name="Discount rate" sheetId="6" state="visible" r:id="rId8"/>
    <sheet name="Assumption" sheetId="7" state="visible" r:id="rId9"/>
    <sheet name="Drivers" sheetId="8" state="visible" r:id="rId10"/>
    <sheet name="Pro Forma" sheetId="9" state="visible" r:id="rId11"/>
    <sheet name="DCF" sheetId="10" state="visible" r:id="rId12"/>
    <sheet name="VCM" sheetId="11" state="visible" r:id="rId13"/>
    <sheet name="Summary" sheetId="12" state="visible" r:id="rId14"/>
    <sheet name="Sensitivity" sheetId="13" state="visible" r:id="rId15"/>
    <sheet name="Checks" sheetId="14" state="visible" r:id="rId16"/>
    <sheet name="Sheet1" sheetId="15" state="visible" r:id="rId17"/>
    <sheet name="Chart_Data" sheetId="16" state="visible" r:id="rId18"/>
    <sheet name="Ghi chu" sheetId="17" state="visible" r:id="rId1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Arial"/>
            <family val="2"/>
          </rPr>
          <t xml:space="preserve">ƯỚC TÍNH – cần cập nhật: lợi suất TPCP 10 năm (HNX/VBMA) chưa truy cập được trong phiên. Căn cứ: lãi suất huy động &gt;12 tháng tăng từ 4,9–6,1% (8/2025) lên 6,1–7,6% (8/2026) theo NHNN → mặt bằng lợi suất dài hạn đã tăng.</t>
        </r>
      </text>
    </comment>
    <comment ref="B14" authorId="0">
      <text>
        <r>
          <rPr>
            <sz val="10"/>
            <rFont val="Arial"/>
            <family val="2"/>
          </rPr>
          <t xml:space="preserve">ERP thị trường trưởng thành (Aaa) – Damodaran, cập nhật 01/2026 (4,23%); bản giữa năm 07/2026: 4,20%.</t>
        </r>
      </text>
    </comment>
    <comment ref="B15" authorId="0">
      <text>
        <r>
          <rPr>
            <sz val="10"/>
            <rFont val="Arial"/>
            <family val="2"/>
          </rPr>
          <t xml:space="preserve">Lãi suất cho vay trung–dài hạn VND 8,4–10,7%/năm (NHNN, 8/2026); DN nhỏ vay ở nửa trên khung → 10%.</t>
        </r>
      </text>
    </comment>
    <comment ref="B16" authorId="0">
      <text>
        <r>
          <rPr>
            <sz val="10"/>
            <rFont val="Arial"/>
            <family val="2"/>
          </rPr>
          <t xml:space="preserve">ƯỚC TÍNH – CRP Việt Nam (Moody's Ba2): chênh lệch vỡ nợ theo hạng Ba2 ~2,9% × hệ số biến động CP/TP ~1,35 (phương pháp Damodaran). Bảng 01/2026 chưa truy cập được.</t>
        </r>
      </text>
    </comment>
    <comment ref="B18" authorId="0">
      <text>
        <r>
          <rPr>
            <sz val="10"/>
            <rFont val="Arial"/>
            <family val="2"/>
          </rPr>
          <t xml:space="preserve">Beta không đòn bẩy ngành Packaging &amp; Container (Damodaran, 01/2026: 0,78; hiệu chỉnh tiền mặt 0,81). Beta 2 năm của DN bao bì niêm yết VN thấp (trung vị ~0,6) do thanh khoản mỏng nên không dùng.</t>
        </r>
      </text>
    </comment>
    <comment ref="B22" authorId="0">
      <text>
        <r>
          <rPr>
            <sz val="10"/>
            <rFont val="Arial"/>
            <family val="2"/>
          </rPr>
          <t xml:space="preserve">Giả định: quỹ VC nắm danh mục 20–30 startup nên đa dạng hóa một phần → ρ = 0,7 (Damodaran, 2009: total beta = β thị trường / ρ). ρ = 1 là CAPM thuần; ρ = 0,6 cho chủ sở hữu ít đa dạng hóa hơn.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Tăng trưởng dài hạn danh nghĩa (VND): lạm phát mục tiêu ~4–4,5% + tăng trưởng thực thấp; thấp hơn GDP danh nghĩa VN (~10–12%).</t>
        </r>
      </text>
    </comment>
    <comment ref="D19" authorId="0">
      <text>
        <r>
          <rPr>
            <sz val="10"/>
            <rFont val="Arial"/>
            <family val="2"/>
          </rPr>
          <t xml:space="preserve">RONIC 18% &gt; ROIC 2030E (~14%) vì năm 2030 còn công suất trống (vòng quay NG TSCĐ ~1,3x so với 1,66x năm 2025) nên tăng trưởng sau 2030 cần ít CAPEX mới; cao hơn WACC ~4 điểm %.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Ô chọn kịch bản. Mọi hàng giả định kịch bản (mục F) được chọn bằng INDEX theo ô này.</t>
        </r>
      </text>
    </comment>
    <comment ref="C4" authorId="0">
      <text>
        <r>
          <rPr>
            <sz val="10"/>
            <rFont val="Arial"/>
            <family val="2"/>
          </rPr>
          <t xml:space="preserve">Đề bài: "đầu tư lớn vào năm 2027; CAPEX/Doanh thu = 65%". File Excel mẫu lại khóa 65% ở cột 2028 (Assumption!G13). Base case theo đề bài (2027); nhập 2028 để chạy độ nhạy.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5" authorId="0">
      <text>
        <r>
          <rPr>
            <sz val="10"/>
            <rFont val="Arial"/>
            <family val="2"/>
          </rPr>
          <t xml:space="preserve">Doanh thu 47,5 tỷ, tăng 54–59%/năm, EBITDA &amp; FCF vừa chuyển dương năm 2025, chưa có nợ vay đáng kể → Đầu tăng trưởng (early growth).</t>
        </r>
      </text>
    </comment>
    <comment ref="B29" authorId="0">
      <text>
        <r>
          <rPr>
            <sz val="10"/>
            <rFont val="Arial"/>
            <family val="2"/>
          </rPr>
          <t xml:space="preserve">P/E ngành Containers &amp; Packaging (ICB cấp 4) năm 2026 theo FiinX: 9,43x (2025: 11,7x); trung vị 15 DN niêm yết TTM 7,3x.</t>
        </r>
      </text>
    </comment>
    <comment ref="B32" authorId="0">
      <text>
        <r>
          <rPr>
            <sz val="10"/>
            <rFont val="Arial"/>
            <family val="2"/>
          </rPr>
          <t xml:space="preserve">EV/EBITDA ngành Containers &amp; Packaging 2026 theo FiinX: 7,99x (2025: 7,5x); trung vị DN thanh khoản 5,7x.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0" authorId="0">
      <text>
        <r>
          <rPr>
            <sz val="10"/>
            <rFont val="Arial"/>
            <family val="2"/>
          </rPr>
          <t xml:space="preserve">Đợt 1 phải đủ bù thiếu hụt tiền đến hết 2027 (xem Pro Forma hàng 60) cộng dự phòng.</t>
        </r>
      </text>
    </comment>
    <comment ref="B55" authorId="0">
      <text>
        <r>
          <rPr>
            <sz val="10"/>
            <rFont val="Arial"/>
            <family val="2"/>
          </rPr>
          <t xml:space="preserve">Mốc: 2 nhà máy mới vận hành đúng tiến độ/ngân sách + hợp đồng khung với ≥3 chuỗi F&amp;B/FMCG. Rủi ro còn lại tương đương giai đoạn Cuối tăng trưởng (20–30%, đề bài).</t>
        </r>
      </text>
    </comment>
    <comment ref="C11" authorId="0">
      <text>
        <r>
          <rPr>
            <sz val="10"/>
            <rFont val="Arial"/>
            <family val="2"/>
          </rPr>
          <t xml:space="preserve">Giả định thu hồi 50% giá trị sổ sách khi thanh lý (máy ép chuyên dụng, nhà xưởng thuê).</t>
        </r>
      </text>
    </comment>
    <comment ref="C12" authorId="0">
      <text>
        <r>
          <rPr>
            <sz val="10"/>
            <rFont val="Arial"/>
            <family val="2"/>
          </rPr>
          <t xml:space="preserve">Trung vị EV/EBITDA TTM của DHC, TDP, AAA, APH, HHP, TPC, MCP (FiinX, giá 28/9/2026).</t>
        </r>
      </text>
    </comment>
    <comment ref="C13" authorId="0">
      <text>
        <r>
          <rPr>
            <sz val="10"/>
            <rFont val="Arial"/>
            <family val="2"/>
          </rPr>
          <t xml:space="preserve">FiinX, ICB cấp 4 Containers &amp; Packaging, cột 2026: 7,99x.</t>
        </r>
      </text>
    </comment>
    <comment ref="C14" authorId="0">
      <text>
        <r>
          <rPr>
            <sz val="10"/>
            <rFont val="Arial"/>
            <family val="2"/>
          </rPr>
          <t xml:space="preserve">FiinX, ICB cấp 4 Containers &amp; Packaging, cột 2026: 9,43x.</t>
        </r>
      </text>
    </comment>
    <comment ref="F5" authorId="0">
      <text>
        <r>
          <rPr>
            <sz val="10"/>
            <rFont val="Arial"/>
            <family val="2"/>
          </rPr>
          <t xml:space="preserve">Trọng số 50/50: DCF phản ánh giá trị nội tại nếu DN tồn tại; VCM phản ánh góc nhìn NĐT có tính xác suất thất bại của giai đoạn Đầu tăng trưởng.</t>
        </r>
      </text>
    </comment>
  </commentList>
</comments>
</file>

<file path=xl/sharedStrings.xml><?xml version="1.0" encoding="utf-8"?>
<sst xmlns="http://schemas.openxmlformats.org/spreadsheetml/2006/main" count="1969" uniqueCount="1345">
  <si>
    <t xml:space="preserve">Three Statement Model</t>
  </si>
  <si>
    <t xml:space="preserve">Năm hiện tại</t>
  </si>
  <si>
    <t xml:space="preserve">LƯU Ý</t>
  </si>
  <si>
    <t xml:space="preserve">Model Legend</t>
  </si>
  <si>
    <t xml:space="preserve">Ô nhập liệu</t>
  </si>
  <si>
    <t xml:space="preserve">ABC</t>
  </si>
  <si>
    <t xml:space="preserve">Chỉ nhập dữ liệu vào những ô màu vàng này</t>
  </si>
  <si>
    <t xml:space="preserve">Tất cả các ô khác đã được nhập sẵn hàm hoặc là ô chứa dữ liệu cho trước. KHÔNG thay đổi những ô này!</t>
  </si>
  <si>
    <t xml:space="preserve">CẤU TRÚC FILE SAU KHI HOÀN THIỆN (Lộc)</t>
  </si>
  <si>
    <t xml:space="preserve">Drivers</t>
  </si>
  <si>
    <t xml:space="preserve">Mô hình động lực: sản lượng × giá theo 4 phân khúc, chi phí theo dòng, CAPEX/khấu hao, vốn lưu động, vay, thuế, kịch bản (ô chọn C3, C4).</t>
  </si>
  <si>
    <t xml:space="preserve">Assumption</t>
  </si>
  <si>
    <t xml:space="preserve">Tỷ lệ tổng hợp 2026E–2030E (liên kết từ Drivers) + g, RONIC.</t>
  </si>
  <si>
    <t xml:space="preserve">Pro Forma</t>
  </si>
  <si>
    <t xml:space="preserve">KQKD 5 năm, CAPEX, VLĐ, lưu chuyển tiền trước gọi vốn, nhu cầu vốn (B61:B63).</t>
  </si>
  <si>
    <t xml:space="preserve">IS / BS / CF</t>
  </si>
  <si>
    <t xml:space="preserve">Báo cáo tài chính đầy đủ 2023A–2030E; BCĐKT cân (hàng 80).</t>
  </si>
  <si>
    <t xml:space="preserve">Discount rate</t>
  </si>
  <si>
    <t xml:space="preserve">WACC: Rf, ERP Việt Nam, beta ngành → total beta, Kd, cơ cấu vốn mục tiêu.</t>
  </si>
  <si>
    <t xml:space="preserve">DCF / VCM</t>
  </si>
  <si>
    <t xml:space="preserve">Định giá theo 2 phương pháp + cầu nối EV → vốn CSH, giá trị thoái vốn 2030.</t>
  </si>
  <si>
    <t xml:space="preserve">Summary / Sensitivity</t>
  </si>
  <si>
    <t xml:space="preserve">Tổng hợp định giá, football field, kịch bản, cấu trúc gọi vốn 2 đợt; bảng độ nhạy tính lại toàn bộ mô hình.</t>
  </si>
  <si>
    <t xml:space="preserve">Checks / Chart_Data / Ghi chu</t>
  </si>
  <si>
    <t xml:space="preserve">Kiểm tra toàn vẹn; dữ liệu cho biểu đồ báo cáo; nguồn và các chỉnh sửa template.</t>
  </si>
  <si>
    <t xml:space="preserve">Các khoản đầu tư dự kiến 5 năm</t>
  </si>
  <si>
    <t xml:space="preserve">Đơn giá
(nghìn đồng)</t>
  </si>
  <si>
    <t xml:space="preserve">Số lượng</t>
  </si>
  <si>
    <t xml:space="preserve">Thành tiền</t>
  </si>
  <si>
    <t xml:space="preserve">Tháng</t>
  </si>
  <si>
    <t xml:space="preserve">Năm</t>
  </si>
  <si>
    <t xml:space="preserve">Thời gian sử dụng</t>
  </si>
  <si>
    <t xml:space="preserve">Giá trị còn lại </t>
  </si>
  <si>
    <t xml:space="preserve">Nhà máy sản xuất</t>
  </si>
  <si>
    <t xml:space="preserve">Thiết bị sản xuất</t>
  </si>
  <si>
    <t xml:space="preserve">Xe tải chở hàng</t>
  </si>
  <si>
    <t xml:space="preserve">Kho hàng</t>
  </si>
  <si>
    <t xml:space="preserve">Đầu tư mạnh tăng trưởng mở rộng KD</t>
  </si>
  <si>
    <t xml:space="preserve">CAPEX/Revenue = 60%</t>
  </si>
  <si>
    <t xml:space="preserve">Nâng cấp văn phòng</t>
  </si>
  <si>
    <t xml:space="preserve">Income Statement</t>
  </si>
  <si>
    <t xml:space="preserve">Đơn vị: Nghìn đồng</t>
  </si>
  <si>
    <t xml:space="preserve">Ngoài kỳ dự phóng 5 năm – không sử dụng</t>
  </si>
  <si>
    <t xml:space="preserve">Doanh thu bán hàng</t>
  </si>
  <si>
    <t xml:space="preserve">Doanh thu 1</t>
  </si>
  <si>
    <t xml:space="preserve">Doanh thu 2</t>
  </si>
  <si>
    <t xml:space="preserve">Doanh thu 3</t>
  </si>
  <si>
    <t xml:space="preserve">Doanh thu 4</t>
  </si>
  <si>
    <t xml:space="preserve">(-) Khoản giảm trừ </t>
  </si>
  <si>
    <t xml:space="preserve">Doanh thu thuần</t>
  </si>
  <si>
    <t xml:space="preserve">Giá vốn hàng bán</t>
  </si>
  <si>
    <t xml:space="preserve">Chi phí biến đổi</t>
  </si>
  <si>
    <t xml:space="preserve">Chi phí cố định</t>
  </si>
  <si>
    <t xml:space="preserve">Tổng Giá vốn hàng bán</t>
  </si>
  <si>
    <t xml:space="preserve">Lợi nhuận gộp</t>
  </si>
  <si>
    <t xml:space="preserve">Biên lợi nhuận gộp</t>
  </si>
  <si>
    <t xml:space="preserve">Chi phí</t>
  </si>
  <si>
    <t xml:space="preserve">Chi phí Bán hàng và quản lý doanh nghiệp</t>
  </si>
  <si>
    <t xml:space="preserve">Insurance</t>
  </si>
  <si>
    <t xml:space="preserve">Thuê mặt bằng</t>
  </si>
  <si>
    <t xml:space="preserve">Property Taxes</t>
  </si>
  <si>
    <t xml:space="preserve">Sửa chữa, bảo dưỡng</t>
  </si>
  <si>
    <t xml:space="preserve">Furniture &amp; Fixtures</t>
  </si>
  <si>
    <t xml:space="preserve">Chi phí dịch vụ chung (điện, nước...)</t>
  </si>
  <si>
    <t xml:space="preserve">Internet &amp; Communications </t>
  </si>
  <si>
    <t xml:space="preserve">Infrastructure Services</t>
  </si>
  <si>
    <t xml:space="preserve">Software</t>
  </si>
  <si>
    <t xml:space="preserve">Bank Service Charges</t>
  </si>
  <si>
    <t xml:space="preserve">Business Licenses and Permits</t>
  </si>
  <si>
    <t xml:space="preserve">Conferences, Dues, and Subscriptions</t>
  </si>
  <si>
    <t xml:space="preserve">Văn phòng phẩm</t>
  </si>
  <si>
    <t xml:space="preserve">Gifts</t>
  </si>
  <si>
    <t xml:space="preserve">Printing , Postage and Delivery</t>
  </si>
  <si>
    <t xml:space="preserve">Miscellaneous</t>
  </si>
  <si>
    <t xml:space="preserve">Recruiting Expense</t>
  </si>
  <si>
    <t xml:space="preserve">Hỗ trợ tiền ăn cho CNV</t>
  </si>
  <si>
    <t xml:space="preserve">Equipment Rental</t>
  </si>
  <si>
    <t xml:space="preserve">Other Tech Expense</t>
  </si>
  <si>
    <t xml:space="preserve">Professional Services (dùng cho: Kiểm nghiệm, chứng nhận &amp; R&amp;D vật liệu)</t>
  </si>
  <si>
    <t xml:space="preserve">Accounting Fees</t>
  </si>
  <si>
    <t xml:space="preserve">Legal Fees</t>
  </si>
  <si>
    <t xml:space="preserve">Consultant Fees</t>
  </si>
  <si>
    <t xml:space="preserve">Other Professional Services</t>
  </si>
  <si>
    <t xml:space="preserve">Marketing </t>
  </si>
  <si>
    <t xml:space="preserve">Public Relations</t>
  </si>
  <si>
    <t xml:space="preserve">Tổng Chi phí bán hàng và quản lý doanh nghiệp</t>
  </si>
  <si>
    <t xml:space="preserve">Tiền lương</t>
  </si>
  <si>
    <t xml:space="preserve">Tổng tiền lương</t>
  </si>
  <si>
    <t xml:space="preserve">Total Benefits</t>
  </si>
  <si>
    <t xml:space="preserve">Total Payroll Taxes</t>
  </si>
  <si>
    <t xml:space="preserve">Payroll Processing Fees</t>
  </si>
  <si>
    <t xml:space="preserve">Bonuses</t>
  </si>
  <si>
    <t xml:space="preserve">Commissions</t>
  </si>
  <si>
    <t xml:space="preserve">Tổng tiền lương và phụ cấp</t>
  </si>
  <si>
    <t xml:space="preserve">Tổng chi phí hoạt động</t>
  </si>
  <si>
    <t xml:space="preserve">Lợi nhuận trước thuế, lãi vay và khấu hao (EBITA)</t>
  </si>
  <si>
    <t xml:space="preserve">Thu/chi khác</t>
  </si>
  <si>
    <t xml:space="preserve">Interest Income</t>
  </si>
  <si>
    <t xml:space="preserve">Other Income</t>
  </si>
  <si>
    <t xml:space="preserve">Chi phí tài chính</t>
  </si>
  <si>
    <t xml:space="preserve">Bad Debt Expense</t>
  </si>
  <si>
    <t xml:space="preserve">Khấu hao</t>
  </si>
  <si>
    <t xml:space="preserve">Amortization</t>
  </si>
  <si>
    <t xml:space="preserve">Tổng chi phí tài chính và khấu hao</t>
  </si>
  <si>
    <t xml:space="preserve">Lợi nhuận trước thuế</t>
  </si>
  <si>
    <t xml:space="preserve">Thuế</t>
  </si>
  <si>
    <t xml:space="preserve">Thuế thu nhập doanh nghiệp</t>
  </si>
  <si>
    <t xml:space="preserve">Lợi nhuận sau thuế</t>
  </si>
  <si>
    <t xml:space="preserve">Balance Sheet</t>
  </si>
  <si>
    <t xml:space="preserve">Ngoài kỳ dự phóng – không sử dụng</t>
  </si>
  <si>
    <t xml:space="preserve">Tài sản ngắn hạn</t>
  </si>
  <si>
    <t xml:space="preserve">01/01/2023 (đầu kỳ)</t>
  </si>
  <si>
    <t xml:space="preserve">31/12/2023</t>
  </si>
  <si>
    <t xml:space="preserve">Tiền và các khoản tương đương tiền</t>
  </si>
  <si>
    <t xml:space="preserve">Tiền mặt</t>
  </si>
  <si>
    <t xml:space="preserve">Tổng tiền mặt</t>
  </si>
  <si>
    <t xml:space="preserve">Hàng tồn kho</t>
  </si>
  <si>
    <t xml:space="preserve">Tổng hàng tồn kho</t>
  </si>
  <si>
    <t xml:space="preserve">Khoản phải thu</t>
  </si>
  <si>
    <t xml:space="preserve">Phải thu khách hàng</t>
  </si>
  <si>
    <t xml:space="preserve">Tổng khoản phải thu</t>
  </si>
  <si>
    <t xml:space="preserve">Tài sản ngắn hạn khác</t>
  </si>
  <si>
    <t xml:space="preserve">Other Receivable</t>
  </si>
  <si>
    <t xml:space="preserve">Chi phí trả trước</t>
  </si>
  <si>
    <t xml:space="preserve">Prepaid Insurance</t>
  </si>
  <si>
    <t xml:space="preserve">-</t>
  </si>
  <si>
    <t xml:space="preserve">Unbilled Revenue</t>
  </si>
  <si>
    <t xml:space="preserve">Tổng tài sản ngắn hạn khác</t>
  </si>
  <si>
    <t xml:space="preserve">Tổng tài sản ngắn hạn</t>
  </si>
  <si>
    <t xml:space="preserve">Tài sản dài hạn</t>
  </si>
  <si>
    <t xml:space="preserve">Khấu khao</t>
  </si>
  <si>
    <t xml:space="preserve">Khấu hao lũy kế</t>
  </si>
  <si>
    <t xml:space="preserve">Accumulated Amortization</t>
  </si>
  <si>
    <t xml:space="preserve">Tài sản cố định vô hình</t>
  </si>
  <si>
    <t xml:space="preserve">Thiết bị, nhà xưởng</t>
  </si>
  <si>
    <t xml:space="preserve">Văn phòng</t>
  </si>
  <si>
    <t xml:space="preserve">Tổng tài sản dài hạn</t>
  </si>
  <si>
    <t xml:space="preserve">Tổng tài sản</t>
  </si>
  <si>
    <t xml:space="preserve">Nợ phải trả và Vốn chủ sở hữu</t>
  </si>
  <si>
    <t xml:space="preserve">Nợ ngắn hạn</t>
  </si>
  <si>
    <t xml:space="preserve">Khoản phải trả</t>
  </si>
  <si>
    <t xml:space="preserve">Phải trả người bán</t>
  </si>
  <si>
    <t xml:space="preserve">Tổng khoản khải trả</t>
  </si>
  <si>
    <t xml:space="preserve">Credit Cards</t>
  </si>
  <si>
    <t xml:space="preserve">Credit Card 1</t>
  </si>
  <si>
    <t xml:space="preserve">Credit Card 2</t>
  </si>
  <si>
    <t xml:space="preserve">Total Credit Cards Payable</t>
  </si>
  <si>
    <t xml:space="preserve">Nợ vay ngắn hạn</t>
  </si>
  <si>
    <t xml:space="preserve">Khoản vay 1</t>
  </si>
  <si>
    <t xml:space="preserve">Tổng nợ vay ngắn hạn</t>
  </si>
  <si>
    <t xml:space="preserve">Deferred Income/Advances from Customers</t>
  </si>
  <si>
    <t xml:space="preserve">Deferred Income - current</t>
  </si>
  <si>
    <t xml:space="preserve">Total Deferred Income</t>
  </si>
  <si>
    <t xml:space="preserve">Nợ phải trả ngắn hạn khác</t>
  </si>
  <si>
    <t xml:space="preserve">Accrued Expenses</t>
  </si>
  <si>
    <t xml:space="preserve">Accrued Income Taxes</t>
  </si>
  <si>
    <t xml:space="preserve">Tổng nợ phải trả ngắn hạn khác</t>
  </si>
  <si>
    <t xml:space="preserve">Tổng nợ ngắn hạn</t>
  </si>
  <si>
    <t xml:space="preserve">Nợ dài hạn</t>
  </si>
  <si>
    <t xml:space="preserve">Nợ vay dài hạn</t>
  </si>
  <si>
    <t xml:space="preserve">Deferred Income Taxes</t>
  </si>
  <si>
    <t xml:space="preserve">Nợ dài hạn khác</t>
  </si>
  <si>
    <t xml:space="preserve">Tổng nợ dài hạn</t>
  </si>
  <si>
    <t xml:space="preserve">Tổng nợ phải trả</t>
  </si>
  <si>
    <t xml:space="preserve">Vốn chủ sở hữu</t>
  </si>
  <si>
    <t xml:space="preserve">Paid-in Capital</t>
  </si>
  <si>
    <t xml:space="preserve">Vốn cổ phần</t>
  </si>
  <si>
    <t xml:space="preserve">Preferred Stock</t>
  </si>
  <si>
    <t xml:space="preserve">Vốn cổ phần tăng thêm</t>
  </si>
  <si>
    <t xml:space="preserve">Capital Raising Round B</t>
  </si>
  <si>
    <t xml:space="preserve">Capital Raising Round C</t>
  </si>
  <si>
    <t xml:space="preserve">Lợi nhuận giữ lại</t>
  </si>
  <si>
    <t xml:space="preserve">Tổng vốn chủ sở hữu</t>
  </si>
  <si>
    <t xml:space="preserve">Tổng Nợ phải trả và Vốn chủ sở hữu</t>
  </si>
  <si>
    <t xml:space="preserve">Kiểm tra: Tổng tài sản − Tổng nguồn vốn</t>
  </si>
  <si>
    <t xml:space="preserve">Statement of Cash Flows</t>
  </si>
  <si>
    <t xml:space="preserve">Hoạt động kinh doanh</t>
  </si>
  <si>
    <t xml:space="preserve">Biến động Tài sản ngắn hạn</t>
  </si>
  <si>
    <t xml:space="preserve">Biến động Nợ ngắn hạn</t>
  </si>
  <si>
    <t xml:space="preserve">Nợ ngắn hạn khác</t>
  </si>
  <si>
    <t xml:space="preserve">Lưu chuyển tiền thuần từ hoạt động kinh doanh</t>
  </si>
  <si>
    <t xml:space="preserve">Đầu tư</t>
  </si>
  <si>
    <t xml:space="preserve">Biến động Tài sản cố định</t>
  </si>
  <si>
    <t xml:space="preserve">Lưu chuyển tiền thuần từ hoạt động đầu tư</t>
  </si>
  <si>
    <t xml:space="preserve">Tài chính</t>
  </si>
  <si>
    <t xml:space="preserve">Nhận vốn góp cổ phần</t>
  </si>
  <si>
    <t xml:space="preserve">Vay (trả) nợ dài hạn</t>
  </si>
  <si>
    <t xml:space="preserve">Lưu chuyển tiền thuần từ hoạt động tài chính</t>
  </si>
  <si>
    <t xml:space="preserve">Số dư tiền mặt đầu kỳ</t>
  </si>
  <si>
    <t xml:space="preserve">Biến động tiền mặt trong kỳ</t>
  </si>
  <si>
    <t xml:space="preserve">Số dư tiền mặt cuối kỳ</t>
  </si>
  <si>
    <t xml:space="preserve">Discount rate calculation</t>
  </si>
  <si>
    <t xml:space="preserve">Beta</t>
  </si>
  <si>
    <t xml:space="preserve">Chi phí vốn CSH</t>
  </si>
  <si>
    <t xml:space="preserve">Risk-free rate</t>
  </si>
  <si>
    <t xml:space="preserve">Chi phí vốn nợ (sau thuế)</t>
  </si>
  <si>
    <t xml:space="preserve">Market return</t>
  </si>
  <si>
    <t xml:space="preserve">WACC</t>
  </si>
  <si>
    <t xml:space="preserve">Vốn CSH</t>
  </si>
  <si>
    <t xml:space="preserve">Total</t>
  </si>
  <si>
    <t xml:space="preserve">CƠ SỞ TÍNH CHI PHÍ VỐN (Lộc bổ sung – nguồn trong sheet Ghi chú)</t>
  </si>
  <si>
    <t xml:space="preserve">Lợi suất TPCP VN 10 năm (Rf)</t>
  </si>
  <si>
    <t xml:space="preserve">ERP thị trường phát triển</t>
  </si>
  <si>
    <t xml:space="preserve">Lãi suất vay trước thuế (Kd)</t>
  </si>
  <si>
    <t xml:space="preserve">Phần bù rủi ro quốc gia Việt Nam (CRP)</t>
  </si>
  <si>
    <t xml:space="preserve">ERP Việt Nam = ERP phát triển + CRP</t>
  </si>
  <si>
    <t xml:space="preserve">Beta không đòn bẩy ngành bao bì (βu)</t>
  </si>
  <si>
    <t xml:space="preserve">D/E mục tiêu (BCĐKT dự phóng 2027, sau huy động)</t>
  </si>
  <si>
    <t xml:space="preserve">Thuế suất</t>
  </si>
  <si>
    <t xml:space="preserve">Beta có đòn bẩy = βu × [1 + (1 − t) × D/E]</t>
  </si>
  <si>
    <t xml:space="preserve">Hệ số tương quan ρ (NĐT VC đa dạng hóa một phần)</t>
  </si>
  <si>
    <t xml:space="preserve">Beta điều chỉnh cho startup (total beta = β / ρ)</t>
  </si>
  <si>
    <t xml:space="preserve">Lợi suất thị trường kỳ vọng = Rf + ERP Việt Nam</t>
  </si>
  <si>
    <t xml:space="preserve">Ghi chú: Trọng số theo cơ cấu vốn mục tiêu (BCĐKT dự phóng cuối 2027, sau Series A và khoản vay trung hạn). CAPM với total beta phản ánh rủi ro phi hệ thống mà NĐT VC không đa dạng hóa hết; rủi ro thất bại được xử lý riêng ở VCM để tránh tính trùng.</t>
  </si>
  <si>
    <t xml:space="preserve">% Tăng trưởng doanh thu</t>
  </si>
  <si>
    <t xml:space="preserve">GVHB/Doanh thu</t>
  </si>
  <si>
    <t xml:space="preserve">Tổng CP hoạt động/Doanh thu</t>
  </si>
  <si>
    <t xml:space="preserve">CP Tài chính/Doanh thu</t>
  </si>
  <si>
    <t xml:space="preserve">TSNH (ngoài tiền)/Doanh thu</t>
  </si>
  <si>
    <t xml:space="preserve">Nợ ngắn hạn (ngoài vay)/Doanh thu</t>
  </si>
  <si>
    <t xml:space="preserve">Hàng tồn kho/TSNH ngoài tiền</t>
  </si>
  <si>
    <t xml:space="preserve">Khoản phải thu/TSNH ngoài tiền</t>
  </si>
  <si>
    <t xml:space="preserve">Khoản phải trả/Nợ NH ngoài vay</t>
  </si>
  <si>
    <t xml:space="preserve">CAPEX/Doanh thu</t>
  </si>
  <si>
    <t xml:space="preserve">Thuế suất thuế TNDN</t>
  </si>
  <si>
    <t xml:space="preserve">Tỷ lệ tăng trưởng vĩnh viễn</t>
  </si>
  <si>
    <t xml:space="preserve">Tỷ lệ khấu hao</t>
  </si>
  <si>
    <t xml:space="preserve">Tỷ lệ chiết khấu WACC</t>
  </si>
  <si>
    <t xml:space="preserve">ROIC trên vốn đầu tư mới sau 2030 (RONIC)</t>
  </si>
  <si>
    <t xml:space="preserve">Ghi chú (Lộc): các tỷ lệ 2026E–2030E là kết quả của mô hình động lực ở sheet Drivers (sản lượng × giá, chi phí theo dòng, số ngày VLĐ, lịch CAPEX/vay/thuế) để tránh giả định % doanh thu thiếu cơ sở.</t>
  </si>
  <si>
    <t xml:space="preserve">GIẢ ĐỊNH CHI TIẾT &amp; MÔ HÌNH ĐỘNG LỰC (DRIVERS) – AgriPack</t>
  </si>
  <si>
    <t xml:space="preserve">Đơn vị: nghìn đồng (trừ khi ghi khác). Ô vàng chữ xanh dương = giả định/số liệu nhập; chữ đen = công thức; chữ xanh lá = liên kết sheet khác. Lịch sử 2023A–2025A liên kết từ BCTC do đề bài cung cấp.</t>
  </si>
  <si>
    <t xml:space="preserve">Kịch bản đang chạy (1 = Bear, 2 = Base, 3 = Bull)</t>
  </si>
  <si>
    <t xml:space="preserve">Năm thực hiện khoản đầu tư lớn (CAPEX/Doanh thu = 65%)</t>
  </si>
  <si>
    <t xml:space="preserve">Đề bài ghi 2027; template khóa 65% ở cột 2028 → base case theo đề bài, 2028 là độ nhạy (xem Summary).</t>
  </si>
  <si>
    <t xml:space="preserve">Chỉ tiêu</t>
  </si>
  <si>
    <t xml:space="preserve">Đơn vị / cơ sở</t>
  </si>
  <si>
    <t xml:space="preserve">2023A</t>
  </si>
  <si>
    <t xml:space="preserve">2024A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</si>
  <si>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</si>
  <si>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</si>
  <si>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</si>
  <si>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</si>
  <si>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</si>
  <si>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</si>
  <si>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Nguồn / lập luận</t>
  </si>
  <si>
    <t xml:space="preserve">năm (dùng cho công thức)</t>
  </si>
  <si>
    <t xml:space="preserve">A. DOANH THU THEO PHÂN KHÚC (Sản lượng × Giá bán)</t>
  </si>
  <si>
    <t xml:space="preserve">A1. Bao bì F&amp;B/FMCG (hộp, khay ép khuôn từ bã mía + vỏ trứng)</t>
  </si>
  <si>
    <t xml:space="preserve">Giá bán bình quân (ASP)</t>
  </si>
  <si>
    <t xml:space="preserve">nghìn đ/sản phẩm</t>
  </si>
  <si>
    <t xml:space="preserve">2025: ~2.500đ/sp theo bảng chiến lược giá của nhóm (mục 1.2.2; tham chiếu hộp kraft/bã mía 1.700–3.700đ/sp, KPK Packaging).</t>
  </si>
  <si>
    <t xml:space="preserve">Tăng giá bán bình quân</t>
  </si>
  <si>
    <t xml:space="preserve">%/năm</t>
  </si>
  <si>
    <t xml:space="preserve">Kịch bản: Bear 0% / Base 2% / Bull 3% – thấp hơn CPI (~4%) do cạnh tranh với hàng nhập khẩu và bao bì nhựa giá rẻ.</t>
  </si>
  <si>
    <t xml:space="preserve">Sản lượng quy đổi</t>
  </si>
  <si>
    <t xml:space="preserve">sản phẩm</t>
  </si>
  <si>
    <t xml:space="preserve">Lịch sử = doanh thu / ASP 2025 (quy đổi, giả định giá không đổi 2023–25 – do BCTC không công bố sản lượng).</t>
  </si>
  <si>
    <t xml:space="preserve">Tăng trưởng sản lượng</t>
  </si>
  <si>
    <t xml:space="preserve">%</t>
  </si>
  <si>
    <t xml:space="preserve">Theo pha công suất: 2026 tăng nhờ máy mới (CAPEX 20%), năm xây nhà máy bị giới hạn công suất, năm sau đó tăng mạnh khi 2 nhà máy mới chạy.</t>
  </si>
  <si>
    <t xml:space="preserve">Doanh thu F&amp;B/FMCG</t>
  </si>
  <si>
    <t xml:space="preserve">nghìn đồng</t>
  </si>
  <si>
    <t xml:space="preserve">A2. Thiết kế &amp; sản xuất khuôn theo mẫu</t>
  </si>
  <si>
    <t xml:space="preserve">Giá bình quân/bộ khuôn</t>
  </si>
  <si>
    <t xml:space="preserve">nghìn đ/bộ</t>
  </si>
  <si>
    <t xml:space="preserve">~20 triệu đồng/bộ khuôn theo bảng giá của nhóm.</t>
  </si>
  <si>
    <t xml:space="preserve">Tăng giá</t>
  </si>
  <si>
    <t xml:space="preserve">Số bộ khuôn bàn giao</t>
  </si>
  <si>
    <t xml:space="preserve">bộ</t>
  </si>
  <si>
    <t xml:space="preserve">Tăng trưởng số bộ khuôn</t>
  </si>
  <si>
    <t xml:space="preserve">Gắn với số khách hàng/SKU mới; tăng nhanh năm 2028 khi mở rộng sang thị trường mới.</t>
  </si>
  <si>
    <t xml:space="preserve">Doanh thu thiết kế &amp; khuôn</t>
  </si>
  <si>
    <t xml:space="preserve">A3. Đệm bảo vệ nội thất / thương mại điện tử</t>
  </si>
  <si>
    <t xml:space="preserve">Giá bình quân</t>
  </si>
  <si>
    <t xml:space="preserve">nghìn đ/m²</t>
  </si>
  <si>
    <t xml:space="preserve">Trung điểm 15.000–30.000đ/m² (PE foam định hình tham chiếu, Mutxophabac).</t>
  </si>
  <si>
    <t xml:space="preserve">Diện tích quy đổi</t>
  </si>
  <si>
    <t xml:space="preserve">m²</t>
  </si>
  <si>
    <t xml:space="preserve">Tăng trưởng diện tích</t>
  </si>
  <si>
    <t xml:space="preserve">Bám theo tăng trưởng bưu kiện TMĐT (~20–25%/năm) cộng mở rộng khách hàng nội thất xuất khẩu.</t>
  </si>
  <si>
    <t xml:space="preserve">Doanh thu nội thất/TMĐT</t>
  </si>
  <si>
    <t xml:space="preserve">A4. Đệm bảo vệ thiết bị, linh kiện điện tử</t>
  </si>
  <si>
    <t xml:space="preserve">Trung điểm 25.000–55.000đ/m² (khay EPE, EPE chống tĩnh điện).</t>
  </si>
  <si>
    <t xml:space="preserve">Nền nhỏ (1,2 tỷ 2025); thay thế EPS/EPE cho khách hàng FDI điện tử cần chứng nhận chống tĩnh điện.</t>
  </si>
  <si>
    <t xml:space="preserve">Doanh thu điện tử</t>
  </si>
  <si>
    <t xml:space="preserve">Tổng doanh thu gộp</t>
  </si>
  <si>
    <t xml:space="preserve">Khoản giảm trừ / doanh thu gộp</t>
  </si>
  <si>
    <t xml:space="preserve">Giữ ở mức 2025 (0,70%).</t>
  </si>
  <si>
    <t xml:space="preserve">Tăng trưởng doanh thu thuần</t>
  </si>
  <si>
    <t xml:space="preserve">Tỷ trọng F&amp;B/FMCG trong doanh thu gộp</t>
  </si>
  <si>
    <t xml:space="preserve">A5. Kiểm tra công suất (vòng quay tài sản) &amp; thị phần ngầm định</t>
  </si>
  <si>
    <t xml:space="preserve">Nguyên giá TSCĐ bình quân</t>
  </si>
  <si>
    <t xml:space="preserve">Vòng quay nguyên giá TSCĐ (DT thuần / NG bình quân)</t>
  </si>
  <si>
    <t xml:space="preserve">lần</t>
  </si>
  <si>
    <t xml:space="preserve">Vòng quay 2025 = 1,66x. Nếu vòng quay dự phóng &lt; 2025 → còn công suất trống (không cần CAPEX lớn tiếp theo); nếu &gt;&gt; 2025 → dự báo vượt công suất.</t>
  </si>
  <si>
    <t xml:space="preserve">Tỷ giá USD/VND bình quân</t>
  </si>
  <si>
    <t xml:space="preserve">VND/USD</t>
  </si>
  <si>
    <t xml:space="preserve">Tỷ giá bình quân 2026 ước tính (VCB bán ra 26.170 ngày 29/9/2026); Giả định VND mất giá 2%/năm sau 2026 (MBS dự báo 26.800–27.000 cuối 2026)</t>
  </si>
  <si>
    <t xml:space="preserve">Doanh thu F&amp;B/FMCG quy USD</t>
  </si>
  <si>
    <t xml:space="preserve">triệu USD</t>
  </si>
  <si>
    <t xml:space="preserve">SAM: bao bì dùng một lần phân hủy sinh học ngành F&amp;B VN</t>
  </si>
  <si>
    <t xml:space="preserve">IMARC (2025): bao bì dùng một lần phân hủy sinh học cho ngành dịch vụ ăn uống VN, triệu USD; IMARC CAGR 2026–2034</t>
  </si>
  <si>
    <t xml:space="preserve">Thị phần ngầm định trong SAM</t>
  </si>
  <si>
    <t xml:space="preserve">Cờ đỏ nếu &gt; 15%: SAM của IMARC hẹp (chỉ đồ dùng một lần ngành dịch vụ ăn uống); cần luận điểm mở rộng thị trường (lộ trình dừng nhựa dùng một lần sau 2030, bao bì FMCG, xuất khẩu).</t>
  </si>
  <si>
    <t xml:space="preserve">TAM: thị trường bao bì xanh VN</t>
  </si>
  <si>
    <t xml:space="preserve">IMARC (2025): thị trường bao bì xanh VN, triệu USD (cần kiểm tra lại trang gốc); IMARC CAGR 2026–2034</t>
  </si>
  <si>
    <t xml:space="preserve">Thị phần ngầm định trong TAM (toàn bộ doanh thu)</t>
  </si>
  <si>
    <t xml:space="preserve">B. GIÁ VỐN &amp; CHI PHÍ HOẠT ĐỘNG</t>
  </si>
  <si>
    <t xml:space="preserve">Chi phí biến đổi (NVL, nhân công trực tiếp) / DT thuần</t>
  </si>
  <si>
    <t xml:space="preserve">2023–25: 25,5% → 25,0% → 24,5%. Dự phóng tăng nhẹ: bã mía bị cạnh tranh bởi lò hơi/đồng phát điện của nhà máy đường, bán kính thu mua rộng hơn; năm đầu nhà máy mới chạy thử tỷ lệ hao hụt cao.</t>
  </si>
  <si>
    <t xml:space="preserve">Chi phí cố định sản xuất</t>
  </si>
  <si>
    <t xml:space="preserve">Tăng chi phí cố định sản xuất (nền)</t>
  </si>
  <si>
    <t xml:space="preserve">Giữ mức tăng 10%/năm như 2024–2025.</t>
  </si>
  <si>
    <t xml:space="preserve">Chi phí cố định tăng thêm của nhà máy mới</t>
  </si>
  <si>
    <t xml:space="preserve">Bước nhảy chi phí cố định (QC lab, bảo trì, quản đốc) năm đầu 2 nhà máy mới vận hành.</t>
  </si>
  <si>
    <t xml:space="preserve">Tổng giá vốn hàng bán</t>
  </si>
  <si>
    <t xml:space="preserve">GVHB / DT thuần</t>
  </si>
  <si>
    <t xml:space="preserve">Lưu ý: biên gộp ~72% cao vì lương, thuê xưởng, điện, sửa chữa, khấu hao đang hạch toán ở chi phí hoạt động; biên gộp "đầy đủ" ~40% (xem Chart_Data).</t>
  </si>
  <si>
    <t xml:space="preserve">Chi phí nhân sự / DT thuần</t>
  </si>
  <si>
    <t xml:space="preserve">36,0% → 24,9% → 22,6%. Giảm chậm: lương tối thiểu vùng +7,2% từ 01/2026; nhà máy mới phải tuyển trước khi đạt công suất.</t>
  </si>
  <si>
    <t xml:space="preserve">Chi phí nhân sự (tiền lương)</t>
  </si>
  <si>
    <t xml:space="preserve">Hỗ trợ tiền ăn / tiền lương</t>
  </si>
  <si>
    <t xml:space="preserve">2025: 28,8%.</t>
  </si>
  <si>
    <t xml:space="preserve">Hỗ trợ tiền ăn CNV</t>
  </si>
  <si>
    <t xml:space="preserve">Tăng chi phí thuê mặt bằng</t>
  </si>
  <si>
    <t xml:space="preserve">Thuê tăng chậm hơn DT vì nhà máy mới là tài sản tự đầu tư; năm sau đầu tư lớn tăng mạnh do thuê đất KCN/kho vệ tinh.</t>
  </si>
  <si>
    <t xml:space="preserve">Sửa chữa, bảo dưỡng / DT</t>
  </si>
  <si>
    <t xml:space="preserve">Giữ ~mức 2025 (4,4%).</t>
  </si>
  <si>
    <t xml:space="preserve">Điện, nước, dịch vụ chung / DT</t>
  </si>
  <si>
    <t xml:space="preserve">Sấy/ép nhiệt tốn năng lượng; giá điện bán lẻ bình quân tăng 4,8% (10/2024) và 4,8% (5/2025) → nâng từ 4,7% lên 5,0% DT.</t>
  </si>
  <si>
    <t xml:space="preserve">Điện, nước, dịch vụ chung</t>
  </si>
  <si>
    <t xml:space="preserve">Marketing / DT</t>
  </si>
  <si>
    <t xml:space="preserve">Tăng nhẹ khi mở rộng ra miền Bắc/khách hàng FDI (hội chợ, mẫu thử, chứng nhận).</t>
  </si>
  <si>
    <t xml:space="preserve">Marketing</t>
  </si>
  <si>
    <t xml:space="preserve">Kiểm nghiệm, chứng nhận &amp; R&amp;D vật liệu / DT</t>
  </si>
  <si>
    <t xml:space="preserve">Dòng chi phí mới: kiểm nghiệm vật liệu tiếp xúc thực phẩm, chứng nhận phân hủy/compostable, cải tiến công thức chống thấm không PFAS.</t>
  </si>
  <si>
    <t xml:space="preserve">Kiểm nghiệm, chứng nhận &amp; R&amp;D</t>
  </si>
  <si>
    <t xml:space="preserve">Tổng chi phí hoạt động (không gồm khấu hao)</t>
  </si>
  <si>
    <t xml:space="preserve">Chi phí hoạt động / DT thuần</t>
  </si>
  <si>
    <t xml:space="preserve">EBITDA</t>
  </si>
  <si>
    <t xml:space="preserve">Biên EBITDA</t>
  </si>
  <si>
    <t xml:space="preserve">C. CAPEX, TÀI SẢN CỐ ĐỊNH &amp; KHẤU HAO</t>
  </si>
  <si>
    <t xml:space="preserve">CAPEX / DT thuần (tỷ lệ tái đầu tư)</t>
  </si>
  <si>
    <t xml:space="preserve">Năm đầu tư lớn = 65% (đề bài). Năm sau: 12% (hoàn thiện, chạy thử). Năm thường: theo hàng "Tỷ lệ CAPEX năm thường".</t>
  </si>
  <si>
    <t xml:space="preserve">Tỷ lệ CAPEX năm thường</t>
  </si>
  <si>
    <t xml:space="preserve">2026: 20% (giá trị mặc định của template; máy ép, xe tải, kho). Sau mở rộng: 10% ≈ bảo trì + nâng cấp (khấu hao ~9–10% DT).</t>
  </si>
  <si>
    <t xml:space="preserve">CAPEX</t>
  </si>
  <si>
    <t xml:space="preserve">Nguyên giá TSCĐ cuối kỳ</t>
  </si>
  <si>
    <t xml:space="preserve">Tỷ lệ khấu hao (% nguyên giá đầu kỳ)</t>
  </si>
  <si>
    <t xml:space="preserve">12% – do đề bài cho sẵn (Assumption!D17), khớp số liệu 2024–2025.</t>
  </si>
  <si>
    <t xml:space="preserve">Giá trị còn lại TSCĐ</t>
  </si>
  <si>
    <t xml:space="preserve">Khấu hao / DT</t>
  </si>
  <si>
    <t xml:space="preserve">D. VỐN LƯU ĐỘNG</t>
  </si>
  <si>
    <t xml:space="preserve">Số ngày tồn kho (DIO, theo GVHB)</t>
  </si>
  <si>
    <t xml:space="preserve">ngày</t>
  </si>
  <si>
    <t xml:space="preserve">2025: 106 ngày – cao do phải tích trữ bã mía theo vụ ép (khoảng tháng 11–4). Giữ ~100 ngày; năm 2028 tích trữ cho 2 nhà máy mới.</t>
  </si>
  <si>
    <t xml:space="preserve">Số ngày phải thu (DSO, theo DT)</t>
  </si>
  <si>
    <t xml:space="preserve">2025: 14 ngày – rất ngắn cho B2B (nhiều khách F&amp;B nhỏ trả ngay). Khi phục vụ chuỗi F&amp;B, FMCG, FDI điện tử, điều khoản 30–45 ngày → DSO tăng dần lên 30 ngày (thận trọng).</t>
  </si>
  <si>
    <t xml:space="preserve">TSNH khác (chi phí trả trước...) / DT</t>
  </si>
  <si>
    <t xml:space="preserve">2025: 4,4%.</t>
  </si>
  <si>
    <t xml:space="preserve">TSNH khác</t>
  </si>
  <si>
    <t xml:space="preserve">Số ngày phải trả (DPO, theo GVHB)</t>
  </si>
  <si>
    <t xml:space="preserve">2025: 7 ngày. Quy mô lớn hơn giúp đàm phán kỳ hạn 15 ngày với nhà máy đường/đơn vị thu gom.</t>
  </si>
  <si>
    <t xml:space="preserve">Nợ ngắn hạn khác (không phải vay) / DT</t>
  </si>
  <si>
    <t xml:space="preserve">Vốn lưu động hoạt động thuần</t>
  </si>
  <si>
    <t xml:space="preserve">Thay đổi vốn lưu động</t>
  </si>
  <si>
    <t xml:space="preserve">VLĐ hoạt động / DT</t>
  </si>
  <si>
    <t xml:space="preserve">E. TÀI TRỢ, TIỀN MẶT TỐI THIỂU &amp; THUẾ TNDN</t>
  </si>
  <si>
    <t xml:space="preserve">Tiền mặt tối thiểu (% DT)</t>
  </si>
  <si>
    <t xml:space="preserve">≈ 18 ngày chi phí tiền mặt – đệm cho vụ ép bã mía và kỳ thu tiền dài hơn.</t>
  </si>
  <si>
    <t xml:space="preserve">Tiền mặt tối thiểu</t>
  </si>
  <si>
    <t xml:space="preserve">Vay ngắn hạn</t>
  </si>
  <si>
    <t xml:space="preserve">Giữ nguyên số dư 2025.</t>
  </si>
  <si>
    <t xml:space="preserve">Nợ vay dài hạn hiện hữu</t>
  </si>
  <si>
    <t xml:space="preserve">Giả định đảo nợ, giữ nguyên 1,5 tỷ (không có thông tin kỳ hạn).</t>
  </si>
  <si>
    <t xml:space="preserve">Tỷ lệ CAPEX năm đầu tư lớn tài trợ bằng vay xanh/trung hạn</t>
  </si>
  <si>
    <t xml:space="preserve">Đề xuất cấu trúc vốn: 60% CAPEX nhà máy mới vay trung hạn/thuê tài chính có TSĐB (nhà xưởng, máy); nộp hồ sơ hỗ trợ lãi suất NATIF đợt sau; phần còn lại + VLĐ bằng vốn cổ phần.</t>
  </si>
  <si>
    <t xml:space="preserve">Vay trung hạn – giải ngân</t>
  </si>
  <si>
    <t xml:space="preserve">Vay trung hạn – trả gốc</t>
  </si>
  <si>
    <t xml:space="preserve">Kỳ hạn 7 năm, ân hạn gốc 2 năm, trả đều 5 năm.</t>
  </si>
  <si>
    <t xml:space="preserve">Dư nợ vay trung hạn cuối kỳ</t>
  </si>
  <si>
    <t xml:space="preserve">Tổng nợ vay dài hạn</t>
  </si>
  <si>
    <t xml:space="preserve">Lãi suất vay bình quân</t>
  </si>
  <si>
    <t xml:space="preserve">Chi phí lãi vay</t>
  </si>
  <si>
    <t xml:space="preserve">Lãi tính trên dư nợ bình quân (không vòng lặp vì dư nợ theo lịch vay).</t>
  </si>
  <si>
    <t xml:space="preserve">Chi phí tài chính / DT</t>
  </si>
  <si>
    <t xml:space="preserve">Vốn cổ phần huy động (Series A)</t>
  </si>
  <si>
    <t xml:space="preserve">Bằng nhu cầu vốn cổ phần tính ở Pro Forma!B63 (thiếu hụt tiền tối đa sau khi đã tính khoản vay + 10% dự phòng); giải ngân cuối 2026, trước khi xây nhà máy.</t>
  </si>
  <si>
    <t xml:space="preserve">Lỗ tính thuế chuyển sang – đầu kỳ</t>
  </si>
  <si>
    <t xml:space="preserve">Lỗ được bù trừ trong kỳ</t>
  </si>
  <si>
    <t xml:space="preserve">Lỗ tính thuế chuyển sang – cuối kỳ</t>
  </si>
  <si>
    <t xml:space="preserve">Giả định lỗ lũy kế chưa phân phối cuối 2025 (2,17 tỷ) là lỗ tính thuế còn trong thời hạn chuyển lỗ 5 năm – giải thích vì sao thuế TNDN 2025 = 0.</t>
  </si>
  <si>
    <t xml:space="preserve">Thuế suất TNDN áp dụng</t>
  </si>
  <si>
    <t xml:space="preserve">Luật Thuế TNDN 67/2025/QH15: 17% nếu tổng DT năm ≤ 50 tỷ (căn cứ DT năm trước), 20% phổ thông. 2026: DT 2025 = 47,5 tỷ → 17%; từ 2027: 20%. Không giả định ưu đãi khởi nghiệp sáng tạo (NQ 198/2025) vì chưa chứng minh đủ điều kiện.</t>
  </si>
  <si>
    <t xml:space="preserve">Lợi nhuận trước thuế (từ BCKQKD)</t>
  </si>
  <si>
    <t xml:space="preserve">Thuế TNDN</t>
  </si>
  <si>
    <t xml:space="preserve">Thuế suất hiệu dụng</t>
  </si>
  <si>
    <t xml:space="preserve">F. KỊCH BẢN (Bear / Base / Bull) &amp; THAM SỐ</t>
  </si>
  <si>
    <t xml:space="preserve">Tham số theo kịch bản</t>
  </si>
  <si>
    <t xml:space="preserve">Bear</t>
  </si>
  <si>
    <t xml:space="preserve">Base</t>
  </si>
  <si>
    <t xml:space="preserve">Bull</t>
  </si>
  <si>
    <t xml:space="preserve">Hệ số nhân tăng trưởng sản lượng (mọi phân khúc)</t>
  </si>
  <si>
    <t xml:space="preserve">Bear: nhu cầu yếu/đối thủ nhập khẩu giá rẻ; Bull: lộ trình dừng nhựa dùng một lần được thực thi sớm, ký hợp đồng khung với chuỗi F&amp;B.</t>
  </si>
  <si>
    <t xml:space="preserve">Tăng giá bán F&amp;B và khuôn (%/năm)</t>
  </si>
  <si>
    <t xml:space="preserve">Tăng giá đệm bảo vệ (%/năm)</t>
  </si>
  <si>
    <t xml:space="preserve">Chênh lệch chi phí biến đổi/DT so với Base (điểm %)</t>
  </si>
  <si>
    <t xml:space="preserve">Chênh lệch chi phí nhân sự/DT so với Base (điểm %)</t>
  </si>
  <si>
    <t xml:space="preserve">Đường giả định nền theo năm (Base)</t>
  </si>
  <si>
    <t xml:space="preserve">Tăng trưởng sản lượng F&amp;B – đầu tư lớn năm 2027</t>
  </si>
  <si>
    <t xml:space="preserve">Lịch sử +58% (2025). 2026: máy ép mới; 2027: công suất gần đầy trong lúc xây nhà máy; 2028: 2 nhà máy mới chạy; giảm dần về 18% năm 2030.</t>
  </si>
  <si>
    <t xml:space="preserve">Tăng trưởng sản lượng F&amp;B – đầu tư lớn năm 2028 (độ nhạy)</t>
  </si>
  <si>
    <t xml:space="preserve">Tăng trưởng diện tích đệm nội thất/TMĐT</t>
  </si>
  <si>
    <t xml:space="preserve">Tăng trưởng diện tích đệm điện tử</t>
  </si>
  <si>
    <t xml:space="preserve">Chi phí biến đổi/DT – Base</t>
  </si>
  <si>
    <t xml:space="preserve">+1,5 điểm % năm đầu chạy nhà máy mới (hao hụt, đào tạo); 2030 tăng lại 27% do giá bã mía tăng khi nhiều nhà máy bột giấy/bao bì sợi cạnh tranh nguyên liệu trước mốc dừng nhựa dùng một lần 2030.</t>
  </si>
  <si>
    <t xml:space="preserve">Chi phí nhân sự/DT – Base</t>
  </si>
  <si>
    <t xml:space="preserve">Tuyển trước cho nhà máy mới (2027–28), sau đó đòn bẩy hoạt động.</t>
  </si>
  <si>
    <t xml:space="preserve">Tham số đơn</t>
  </si>
  <si>
    <t xml:space="preserve">CAPEX/DT năm đầu tư lớn (đề bài)</t>
  </si>
  <si>
    <t xml:space="preserve">Đề bài: CAPEX/Doanh thu = 65% năm đầu tư lớn.</t>
  </si>
  <si>
    <t xml:space="preserve">CAPEX/DT năm sau đầu tư lớn</t>
  </si>
  <si>
    <t xml:space="preserve">Chi phí cố định sản xuất tăng thêm của 2 nhà máy mới (nghìn đồng)</t>
  </si>
  <si>
    <t xml:space="preserve">Tăng tiền thuê – năm thường</t>
  </si>
  <si>
    <t xml:space="preserve">Tăng tiền thuê – năm đầu tư lớn</t>
  </si>
  <si>
    <t xml:space="preserve">Tăng tiền thuê – năm sau đầu tư lớn</t>
  </si>
  <si>
    <t xml:space="preserve">Tăng tiền thuê – 2026</t>
  </si>
  <si>
    <t xml:space="preserve">Thuế suất TNDN cho DN có DT năm ≤ 50 tỷ (Luật 67/2025/QH15)</t>
  </si>
  <si>
    <t xml:space="preserve">Ngưỡng doanh thu áp dụng 17% (nghìn đồng)</t>
  </si>
  <si>
    <t xml:space="preserve">Báo cáo kết quả hoạt động kinh doanh (dự kiến) 5 năm</t>
  </si>
  <si>
    <t xml:space="preserve">Doanh thu</t>
  </si>
  <si>
    <t xml:space="preserve">Giá vốn hàng bán (GVHB)</t>
  </si>
  <si>
    <t xml:space="preserve">Tổng CP hoạt động</t>
  </si>
  <si>
    <t xml:space="preserve">Chi phí thuê cửa hàng</t>
  </si>
  <si>
    <t xml:space="preserve">Lợi nhuận trước thuế và lãi vay (EBIT)</t>
  </si>
  <si>
    <t xml:space="preserve">Tính toán chi tiết:</t>
  </si>
  <si>
    <t xml:space="preserve">Chi phí đầu tư tài sản cố định (CAPEX)</t>
  </si>
  <si>
    <t xml:space="preserve">Tổng tài sản dài hạn (ròng)</t>
  </si>
  <si>
    <t xml:space="preserve">Điều chỉnh Vốn lưu động ròng</t>
  </si>
  <si>
    <t xml:space="preserve">Tài sản ngắn hạn (ngoài tiền)</t>
  </si>
  <si>
    <t xml:space="preserve">       Hàng tồn kho</t>
  </si>
  <si>
    <t xml:space="preserve">       Khoản phải thu ngắn hạn</t>
  </si>
  <si>
    <t xml:space="preserve">Nợ ngắn hạn (ngoài vay)</t>
  </si>
  <si>
    <t xml:space="preserve">      Khoản phải trả ngắn hạn</t>
  </si>
  <si>
    <t xml:space="preserve">Vốn lưu động hoạt động ròng (TSNH ngoài tiền − Nợ NH ngoài vay)</t>
  </si>
  <si>
    <t xml:space="preserve">Biến động VLĐ ròng</t>
  </si>
  <si>
    <t xml:space="preserve">Xác định nhu cầu vốn</t>
  </si>
  <si>
    <t xml:space="preserve">Cash Flow Statment Pro-forma</t>
  </si>
  <si>
    <t xml:space="preserve">Biến động TSNH</t>
  </si>
  <si>
    <t xml:space="preserve">Biến động Nợ NH</t>
  </si>
  <si>
    <t xml:space="preserve">Lưu chuyển tiền thuần từ HĐKD</t>
  </si>
  <si>
    <t xml:space="preserve">Hoạt động đầu tư</t>
  </si>
  <si>
    <t xml:space="preserve">Lưu chuyển tiền thuần từ HĐ đầu tư</t>
  </si>
  <si>
    <t xml:space="preserve">Hoạt động tài chính</t>
  </si>
  <si>
    <t xml:space="preserve">Lưu chuyển tiền thuần từ HĐ tài chính (vay/trả nợ theo kế hoạch, chưa gồm vốn cổ phần)</t>
  </si>
  <si>
    <t xml:space="preserve">Thiếu hụt so với tiền mặt tối thiểu (trước khi gọi vốn cổ phần)</t>
  </si>
  <si>
    <t xml:space="preserve">Nhu cầu vốn</t>
  </si>
  <si>
    <t xml:space="preserve">(+) Dự phòng</t>
  </si>
  <si>
    <t xml:space="preserve">Tổng vốn cần huy động</t>
  </si>
  <si>
    <t xml:space="preserve">Ghi chú (Lộc): Nhu cầu vốn cổ phần = thiếu hụt tiền lớn nhất so với mức tiền tối thiểu (5% DT) sau khi đã tính khoản vay trung hạn tài trợ 50% CAPEX nhà máy mới; cộng 10% dự phòng theo template.</t>
  </si>
  <si>
    <t xml:space="preserve">Dòng tiền tự do (FCFF) của doanh nghiệp</t>
  </si>
  <si>
    <t xml:space="preserve">Lợi nhuận sau thuế trước lãi vay EBIT*(1-t)</t>
  </si>
  <si>
    <t xml:space="preserve">+ Khấu hao</t>
  </si>
  <si>
    <t xml:space="preserve">- Điều chỉnh VLĐ</t>
  </si>
  <si>
    <t xml:space="preserve">- CAPEX</t>
  </si>
  <si>
    <t xml:space="preserve">Dòng tiền tự do (FCFF)</t>
  </si>
  <si>
    <t xml:space="preserve">Giá trị cuối kỳ tại t=5 (FCFF 2031 chuẩn hóa: NOPAT × (1 − g/RONIC))</t>
  </si>
  <si>
    <t xml:space="preserve">Giá trị hiện tại của các dòng tiền (FCFF; năm 2030 gồm giá trị cuối kỳ)</t>
  </si>
  <si>
    <t xml:space="preserve">Giá trị doanh nghiệp</t>
  </si>
  <si>
    <t xml:space="preserve">Tỷ lệ nắm giữ</t>
  </si>
  <si>
    <t xml:space="preserve">Post-money value</t>
  </si>
  <si>
    <t xml:space="preserve">Pre-money value</t>
  </si>
  <si>
    <t xml:space="preserve">Pitch: Kêu gọi</t>
  </si>
  <si>
    <t xml:space="preserve">nghìn đồng tương ứng </t>
  </si>
  <si>
    <t xml:space="preserve">cổ phần.</t>
  </si>
  <si>
    <t xml:space="preserve">CẦU NỐI EV → VỐN CSH &amp; KIỂM TRA (Lộc bổ sung)</t>
  </si>
  <si>
    <t xml:space="preserve">PV dòng tiền tự do 2026–2030</t>
  </si>
  <si>
    <t xml:space="preserve">PV giá trị cuối kỳ</t>
  </si>
  <si>
    <t xml:space="preserve">Giá trị doanh nghiệp (EV)</t>
  </si>
  <si>
    <t xml:space="preserve">Tỷ trọng giá trị cuối kỳ / EV</t>
  </si>
  <si>
    <t xml:space="preserve">(+) Tiền mặt 31/12/2025</t>
  </si>
  <si>
    <t xml:space="preserve">(−) Nợ vay 31/12/2025</t>
  </si>
  <si>
    <t xml:space="preserve">Giá trị vốn CSH trước gọi vốn (pre-money)</t>
  </si>
  <si>
    <t xml:space="preserve">EV/EBITDA 2025A ngầm định</t>
  </si>
  <si>
    <t xml:space="preserve">EV/EBITDA 2026E ngầm định</t>
  </si>
  <si>
    <t xml:space="preserve">P/E 2026E ngầm định (pre-money)</t>
  </si>
  <si>
    <t xml:space="preserve">P/B 2025A ngầm định</t>
  </si>
  <si>
    <t xml:space="preserve">Tham khảo: giá trị cuối kỳ theo cách của template = H10/(WACC − g)</t>
  </si>
  <si>
    <t xml:space="preserve">ROIC 2030E = NOPAT / (TSCĐ ròng + VLĐ)</t>
  </si>
  <si>
    <t xml:space="preserve">Tỷ lệ tái đầu tư trong giá trị cuối kỳ = g / RONIC</t>
  </si>
  <si>
    <t xml:space="preserve">Kiểm tra: pre-money = B22</t>
  </si>
  <si>
    <t xml:space="preserve">The VC Method</t>
  </si>
  <si>
    <t xml:space="preserve">Tỷ lệ chiết khấu có điều chỉnh</t>
  </si>
  <si>
    <t xml:space="preserve">Số kỳ</t>
  </si>
  <si>
    <t xml:space="preserve">Tỷ lệ thất bại của VC</t>
  </si>
  <si>
    <t xml:space="preserve">Giá trị thoái vốn kỳ vọng</t>
  </si>
  <si>
    <t xml:space="preserve">Tỷ lệ chiết khấu (WACC)</t>
  </si>
  <si>
    <t xml:space="preserve">Tỷ lệ thất bại quy đổi theo năm = 1 − (1 − z)^(1/n)</t>
  </si>
  <si>
    <t xml:space="preserve">Post-money value </t>
  </si>
  <si>
    <t xml:space="preserve">Tỷ lệ sở hữu của NĐT mới</t>
  </si>
  <si>
    <t xml:space="preserve">Tỷ lệ sở hữu của Founder và NĐT cũ</t>
  </si>
  <si>
    <t xml:space="preserve">Tỷ lệ thất bại theo giai đoạn đầu tư VC (đề bài)</t>
  </si>
  <si>
    <t xml:space="preserve">Thấp</t>
  </si>
  <si>
    <t xml:space="preserve">Cao</t>
  </si>
  <si>
    <t xml:space="preserve">Trung điểm</t>
  </si>
  <si>
    <t xml:space="preserve">Ươm mầm</t>
  </si>
  <si>
    <t xml:space="preserve">Thử nghiệm</t>
  </si>
  <si>
    <t xml:space="preserve">Đầu tăng trưởng</t>
  </si>
  <si>
    <t xml:space="preserve">Cuối tăng trưởng</t>
  </si>
  <si>
    <t xml:space="preserve">Giai đoạn của AgriPack (kết luận mục 2)</t>
  </si>
  <si>
    <t xml:space="preserve">GIÁ TRỊ THOÁI VỐN CUỐI 2030 (Lộc bổ sung)</t>
  </si>
  <si>
    <t xml:space="preserve">LNST 2030E</t>
  </si>
  <si>
    <t xml:space="preserve">P/E thoát vốn</t>
  </si>
  <si>
    <t xml:space="preserve">Giá trị vốn CSH theo P/E</t>
  </si>
  <si>
    <t xml:space="preserve">EBITDA 2030E</t>
  </si>
  <si>
    <t xml:space="preserve">EV/EBITDA thoát vốn</t>
  </si>
  <si>
    <t xml:space="preserve">EV theo EV/EBITDA</t>
  </si>
  <si>
    <t xml:space="preserve">(+) Tiền mặt 2030E</t>
  </si>
  <si>
    <t xml:space="preserve">(−) Nợ vay 2030E</t>
  </si>
  <si>
    <t xml:space="preserve">Giá trị vốn CSH theo EV/EBITDA</t>
  </si>
  <si>
    <t xml:space="preserve">Đối chiếu: giá trị vốn CSH theo DCF tại 2030 (TV + tiền − nợ)</t>
  </si>
  <si>
    <t xml:space="preserve">Tham khảo: EV/EBITDA ngầm định của P/E thoát vốn</t>
  </si>
  <si>
    <t xml:space="preserve">Giá trị thoái vốn sử dụng (bình quân P/E và EV/EBITDA)</t>
  </si>
  <si>
    <t xml:space="preserve">IRR kỳ vọng của NĐT nếu thành công</t>
  </si>
  <si>
    <t xml:space="preserve">IRR kỳ vọng có tính xác suất thất bại (= WACC)</t>
  </si>
  <si>
    <t xml:space="preserve">Tham khảo – cách hiểu sai: dùng z như xác suất thất bại MỖI NĂM</t>
  </si>
  <si>
    <t xml:space="preserve">Post-money nếu dùng cách hiểu sai ở trên</t>
  </si>
  <si>
    <t xml:space="preserve">Ghi chú: z (đề bài) là xác suất thất bại tích lũy của giai đoạn đầu tư. Quy đổi về xác suất năm để điều chỉnh tỷ lệ chiết khấu: (1 + r_adj) = (1 + WACC)/(1 − p). Tương đương: Post-money = (1 − z) × Exit value / (1 + WACC)^n.</t>
  </si>
  <si>
    <t xml:space="preserve">TỔNG HỢP ĐỊNH GIÁ &amp; ĐỀ XUẤT GỌI VỐN – AgriPack</t>
  </si>
  <si>
    <t xml:space="preserve">Đơn vị: tỷ đồng (trừ tỷ lệ). Thời điểm định giá t0 = 01/01/2026 (theo khung mô hình: BCTC đến 31/12/2025, năm hiện tại 2026).</t>
  </si>
  <si>
    <t xml:space="preserve">Phương pháp</t>
  </si>
  <si>
    <t xml:space="preserve">Pre-money</t>
  </si>
  <si>
    <t xml:space="preserve">Vốn CP kêu gọi</t>
  </si>
  <si>
    <t xml:space="preserve">Post-money</t>
  </si>
  <si>
    <t xml:space="preserve">Tỷ lệ NĐT mới</t>
  </si>
  <si>
    <t xml:space="preserve">Trọng số</t>
  </si>
  <si>
    <t xml:space="preserve">Ghi chú</t>
  </si>
  <si>
    <t xml:space="preserve">DCF (FCFF, WACC, giá trị cuối kỳ chuẩn hóa)</t>
  </si>
  <si>
    <t xml:space="preserve">Giá trị nội tại khi DN hoạt động liên tục (chưa trừ rủi ro thất bại).</t>
  </si>
  <si>
    <t xml:space="preserve">VC Method (thoái vốn 2030, tỷ lệ thất bại 40%)</t>
  </si>
  <si>
    <t xml:space="preserve">Góc nhìn NĐT: giá trị thoái vốn × (1 − z), chiết khấu bằng WACC.</t>
  </si>
  <si>
    <t xml:space="preserve">Pre-money khuyến nghị (bình quân gia quyền)</t>
  </si>
  <si>
    <t xml:space="preserve">ĐỐI CHIẾU (không tham gia trọng số)</t>
  </si>
  <si>
    <t xml:space="preserve">DCF điều chỉnh xác suất sống sót = (1 − z) × DCF + z × giá trị thanh lý</t>
  </si>
  <si>
    <t xml:space="preserve">Giá trị thanh lý = tỷ lệ thu hồi × VCSH sổ sách 31/12/2025</t>
  </si>
  <si>
    <t xml:space="preserve">Bội số: EV/EBITDA 2026E × trung vị DN bao bì niêm yết thanh khoản</t>
  </si>
  <si>
    <t xml:space="preserve">Bội số: EV/EBITDA 2026E × bình quân ngành Containers &amp; Packaging (FiinX)</t>
  </si>
  <si>
    <t xml:space="preserve">Bội số: P/E 2026E × bình quân ngành (FiinX)</t>
  </si>
  <si>
    <t xml:space="preserve">KHOẢNG GIÁ TRỊ PRE-MONEY (football field)</t>
  </si>
  <si>
    <t xml:space="preserve">Cơ sở</t>
  </si>
  <si>
    <t xml:space="preserve">Cách xác định khoảng</t>
  </si>
  <si>
    <t xml:space="preserve">DCF</t>
  </si>
  <si>
    <t xml:space="preserve">WACC ±1 điểm %, g ±1 điểm %</t>
  </si>
  <si>
    <t xml:space="preserve">VC Method</t>
  </si>
  <si>
    <t xml:space="preserve">z 35–45%, giá trị thoái vốn ±15%</t>
  </si>
  <si>
    <t xml:space="preserve">Bội số EV/EBITDA 2026E (đối chiếu)</t>
  </si>
  <si>
    <t xml:space="preserve">5,7x – 8,0x</t>
  </si>
  <si>
    <t xml:space="preserve">Khuyến nghị (bình quân DCF/VCM)</t>
  </si>
  <si>
    <t xml:space="preserve">Bình quân cận dưới/cận trên</t>
  </si>
  <si>
    <t xml:space="preserve">ĐỀ XUẤT GỌI VỐN (PITCH)</t>
  </si>
  <si>
    <t xml:space="preserve">Vốn cổ phần Series A kêu gọi (tỷ đồng)</t>
  </si>
  <si>
    <t xml:space="preserve">Tỷ lệ cổ phần tương ứng (theo pre-money khuyến nghị)</t>
  </si>
  <si>
    <t xml:space="preserve">Vay trung hạn/thuê tài chính cho nhà máy mới (tỷ đồng)</t>
  </si>
  <si>
    <t xml:space="preserve">Tổng vốn huy động bên ngoài 2026–2027 (tỷ đồng)</t>
  </si>
  <si>
    <t xml:space="preserve">TỔNG HỢP KỊCH BẢN</t>
  </si>
  <si>
    <t xml:space="preserve">Cột B = kịch bản đang chạy (công thức sống). Cột C–F = kết quả chụp lại khi đổi ô chọn ở Drivers (giá trị tĩnh, cập nhật lại nếu đổi giả định).</t>
  </si>
  <si>
    <t xml:space="preserve">Bear (chụp)</t>
  </si>
  <si>
    <t xml:space="preserve">Bull (chụp)</t>
  </si>
  <si>
    <t xml:space="preserve">Đầu tư lớn 2028 (chụp)</t>
  </si>
  <si>
    <t xml:space="preserve">Chỉ vốn CP, không vay (chụp)</t>
  </si>
  <si>
    <t xml:space="preserve">Vay 75% CAPEX 2027 (chụp)</t>
  </si>
  <si>
    <t xml:space="preserve">Doanh thu thuần 2030E (tỷ)</t>
  </si>
  <si>
    <t xml:space="preserve">CAGR doanh thu 2025–2030</t>
  </si>
  <si>
    <t xml:space="preserve">Biên EBITDA 2030E</t>
  </si>
  <si>
    <t xml:space="preserve">LNST 2030E (tỷ)</t>
  </si>
  <si>
    <t xml:space="preserve">Tổng FCFF 2026–2030 (tỷ)</t>
  </si>
  <si>
    <t xml:space="preserve">Nhu cầu vốn cổ phần (tỷ)</t>
  </si>
  <si>
    <t xml:space="preserve">Vay trung hạn giải ngân (tỷ)</t>
  </si>
  <si>
    <t xml:space="preserve">DCF pre-money (tỷ)</t>
  </si>
  <si>
    <t xml:space="preserve">VCM pre-money (tỷ)</t>
  </si>
  <si>
    <t xml:space="preserve">Pre-money bình quân (tỷ)</t>
  </si>
  <si>
    <t xml:space="preserve">Tỷ lệ NĐT mới (theo pre-money bình quân)</t>
  </si>
  <si>
    <t xml:space="preserve">n.m.</t>
  </si>
  <si>
    <t xml:space="preserve">Tỷ lệ founder &amp; cổ đông hiện hữu sau vòng gọi vốn</t>
  </si>
  <si>
    <t xml:space="preserve">CẤU TRÚC KHUYẾN NGHỊ: SERIES A CHIA 2 ĐỢT THEO MỐC (staged financing)</t>
  </si>
  <si>
    <t xml:space="preserve">Tổng vốn cổ phần cần huy động (tỷ)</t>
  </si>
  <si>
    <t xml:space="preserve">Tỷ lệ giải ngân đợt 1 (t0)</t>
  </si>
  <si>
    <t xml:space="preserve">Đợt 1 (tỷ)</t>
  </si>
  <si>
    <t xml:space="preserve">Pre-money đợt 1 (= pre-money khuyến nghị, tỷ)</t>
  </si>
  <si>
    <t xml:space="preserve">Tỷ lệ NĐT sau đợt 1</t>
  </si>
  <si>
    <t xml:space="preserve">Đợt 2 (tỷ) – giải ngân cuối 2027 khi đạt mốc</t>
  </si>
  <si>
    <t xml:space="preserve">Tỷ lệ thất bại còn lại sau khi đạt mốc (z2)</t>
  </si>
  <si>
    <t xml:space="preserve">Số năm từ cuối 2027 đến thoái vốn cuối 2030</t>
  </si>
  <si>
    <t xml:space="preserve">Post-money tại thời điểm đợt 2 (tỷ) = Exit × (1 − z2)/(1 + WACC)^n</t>
  </si>
  <si>
    <t xml:space="preserve">Tỷ lệ NĐT nhận thêm ở đợt 2</t>
  </si>
  <si>
    <t xml:space="preserve">Tổng tỷ lệ NĐT sau 2 đợt</t>
  </si>
  <si>
    <t xml:space="preserve">Tỷ lệ founder &amp; cổ đông hiện hữu sau 2 đợt</t>
  </si>
  <si>
    <t xml:space="preserve">So với gọi 1 lần tại t0: tỷ lệ NĐT</t>
  </si>
  <si>
    <t xml:space="preserve">PHÂN TÍCH ĐỘ NHẠY (mỗi ô tính lại toàn bộ DCF/VCM)</t>
  </si>
  <si>
    <t xml:space="preserve">Đơn vị: tỷ đồng</t>
  </si>
  <si>
    <t xml:space="preserve">Bảng 1. DCF – giá trị vốn CSH pre-money: WACC (dòng) × g (cột)</t>
  </si>
  <si>
    <t xml:space="preserve">WACC \ g</t>
  </si>
  <si>
    <t xml:space="preserve">Kiểm tra ô trung tâm = DCF!B22</t>
  </si>
  <si>
    <t xml:space="preserve">Bảng 2. VC method – pre-money: tỷ lệ thất bại z (dòng) × thay đổi giá trị thoái vốn (cột)</t>
  </si>
  <si>
    <t xml:space="preserve">z \ Exit value</t>
  </si>
  <si>
    <t xml:space="preserve">Kiểm tra ô trung tâm = VCM!E11</t>
  </si>
  <si>
    <t xml:space="preserve">Bảng 3. DCF – pre-money: WACC (dòng) × RONIC (cột)</t>
  </si>
  <si>
    <t xml:space="preserve">WACC \ RONIC</t>
  </si>
  <si>
    <t xml:space="preserve">KIỂM TRA TÍNH TOÀN VẸN MÔ HÌNH</t>
  </si>
  <si>
    <t xml:space="preserve">Kiểm tra</t>
  </si>
  <si>
    <t xml:space="preserve">Trạng thái</t>
  </si>
  <si>
    <t xml:space="preserve">BCĐKT cân (Tài sản − Nguồn vốn)</t>
  </si>
  <si>
    <t xml:space="preserve">Tiền cuối kỳ LCTT − Tiền BCĐKT</t>
  </si>
  <si>
    <t xml:space="preserve">LNST BCKQKD − LNST trên LCTT</t>
  </si>
  <si>
    <t xml:space="preserve">Doanh thu Pro Forma − BCKQKD</t>
  </si>
  <si>
    <t xml:space="preserve">LNST Pro Forma − BCKQKD</t>
  </si>
  <si>
    <t xml:space="preserve">VLĐ Pro Forma − Drivers</t>
  </si>
  <si>
    <t xml:space="preserve">Khấu hao Pro Forma − BCKQKD</t>
  </si>
  <si>
    <t xml:space="preserve">CAPEX Drivers + dòng tiền đầu tư</t>
  </si>
  <si>
    <t xml:space="preserve">Tiền mặt sau gọi vốn − tiền tối thiểu (≥ 0)</t>
  </si>
  <si>
    <t xml:space="preserve">CAPEX/DT năm đầu tư lớn = 65%</t>
  </si>
  <si>
    <t xml:space="preserve">Ô trung tâm bảng độ nhạy = kết quả DCF/VCM</t>
  </si>
  <si>
    <t xml:space="preserve">g &lt; WACC</t>
  </si>
  <si>
    <t xml:space="preserve">TỔNG HỢP</t>
  </si>
  <si>
    <t xml:space="preserve">CHART_DATA – dữ liệu của toàn bộ Fig. trong báo cáo HTML (đánh số theo báo cáo)</t>
  </si>
  <si>
    <t xml:space="preserve">Mỗi block bắt đầu bằng mã Fig_xx (trùng số Fig. trong báo cáo). Số liệu mô hình = công thức liên kết (chữ xanh lá/đen); số liệu bên ngoài = ô nhập (chữ xanh dương, nền vàng) kèm nguồn ngay dưới block. Đơn vị: tỷ đồng trừ khi ghi khác.</t>
  </si>
  <si>
    <t xml:space="preserve">Fig.</t>
  </si>
  <si>
    <t xml:space="preserve">Tiêu đề</t>
  </si>
  <si>
    <t xml:space="preserve">Vùng dữ liệu</t>
  </si>
  <si>
    <t xml:space="preserve">Sheet nguồn</t>
  </si>
  <si>
    <t xml:space="preserve">Mục báo cáo</t>
  </si>
  <si>
    <t xml:space="preserve">Fig_01</t>
  </si>
  <si>
    <t xml:space="preserve">Doanh thu thuần và biên EBITDA 2023A–2030E</t>
  </si>
  <si>
    <t xml:space="preserve">A65:I70</t>
  </si>
  <si>
    <t xml:space="preserve">Tóm tắt</t>
  </si>
  <si>
    <t xml:space="preserve">Fig_02</t>
  </si>
  <si>
    <t xml:space="preserve">Khoảng giá trị pre-money (football field)</t>
  </si>
  <si>
    <t xml:space="preserve">A72:D79</t>
  </si>
  <si>
    <t xml:space="preserve">Summary</t>
  </si>
  <si>
    <t xml:space="preserve">Fig_03</t>
  </si>
  <si>
    <t xml:space="preserve">Các mốc cần theo dõi 2026–2030</t>
  </si>
  <si>
    <t xml:space="preserve">—</t>
  </si>
  <si>
    <t xml:space="preserve">Bảng văn bản: nguồn ghi dưới bảng trong báo cáo</t>
  </si>
  <si>
    <t xml:space="preserve">Fig_04</t>
  </si>
  <si>
    <t xml:space="preserve">Tóm tắt tài chính 2023A–2030E</t>
  </si>
  <si>
    <t xml:space="preserve">A81:I93</t>
  </si>
  <si>
    <t xml:space="preserve">Drivers, IS, CF, DCF, BS</t>
  </si>
  <si>
    <t xml:space="preserve">Fig_05</t>
  </si>
  <si>
    <t xml:space="preserve">Doanh thu theo phân khúc</t>
  </si>
  <si>
    <t xml:space="preserve">A95:I102</t>
  </si>
  <si>
    <t xml:space="preserve">Mục 1</t>
  </si>
  <si>
    <t xml:space="preserve">Fig_06</t>
  </si>
  <si>
    <t xml:space="preserve">Chuỗi giá trị và kinh tế đơn vị hộp F&amp;B</t>
  </si>
  <si>
    <t xml:space="preserve">A112:C120</t>
  </si>
  <si>
    <t xml:space="preserve">Fig_07</t>
  </si>
  <si>
    <t xml:space="preserve">Giá bán so với sản phẩm thay thế</t>
  </si>
  <si>
    <t xml:space="preserve">A104:E110</t>
  </si>
  <si>
    <t xml:space="preserve">External + Drivers</t>
  </si>
  <si>
    <t xml:space="preserve">Fig_08</t>
  </si>
  <si>
    <t xml:space="preserve">Thị trường mục tiêu: TAM – SAM – SOM</t>
  </si>
  <si>
    <t xml:space="preserve">A122:C128</t>
  </si>
  <si>
    <t xml:space="preserve">Fig_09</t>
  </si>
  <si>
    <t xml:space="preserve">Khách hàng mục tiêu và nhu cầu</t>
  </si>
  <si>
    <t xml:space="preserve">Fig_10</t>
  </si>
  <si>
    <t xml:space="preserve">SWOT của AgriPack</t>
  </si>
  <si>
    <t xml:space="preserve">Fig_11</t>
  </si>
  <si>
    <t xml:space="preserve">Chi phí / doanh thu thuần 2023A và 2025A</t>
  </si>
  <si>
    <t xml:space="preserve">A130:D137</t>
  </si>
  <si>
    <t xml:space="preserve">Mục 2</t>
  </si>
  <si>
    <t xml:space="preserve">Fig_12</t>
  </si>
  <si>
    <t xml:space="preserve">Biên gộp "đầy đủ" 2025A</t>
  </si>
  <si>
    <t xml:space="preserve">A139:C148</t>
  </si>
  <si>
    <t xml:space="preserve">Fig_13</t>
  </si>
  <si>
    <t xml:space="preserve">Dòng tiền 2023A–2025A</t>
  </si>
  <si>
    <t xml:space="preserve">A150:D157</t>
  </si>
  <si>
    <t xml:space="preserve">Cash Flow Statement</t>
  </si>
  <si>
    <t xml:space="preserve">Fig_14</t>
  </si>
  <si>
    <t xml:space="preserve">Chỉ số tài chính 2023A–2025A</t>
  </si>
  <si>
    <t xml:space="preserve">A159:D177</t>
  </si>
  <si>
    <t xml:space="preserve">IS, BS, Drivers</t>
  </si>
  <si>
    <t xml:space="preserve">Fig_15</t>
  </si>
  <si>
    <t xml:space="preserve">Tỷ lệ thất bại theo giai đoạn đầu tư VC</t>
  </si>
  <si>
    <t xml:space="preserve">A179:D186</t>
  </si>
  <si>
    <t xml:space="preserve">VCM</t>
  </si>
  <si>
    <t xml:space="preserve">Fig_16</t>
  </si>
  <si>
    <t xml:space="preserve">Bảng xác định giai đoạn</t>
  </si>
  <si>
    <t xml:space="preserve">A188:C200</t>
  </si>
  <si>
    <t xml:space="preserve">IS, BS, CF, Drivers</t>
  </si>
  <si>
    <t xml:space="preserve">Fig_17</t>
  </si>
  <si>
    <t xml:space="preserve">Tăng trưởng GDP và lạm phát CPI</t>
  </si>
  <si>
    <t xml:space="preserve">A202:J207</t>
  </si>
  <si>
    <t xml:space="preserve">External</t>
  </si>
  <si>
    <t xml:space="preserve">Mục 3.1</t>
  </si>
  <si>
    <t xml:space="preserve">Fig_18</t>
  </si>
  <si>
    <t xml:space="preserve">Lương tối thiểu, giá điện và CPI</t>
  </si>
  <si>
    <t xml:space="preserve">A209:E215</t>
  </si>
  <si>
    <t xml:space="preserve">Fig_19</t>
  </si>
  <si>
    <t xml:space="preserve">Lãi suất cho vay trung–dài hạn và huy động</t>
  </si>
  <si>
    <t xml:space="preserve">A217:F224</t>
  </si>
  <si>
    <t xml:space="preserve">Fig_20</t>
  </si>
  <si>
    <t xml:space="preserve">Tỷ giá USD/VND và CNY/VND (chỉ số)</t>
  </si>
  <si>
    <t xml:space="preserve">A226:F232</t>
  </si>
  <si>
    <t xml:space="preserve">Fig_21</t>
  </si>
  <si>
    <t xml:space="preserve">Vốn đầu tư mạo hiểm vào Việt Nam</t>
  </si>
  <si>
    <t xml:space="preserve">A234:F238</t>
  </si>
  <si>
    <t xml:space="preserve">Fig_22</t>
  </si>
  <si>
    <t xml:space="preserve">Lộ trình pháp lý liên quan</t>
  </si>
  <si>
    <t xml:space="preserve">Fig_23</t>
  </si>
  <si>
    <t xml:space="preserve">Quy mô thị trường và thị phần SAM ngầm định</t>
  </si>
  <si>
    <t xml:space="preserve">A240:H247</t>
  </si>
  <si>
    <t xml:space="preserve">Mục 3.2</t>
  </si>
  <si>
    <t xml:space="preserve">Fig_24</t>
  </si>
  <si>
    <t xml:space="preserve">Chỉ báo cầu của khách hàng mục tiêu</t>
  </si>
  <si>
    <t xml:space="preserve">A249:C258</t>
  </si>
  <si>
    <t xml:space="preserve">Fig_25</t>
  </si>
  <si>
    <t xml:space="preserve">Biên EBITDA so với DN bao bì niêm yết</t>
  </si>
  <si>
    <t xml:space="preserve">A260:F274</t>
  </si>
  <si>
    <t xml:space="preserve">External + IS</t>
  </si>
  <si>
    <t xml:space="preserve">Fig_26</t>
  </si>
  <si>
    <t xml:space="preserve">Nhóm đối thủ và năm lực lượng cạnh tranh</t>
  </si>
  <si>
    <t xml:space="preserve">Fig_27</t>
  </si>
  <si>
    <t xml:space="preserve">Cầu nối vĩ mô → ngành → giả định mô hình</t>
  </si>
  <si>
    <t xml:space="preserve">Mục 3.3</t>
  </si>
  <si>
    <t xml:space="preserve">Fig_28</t>
  </si>
  <si>
    <t xml:space="preserve">Doanh thu dự phóng theo phân khúc</t>
  </si>
  <si>
    <t xml:space="preserve">A276:G283</t>
  </si>
  <si>
    <t xml:space="preserve">Mục 4</t>
  </si>
  <si>
    <t xml:space="preserve">Fig_29</t>
  </si>
  <si>
    <t xml:space="preserve">Giả định sản lượng và giá bán</t>
  </si>
  <si>
    <t xml:space="preserve">A285:F297</t>
  </si>
  <si>
    <t xml:space="preserve">Fig_30</t>
  </si>
  <si>
    <t xml:space="preserve">Biên lợi nhuận dự phóng</t>
  </si>
  <si>
    <t xml:space="preserve">A299:I305</t>
  </si>
  <si>
    <t xml:space="preserve">Fig_31</t>
  </si>
  <si>
    <t xml:space="preserve">Cơ cấu chi phí / doanh thu 2025A và 2030E</t>
  </si>
  <si>
    <t xml:space="preserve">A307:C319</t>
  </si>
  <si>
    <t xml:space="preserve">Fig_32</t>
  </si>
  <si>
    <t xml:space="preserve">Số ngày vốn lưu động</t>
  </si>
  <si>
    <t xml:space="preserve">A321:I328</t>
  </si>
  <si>
    <t xml:space="preserve">Fig_33</t>
  </si>
  <si>
    <t xml:space="preserve">Dự phóng kết quả kinh doanh 2025A–2030E</t>
  </si>
  <si>
    <t xml:space="preserve">A330:G346</t>
  </si>
  <si>
    <t xml:space="preserve">Fig_34</t>
  </si>
  <si>
    <t xml:space="preserve">CAPEX và FCFF</t>
  </si>
  <si>
    <t xml:space="preserve">A348:G355</t>
  </si>
  <si>
    <t xml:space="preserve">DCF, Drivers</t>
  </si>
  <si>
    <t xml:space="preserve">Fig_35</t>
  </si>
  <si>
    <t xml:space="preserve">ROIC so với WACC và vòng quay TSCĐ</t>
  </si>
  <si>
    <t xml:space="preserve">A357:G362</t>
  </si>
  <si>
    <t xml:space="preserve">Drivers, DCF</t>
  </si>
  <si>
    <t xml:space="preserve">Fig_36</t>
  </si>
  <si>
    <t xml:space="preserve">Tiền mặt trước/sau gọi vốn</t>
  </si>
  <si>
    <t xml:space="preserve">A364:F372</t>
  </si>
  <si>
    <t xml:space="preserve">Fig_37</t>
  </si>
  <si>
    <t xml:space="preserve">Chỉ tiêu BCĐKT và LCTT dự phóng</t>
  </si>
  <si>
    <t xml:space="preserve">A374:G388</t>
  </si>
  <si>
    <t xml:space="preserve">BS, CF</t>
  </si>
  <si>
    <t xml:space="preserve">Fig_38</t>
  </si>
  <si>
    <t xml:space="preserve">Chi phí vốn (WACC)</t>
  </si>
  <si>
    <t xml:space="preserve">A390:C406</t>
  </si>
  <si>
    <t xml:space="preserve">Mục 5</t>
  </si>
  <si>
    <t xml:space="preserve">Fig_39</t>
  </si>
  <si>
    <t xml:space="preserve">Cầu nối DCF</t>
  </si>
  <si>
    <t xml:space="preserve">A408:B420</t>
  </si>
  <si>
    <t xml:space="preserve">Fig_40</t>
  </si>
  <si>
    <t xml:space="preserve">Bảng tính DCF (FCFF và giá trị hiện tại)</t>
  </si>
  <si>
    <t xml:space="preserve">A431:G440</t>
  </si>
  <si>
    <t xml:space="preserve">Fig_41</t>
  </si>
  <si>
    <t xml:space="preserve">Độ nhạy DCF: WACC × g</t>
  </si>
  <si>
    <t xml:space="preserve">A422:F429</t>
  </si>
  <si>
    <t xml:space="preserve">Sensitivity</t>
  </si>
  <si>
    <t xml:space="preserve">Fig_42</t>
  </si>
  <si>
    <t xml:space="preserve">VC Method: các bước tính</t>
  </si>
  <si>
    <t xml:space="preserve">A442:C461</t>
  </si>
  <si>
    <t xml:space="preserve">Fig_43</t>
  </si>
  <si>
    <t xml:space="preserve">So sánh kết quả định giá</t>
  </si>
  <si>
    <t xml:space="preserve">A463:B474</t>
  </si>
  <si>
    <t xml:space="preserve">Fig_44</t>
  </si>
  <si>
    <t xml:space="preserve">Kết quả theo kịch bản</t>
  </si>
  <si>
    <t xml:space="preserve">A476:G491</t>
  </si>
  <si>
    <t xml:space="preserve">Fig_45</t>
  </si>
  <si>
    <t xml:space="preserve">Nguồn và sử dụng vốn 2026E–2028E</t>
  </si>
  <si>
    <t xml:space="preserve">A493:B502</t>
  </si>
  <si>
    <t xml:space="preserve">CF, BS</t>
  </si>
  <si>
    <t xml:space="preserve">Mục 6</t>
  </si>
  <si>
    <t xml:space="preserve">Fig_46</t>
  </si>
  <si>
    <t xml:space="preserve">So sánh các nguồn vốn</t>
  </si>
  <si>
    <t xml:space="preserve">Fig_47</t>
  </si>
  <si>
    <t xml:space="preserve">Cơ cấu sở hữu sau Series A</t>
  </si>
  <si>
    <t xml:space="preserve">A504:C512</t>
  </si>
  <si>
    <t xml:space="preserve">Fig_48</t>
  </si>
  <si>
    <t xml:space="preserve">Series A chia hai đợt</t>
  </si>
  <si>
    <t xml:space="preserve">A514:B527</t>
  </si>
  <si>
    <t xml:space="preserve">Fig_49</t>
  </si>
  <si>
    <t xml:space="preserve">Khả năng trả nợ 2026E–2030E</t>
  </si>
  <si>
    <t xml:space="preserve">A529:F538</t>
  </si>
  <si>
    <t xml:space="preserve">Drivers, IS</t>
  </si>
  <si>
    <t xml:space="preserve">Fig_50</t>
  </si>
  <si>
    <t xml:space="preserve">Lợi suất của nhà đầu tư: gọi một lần và chia hai đợt</t>
  </si>
  <si>
    <t xml:space="preserve">A540:G554</t>
  </si>
  <si>
    <t xml:space="preserve">Summary, VCM</t>
  </si>
  <si>
    <t xml:space="preserve">Fig_51</t>
  </si>
  <si>
    <t xml:space="preserve">Tác động định lượng của các rủi ro lên giá trị</t>
  </si>
  <si>
    <t xml:space="preserve">A556:D566</t>
  </si>
  <si>
    <t xml:space="preserve">Summary, Sensitivity</t>
  </si>
  <si>
    <t xml:space="preserve">Rủi ro</t>
  </si>
  <si>
    <t xml:space="preserve">Fig_52</t>
  </si>
  <si>
    <t xml:space="preserve">Rủi ro chính, cơ chế tác động và chỉ báo theo dõi</t>
  </si>
  <si>
    <t xml:space="preserve">Fig_53</t>
  </si>
  <si>
    <t xml:space="preserve">Định giá khi chưa có doanh thu</t>
  </si>
  <si>
    <t xml:space="preserve">A568:D573</t>
  </si>
  <si>
    <t xml:space="preserve">Bonus</t>
  </si>
  <si>
    <t xml:space="preserve">Fig_A01</t>
  </si>
  <si>
    <t xml:space="preserve">Báo cáo kết quả kinh doanh 2023A–2030E</t>
  </si>
  <si>
    <t xml:space="preserve">A575:I594</t>
  </si>
  <si>
    <t xml:space="preserve">Phụ lục</t>
  </si>
  <si>
    <t xml:space="preserve">Fig_A02</t>
  </si>
  <si>
    <t xml:space="preserve">Bảng cân đối kế toán 2023A–2030E</t>
  </si>
  <si>
    <t xml:space="preserve">A596:I616</t>
  </si>
  <si>
    <t xml:space="preserve">Fig_A03</t>
  </si>
  <si>
    <t xml:space="preserve">Báo cáo lưu chuyển tiền tệ 2023A–2030E</t>
  </si>
  <si>
    <t xml:space="preserve">A618:I630</t>
  </si>
  <si>
    <t xml:space="preserve">Fig_A04</t>
  </si>
  <si>
    <t xml:space="preserve">Giả định dự phóng chính</t>
  </si>
  <si>
    <t xml:space="preserve">A632:F650</t>
  </si>
  <si>
    <t xml:space="preserve">Fig_A05</t>
  </si>
  <si>
    <t xml:space="preserve">Độ nhạy VC Method và DCF (RONIC)</t>
  </si>
  <si>
    <t xml:space="preserve">A652:F666</t>
  </si>
  <si>
    <t xml:space="preserve">Fig_01 | Doanh thu thuần và biên EBITDA 2023A–2030E</t>
  </si>
  <si>
    <t xml:space="preserve">Doanh thu thuần (tỷ đồng)</t>
  </si>
  <si>
    <t xml:space="preserve">Tăng trưởng doanh thu</t>
  </si>
  <si>
    <t xml:space="preserve">Nguồn: BCTC 2023–2025 do đề bài cung cấp; dự phóng của nhóm (sheet Drivers)</t>
  </si>
  <si>
    <t xml:space="preserve">Fig_02 | Khoảng giá trị pre-money (football field)</t>
  </si>
  <si>
    <t xml:space="preserve">DCF (WACC ±1 điểm %, g ±1 điểm %)</t>
  </si>
  <si>
    <t xml:space="preserve">VC Method (z 35–45%, giá trị thoái vốn ±15%)</t>
  </si>
  <si>
    <t xml:space="preserve">Bội số EV/EBITDA 2026E (5,7x–8,0x)</t>
  </si>
  <si>
    <t xml:space="preserve">Khuyến nghị (bình quân DCF và VCM)</t>
  </si>
  <si>
    <t xml:space="preserve">Vốn cổ phần cần huy động</t>
  </si>
  <si>
    <t xml:space="preserve">Nguồn: Mô hình (Summary, Sensitivity)</t>
  </si>
  <si>
    <t xml:space="preserve">Fig_04 | Tóm tắt tài chính 2023A–2030E</t>
  </si>
  <si>
    <t xml:space="preserve">Tăng trưởng</t>
  </si>
  <si>
    <t xml:space="preserve">LNST</t>
  </si>
  <si>
    <t xml:space="preserve">FCF (2023–25A: CFO − CAPEX) / FCFF (2026–30E)</t>
  </si>
  <si>
    <t xml:space="preserve">CAPEX / doanh thu</t>
  </si>
  <si>
    <t xml:space="preserve">ROIC = NOPAT / (TSCĐ ròng + VLĐ)</t>
  </si>
  <si>
    <t xml:space="preserve">Vốn chủ sở hữu cuối kỳ</t>
  </si>
  <si>
    <t xml:space="preserve">Nợ vay cuối kỳ (ngắn + dài hạn)</t>
  </si>
  <si>
    <t xml:space="preserve">Nguồn: BCTC 2023–2025 (đề bài); dự phóng của nhóm</t>
  </si>
  <si>
    <t xml:space="preserve">Fig_05 | Doanh thu theo phân khúc</t>
  </si>
  <si>
    <t xml:space="preserve">Phân khúc</t>
  </si>
  <si>
    <t xml:space="preserve">Bao bì F&amp;B/FMCG</t>
  </si>
  <si>
    <t xml:space="preserve">Thiết kế &amp; khuôn</t>
  </si>
  <si>
    <t xml:space="preserve">Đệm nội thất/TMĐT</t>
  </si>
  <si>
    <t xml:space="preserve">Đệm điện tử</t>
  </si>
  <si>
    <t xml:space="preserve">Tỷ trọng F&amp;B/FMCG (doanh thu gộp)</t>
  </si>
  <si>
    <t xml:space="preserve">Nguồn: BCTC 2023–2025 (đề bài: doanh thu 1–4); dự phóng (Drivers)</t>
  </si>
  <si>
    <t xml:space="preserve">Fig_07 | Giá bán so với sản phẩm thay thế</t>
  </si>
  <si>
    <t xml:space="preserve">Giá tham chiếu – thấp</t>
  </si>
  <si>
    <t xml:space="preserve">Giá tham chiếu – cao</t>
  </si>
  <si>
    <t xml:space="preserve">Giá AgriPack (mô hình, 2025)</t>
  </si>
  <si>
    <t xml:space="preserve">Đơn vị</t>
  </si>
  <si>
    <t xml:space="preserve">Hộp/khay F&amp;B (hộp kraft, hộp bã mía)</t>
  </si>
  <si>
    <t xml:space="preserve">nghìn đ/cái</t>
  </si>
  <si>
    <t xml:space="preserve">Đệm điện tử (khay EPE; EPE chống tĩnh điện)</t>
  </si>
  <si>
    <t xml:space="preserve">Đệm nội thất/TMĐT (PE foam định hình)</t>
  </si>
  <si>
    <t xml:space="preserve">Thiết kế + khuôn theo mẫu</t>
  </si>
  <si>
    <t xml:space="preserve">triệu đ/bộ</t>
  </si>
  <si>
    <t xml:space="preserve">Nguồn: Bảng chiến lược giá của nhóm (mục 1.2.2: KPK Packaging, Mutxophabac); giá AgriPack = ASP 2025 trong Drivers</t>
  </si>
  <si>
    <t xml:space="preserve">Fig_06 | Chuỗi giá trị và kinh tế đơn vị hộp F&amp;B</t>
  </si>
  <si>
    <t xml:space="preserve">Giá trị</t>
  </si>
  <si>
    <t xml:space="preserve">Giá bán bình quân hộp F&amp;B 2025</t>
  </si>
  <si>
    <t xml:space="preserve">đ/cái</t>
  </si>
  <si>
    <t xml:space="preserve">Doanh thu thuần/cái (sau giảm trừ)</t>
  </si>
  <si>
    <t xml:space="preserve">Chi phí biến đổi/doanh thu 2025</t>
  </si>
  <si>
    <t xml:space="preserve">Chi phí biến đổi/cái</t>
  </si>
  <si>
    <t xml:space="preserve">Lãi trên biến phí/cái</t>
  </si>
  <si>
    <t xml:space="preserve">Số ngày tồn kho 2025 (tích trữ bã mía theo vụ ép)</t>
  </si>
  <si>
    <t xml:space="preserve">Nguồn: Drivers (ASP, chi phí biến đổi, DIO 2025); quy trình theo mục 1.3.2 của nhóm</t>
  </si>
  <si>
    <t xml:space="preserve">Fig_08 | Thị trường mục tiêu: TAM – SAM – SOM</t>
  </si>
  <si>
    <t xml:space="preserve">Chỉ tiêu (triệu USD)</t>
  </si>
  <si>
    <t xml:space="preserve">TAM – thị trường bao bì xanh Việt Nam (IMARC)</t>
  </si>
  <si>
    <t xml:space="preserve">SAM – đồ dùng một lần phân hủy sinh học ngành ăn uống (IMARC)</t>
  </si>
  <si>
    <t xml:space="preserve">SOM – doanh thu F&amp;B/FMCG của AgriPack</t>
  </si>
  <si>
    <t xml:space="preserve">SOM / SAM</t>
  </si>
  <si>
    <t xml:space="preserve">Nguồn: IMARC Group (2025); doanh thu F&amp;B quy đổi USD theo tỷ giá bình quân (Drivers)</t>
  </si>
  <si>
    <t xml:space="preserve">Fig_11 | Chi phí / doanh thu thuần 2023A và 2025A</t>
  </si>
  <si>
    <t xml:space="preserve">Nhân sự (tiền lương)</t>
  </si>
  <si>
    <t xml:space="preserve">Chi phí hoạt động khác (ăn ca, điện nước, sửa chữa, marketing)</t>
  </si>
  <si>
    <t xml:space="preserve">Nguồn: BCTC 2023–2025 (đề bài); tính toán của nhóm</t>
  </si>
  <si>
    <t xml:space="preserve">Fig_12 | Biên gộp "đầy đủ" 2025A</t>
  </si>
  <si>
    <t xml:space="preserve">Tỷ đồng</t>
  </si>
  <si>
    <t xml:space="preserve">% doanh thu</t>
  </si>
  <si>
    <t xml:space="preserve">Biên gộp theo BCTC</t>
  </si>
  <si>
    <t xml:space="preserve">− 70% tiền lương (lao động sản xuất, giả định)</t>
  </si>
  <si>
    <t xml:space="preserve">− Điện, nước; sửa chữa, bảo dưỡng</t>
  </si>
  <si>
    <t xml:space="preserve">− Khấu hao</t>
  </si>
  <si>
    <t xml:space="preserve">Biên gộp "đầy đủ" (ước tính)</t>
  </si>
  <si>
    <t xml:space="preserve">Tham chiếu: trung vị biên gộp DN bao bì niêm yết</t>
  </si>
  <si>
    <t xml:space="preserve">Tham chiếu: DHC – biên gộp cao nhất nhóm</t>
  </si>
  <si>
    <t xml:space="preserve">Nguồn: BCTC 2025; giả định phân bổ 70% lương cho sản xuất (nhóm); FiinX (TTM đến Q2/2026)</t>
  </si>
  <si>
    <t xml:space="preserve">Fig_13 | Dòng tiền 2023A–2025A</t>
  </si>
  <si>
    <t xml:space="preserve">CFO</t>
  </si>
  <si>
    <t xml:space="preserve">FCF = CFO − CAPEX</t>
  </si>
  <si>
    <t xml:space="preserve">Vốn góp nhận được</t>
  </si>
  <si>
    <t xml:space="preserve">Tiền cuối kỳ</t>
  </si>
  <si>
    <t xml:space="preserve">Nguồn: BCTC 2023–2025 (đề bài)</t>
  </si>
  <si>
    <t xml:space="preserve">Fig_14 | Chỉ số tài chính 2023A–2025A</t>
  </si>
  <si>
    <t xml:space="preserve">Chỉ số</t>
  </si>
  <si>
    <t xml:space="preserve">Biên lợi nhuận gộp (theo BCTC)</t>
  </si>
  <si>
    <t xml:space="preserve">Biên LNST</t>
  </si>
  <si>
    <t xml:space="preserve">ROE (VCSH bình quân)</t>
  </si>
  <si>
    <t xml:space="preserve">ROA (tổng tài sản bình quân)</t>
  </si>
  <si>
    <t xml:space="preserve">Vòng quay tổng tài sản (lần)</t>
  </si>
  <si>
    <t xml:space="preserve">Đòn bẩy: TS bình quân / VCSH bình quân (lần)</t>
  </si>
  <si>
    <t xml:space="preserve">Hệ số thanh toán hiện hành (lần)</t>
  </si>
  <si>
    <t xml:space="preserve">Hệ số thanh toán nhanh (lần)</t>
  </si>
  <si>
    <t xml:space="preserve">Tiền / tài sản ngắn hạn</t>
  </si>
  <si>
    <t xml:space="preserve">Nợ phải trả / VCSH</t>
  </si>
  <si>
    <t xml:space="preserve">Nợ vay / VCSH</t>
  </si>
  <si>
    <t xml:space="preserve">Số ngày tồn kho (DIO)</t>
  </si>
  <si>
    <t xml:space="preserve">Số ngày phải thu (DSO)</t>
  </si>
  <si>
    <t xml:space="preserve">Số ngày phải trả (DPO)</t>
  </si>
  <si>
    <t xml:space="preserve">Chu kỳ tiền mặt (ngày)</t>
  </si>
  <si>
    <t xml:space="preserve">Nguồn: BCTC 2023–2025 (đề bài); ROE, ROA, vòng quay tính trên số dư bình quân (đầu kỳ 2023 = 01/01/2023)</t>
  </si>
  <si>
    <t xml:space="preserve">Fig_15 | Tỷ lệ thất bại theo giai đoạn đầu tư VC</t>
  </si>
  <si>
    <t xml:space="preserve">Giai đoạn</t>
  </si>
  <si>
    <t xml:space="preserve">AgriPack – tỷ lệ thất bại sử dụng (z)</t>
  </si>
  <si>
    <t xml:space="preserve">Nguồn: Đề bài (mục III.1); lựa chọn của nhóm</t>
  </si>
  <si>
    <t xml:space="preserve">Fig_16 | Bảng xác định giai đoạn</t>
  </si>
  <si>
    <t xml:space="preserve">Tiêu chí</t>
  </si>
  <si>
    <t xml:space="preserve">Doanh thu thuần 2025 (tỷ đồng)</t>
  </si>
  <si>
    <t xml:space="preserve">BCTC</t>
  </si>
  <si>
    <t xml:space="preserve">CAGR doanh thu 2023–2025</t>
  </si>
  <si>
    <t xml:space="preserve">Biên EBITDA 2025</t>
  </si>
  <si>
    <t xml:space="preserve">LNST 2025 (tỷ đồng)</t>
  </si>
  <si>
    <t xml:space="preserve">năm đầu có lãi</t>
  </si>
  <si>
    <t xml:space="preserve">FCF 2025 (tỷ đồng)</t>
  </si>
  <si>
    <t xml:space="preserve">lần đầu dương</t>
  </si>
  <si>
    <t xml:space="preserve">CAPEX/doanh thu 2023 → 2025</t>
  </si>
  <si>
    <t xml:space="preserve">Nợ vay/VCSH cuối 2025</t>
  </si>
  <si>
    <t xml:space="preserve">BCĐKT</t>
  </si>
  <si>
    <t xml:space="preserve">Thị phần trong SAM (IMARC) 2025</t>
  </si>
  <si>
    <t xml:space="preserve">ROE 2025 (VCSH bình quân)</t>
  </si>
  <si>
    <t xml:space="preserve">Chi phí vốn CSH ước tính (Ke)</t>
  </si>
  <si>
    <t xml:space="preserve">Nguồn: BCTC 2023–2025; tính toán của nhóm</t>
  </si>
  <si>
    <t xml:space="preserve">Fig_17 | Tăng trưởng GDP và lạm phát CPI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</si>
  <si>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</si>
  <si>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</si>
  <si>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</si>
  <si>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</si>
  <si>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</si>
  <si>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6T/8T-2026</t>
  </si>
  <si>
    <t xml:space="preserve">Dự báo 2026 (WB)</t>
  </si>
  <si>
    <t xml:space="preserve">Dự báo 2026 (ADB)</t>
  </si>
  <si>
    <t xml:space="preserve">Mục tiêu 2026</t>
  </si>
  <si>
    <t xml:space="preserve">GDP thực (%)</t>
  </si>
  <si>
    <t xml:space="preserve">CPI bình quân (%)</t>
  </si>
  <si>
    <t xml:space="preserve">Lạm phát cơ bản (%)</t>
  </si>
  <si>
    <t xml:space="preserve">Nguồn: Cục Thống kê (NSO) qua FiinX; GDP 6T-2026, CPI 8T-2026; World Bank (4/2026), ADB (4/2026); CPI 2025 tính từ số liệu tháng</t>
  </si>
  <si>
    <t xml:space="preserve">Fig_18 | Lương tối thiểu, giá điện và CPI</t>
  </si>
  <si>
    <t xml:space="preserve">Mức đầu</t>
  </si>
  <si>
    <t xml:space="preserve">Mức cuối</t>
  </si>
  <si>
    <t xml:space="preserve">Thay đổi</t>
  </si>
  <si>
    <t xml:space="preserve">Lương tối thiểu vùng I (nghìn đồng/tháng)</t>
  </si>
  <si>
    <t xml:space="preserve">1/2022 → 1/2026</t>
  </si>
  <si>
    <t xml:space="preserve">Giá bán lẻ điện bình quân (đồng/kWh)</t>
  </si>
  <si>
    <t xml:space="preserve">4/2023 → 5/2025</t>
  </si>
  <si>
    <t xml:space="preserve">CPI bình quân cộng dồn (chỉ số 2021 = 100)</t>
  </si>
  <si>
    <t xml:space="preserve">2022 → 2025</t>
  </si>
  <si>
    <t xml:space="preserve">Giá bán AgriPack – giả định (chỉ số 2025 = 100)</t>
  </si>
  <si>
    <t xml:space="preserve">2025 → 2030E</t>
  </si>
  <si>
    <t xml:space="preserve">Nguồn: NĐ 90/2019, 38/2022, 74/2024, 293/2025/NĐ-CP (lương tối thiểu vùng); Bộ Công Thương – quyết định điều chỉnh giá điện (5/2023, 11/2023, 10/2024, 5/2025); Cục Thống kê; Drivers</t>
  </si>
  <si>
    <t xml:space="preserve">Fig_19 | Lãi suất cho vay trung–dài hạn và huy động</t>
  </si>
  <si>
    <t xml:space="preserve">8/2025</t>
  </si>
  <si>
    <t xml:space="preserve">12/2025</t>
  </si>
  <si>
    <t xml:space="preserve">3/2026</t>
  </si>
  <si>
    <t xml:space="preserve">6/2026</t>
  </si>
  <si>
    <t xml:space="preserve">8/2026</t>
  </si>
  <si>
    <t xml:space="preserve">Cho vay trung–dài hạn – thấp (%)</t>
  </si>
  <si>
    <t xml:space="preserve">Cho vay trung–dài hạn – cao (%)</t>
  </si>
  <si>
    <t xml:space="preserve">Huy động &gt;12 tháng – thấp (%)</t>
  </si>
  <si>
    <t xml:space="preserve">Huy động &gt;12 tháng – cao (%)</t>
  </si>
  <si>
    <t xml:space="preserve">Lãi suất tái cấp vốn NHNN (%)</t>
  </si>
  <si>
    <t xml:space="preserve">Nguồn: NHNN qua FiinX (truy xuất 29/9/2026); VnExpress (22/7/2026)</t>
  </si>
  <si>
    <t xml:space="preserve">Fig_20 | Tỷ giá USD/VND và CNY/VND (chỉ số)</t>
  </si>
  <si>
    <t xml:space="preserve">12/2022</t>
  </si>
  <si>
    <t xml:space="preserve">12/2023</t>
  </si>
  <si>
    <t xml:space="preserve">12/2024</t>
  </si>
  <si>
    <t xml:space="preserve">29/9/2026</t>
  </si>
  <si>
    <t xml:space="preserve">USD/VND – VCB bán ra</t>
  </si>
  <si>
    <t xml:space="preserve">CNY/VND – VCB bán ra</t>
  </si>
  <si>
    <t xml:space="preserve">Chỉ số USD/VND (12/2022 = 100)</t>
  </si>
  <si>
    <t xml:space="preserve">Chỉ số CNY/VND (12/2022 = 100)</t>
  </si>
  <si>
    <t xml:space="preserve">Nguồn: Vietcombank qua FiinX</t>
  </si>
  <si>
    <t xml:space="preserve">Fig_21 | Vốn đầu tư mạo hiểm vào Việt Nam</t>
  </si>
  <si>
    <t xml:space="preserve">Giá trị (triệu USD)</t>
  </si>
  <si>
    <t xml:space="preserve">Số thương vụ</t>
  </si>
  <si>
    <t xml:space="preserve">Nguồn: NIC &amp; DO Ventures (2022–2025); BCG, NIC &amp; VPCA (2026) cho năm 2025; số 2021 ước tính từ nguồn thứ cấp</t>
  </si>
  <si>
    <t xml:space="preserve">Fig_23 | Quy mô thị trường và thị phần SAM ngầm định</t>
  </si>
  <si>
    <t xml:space="preserve">CAGR 2025–30</t>
  </si>
  <si>
    <t xml:space="preserve">Bao bì giấy VN – Mordor (triệu USD)</t>
  </si>
  <si>
    <t xml:space="preserve">Bao bì xanh VN – TAM, IMARC (triệu USD)</t>
  </si>
  <si>
    <t xml:space="preserve">Đồ dùng 1 lần phân hủy sinh học ngành F&amp;B – SAM, IMARC (triệu USD)</t>
  </si>
  <si>
    <t xml:space="preserve">Doanh thu F&amp;B/FMCG của AgriPack (triệu USD)</t>
  </si>
  <si>
    <t xml:space="preserve">Nguồn: Mordor Intelligence (ấn bản 2025–2030); IMARC Group (2025); tỷ giá và dự phóng của nhóm (Drivers)</t>
  </si>
  <si>
    <t xml:space="preserve">Fig_24 | Chỉ báo cầu của khách hàng mục tiêu</t>
  </si>
  <si>
    <t xml:space="preserve">Chỉ báo</t>
  </si>
  <si>
    <t xml:space="preserve">Tăng trưởng (%)</t>
  </si>
  <si>
    <t xml:space="preserve">Kỳ</t>
  </si>
  <si>
    <t xml:space="preserve">Xuất khẩu hàng hóa</t>
  </si>
  <si>
    <t xml:space="preserve">8T-2026</t>
  </si>
  <si>
    <t xml:space="preserve">Thị trường TMĐT (VECOM)</t>
  </si>
  <si>
    <t xml:space="preserve">Doanh thu dịch vụ lưu trú, ăn uống</t>
  </si>
  <si>
    <t xml:space="preserve">Tổng mức bán lẻ hàng hóa &amp; dịch vụ</t>
  </si>
  <si>
    <t xml:space="preserve">Vốn FDI giải ngân</t>
  </si>
  <si>
    <t xml:space="preserve">7T-2026</t>
  </si>
  <si>
    <t xml:space="preserve">Tiêu dùng cuối cùng (thực)</t>
  </si>
  <si>
    <t xml:space="preserve">6T-2026</t>
  </si>
  <si>
    <t xml:space="preserve">Sản lượng F&amp;B của AgriPack – dự phóng 2026E</t>
  </si>
  <si>
    <t xml:space="preserve">Nguồn: Cục Thống kê qua FiinX; VECOM (2025); Drivers</t>
  </si>
  <si>
    <t xml:space="preserve">Fig_25 | Biên EBITDA so với DN bao bì niêm yết</t>
  </si>
  <si>
    <t xml:space="preserve">DN</t>
  </si>
  <si>
    <t xml:space="preserve">Biên gộp (%)</t>
  </si>
  <si>
    <t xml:space="preserve">Biên EBITDA (%)</t>
  </si>
  <si>
    <t xml:space="preserve">Biên LNST (%)</t>
  </si>
  <si>
    <t xml:space="preserve">EV/EBITDA (x)</t>
  </si>
  <si>
    <t xml:space="preserve">P/E (x)</t>
  </si>
  <si>
    <t xml:space="preserve">AgriPack 2025A</t>
  </si>
  <si>
    <t xml:space="preserve">DHC</t>
  </si>
  <si>
    <t xml:space="preserve">ILS</t>
  </si>
  <si>
    <t xml:space="preserve">TPP</t>
  </si>
  <si>
    <t xml:space="preserve">INN</t>
  </si>
  <si>
    <t xml:space="preserve">AAA</t>
  </si>
  <si>
    <t xml:space="preserve">APH</t>
  </si>
  <si>
    <t xml:space="preserve">HHP</t>
  </si>
  <si>
    <t xml:space="preserve">TDP</t>
  </si>
  <si>
    <t xml:space="preserve">TPC</t>
  </si>
  <si>
    <t xml:space="preserve">Trung vị 15 DN bao bì niêm yết</t>
  </si>
  <si>
    <t xml:space="preserve">Bình quân ngành Containers &amp; Packaging 2026 (FiinX)</t>
  </si>
  <si>
    <t xml:space="preserve">Nguồn: FiinX (giá đóng cửa 28/9/2026; BCTC quý đến Q2/2026, TTM); biên EBITDA DHC theo Q2/2026</t>
  </si>
  <si>
    <t xml:space="preserve">Fig_28 | Doanh thu dự phóng theo phân khúc</t>
  </si>
  <si>
    <t xml:space="preserve">Nguồn: Dự phóng của nhóm (Drivers)</t>
  </si>
  <si>
    <t xml:space="preserve">Fig_29 | Giả định sản lượng và giá bán</t>
  </si>
  <si>
    <t xml:space="preserve">Giả định</t>
  </si>
  <si>
    <t xml:space="preserve">Sản lượng hộp/khay F&amp;B (triệu cái)</t>
  </si>
  <si>
    <t xml:space="preserve">Tăng trưởng sản lượng F&amp;B</t>
  </si>
  <si>
    <t xml:space="preserve">Tăng giá bán F&amp;B và khuôn</t>
  </si>
  <si>
    <t xml:space="preserve">Tăng giá đệm bảo vệ</t>
  </si>
  <si>
    <t xml:space="preserve">Chi phí biến đổi / doanh thu</t>
  </si>
  <si>
    <t xml:space="preserve">Tiền lương / doanh thu</t>
  </si>
  <si>
    <t xml:space="preserve">Nguồn: Drivers (kịch bản Base)</t>
  </si>
  <si>
    <t xml:space="preserve">Fig_30 | Biên lợi nhuận dự phóng</t>
  </si>
  <si>
    <t xml:space="preserve">Biên EBIT</t>
  </si>
  <si>
    <t xml:space="preserve">Thuê mặt bằng / doanh thu</t>
  </si>
  <si>
    <t xml:space="preserve">Nguồn: BCTC 2023–2025; dự phóng (Drivers, Income Statement)</t>
  </si>
  <si>
    <t xml:space="preserve">Fig_31 | Cơ cấu chi phí / doanh thu 2025A và 2030E</t>
  </si>
  <si>
    <t xml:space="preserve">Chi phí / doanh thu</t>
  </si>
  <si>
    <t xml:space="preserve">Chi phí biến đổi (nguyên liệu, nhân công trực tiếp)</t>
  </si>
  <si>
    <t xml:space="preserve">Hỗ trợ tiền ăn</t>
  </si>
  <si>
    <t xml:space="preserve">Điện, nước</t>
  </si>
  <si>
    <t xml:space="preserve">Nguồn: BCTC 2025; dự phóng (Drivers)</t>
  </si>
  <si>
    <t xml:space="preserve">Fig_32 | Số ngày vốn lưu động</t>
  </si>
  <si>
    <t xml:space="preserve">Ngày</t>
  </si>
  <si>
    <t xml:space="preserve">Vốn lưu động hoạt động / doanh thu</t>
  </si>
  <si>
    <t xml:space="preserve">Vốn lưu động hoạt động (tỷ đồng)</t>
  </si>
  <si>
    <t xml:space="preserve">Nguồn: BCTC 2023–2025 (đề bài); dự phóng (Drivers)</t>
  </si>
  <si>
    <t xml:space="preserve">Fig_33 | Dự phóng kết quả kinh doanh 2025A–2030E</t>
  </si>
  <si>
    <t xml:space="preserve">Chi phí hoạt động (không gồm khấu hao)</t>
  </si>
  <si>
    <t xml:space="preserve">EBIT</t>
  </si>
  <si>
    <t xml:space="preserve">Nguồn: BCTC 2025 (đề bài); dự phóng (Income Statement)</t>
  </si>
  <si>
    <t xml:space="preserve">Fig_34 | CAPEX và FCFF</t>
  </si>
  <si>
    <t xml:space="preserve">CAPEX (tỷ đồng)</t>
  </si>
  <si>
    <t xml:space="preserve">Khấu hao (tỷ đồng)</t>
  </si>
  <si>
    <t xml:space="preserve">FCFF (tỷ đồng; 2025A = CFO − CAPEX)</t>
  </si>
  <si>
    <t xml:space="preserve">NOPAT (tỷ đồng)</t>
  </si>
  <si>
    <t xml:space="preserve">Nguồn: Mô hình (DCF, Drivers)</t>
  </si>
  <si>
    <t xml:space="preserve">Fig_35 | ROIC so với WACC và vòng quay TSCĐ</t>
  </si>
  <si>
    <t xml:space="preserve">Vòng quay nguyên giá TSCĐ (lần)</t>
  </si>
  <si>
    <t xml:space="preserve">Nguồn: Mô hình</t>
  </si>
  <si>
    <t xml:space="preserve">Fig_36 | Tiền mặt trước/sau gọi vốn</t>
  </si>
  <si>
    <t xml:space="preserve">Tiền cuối kỳ nếu không gọi vốn cổ phần</t>
  </si>
  <si>
    <t xml:space="preserve">Tiền mặt tối thiểu (5% doanh thu)</t>
  </si>
  <si>
    <t xml:space="preserve">Tiền cuối kỳ sau gọi vốn (BCĐKT)</t>
  </si>
  <si>
    <t xml:space="preserve">Dư nợ vay trung hạn nhà máy mới</t>
  </si>
  <si>
    <t xml:space="preserve">Thiếu hụt lớn nhất so với tiền tối thiểu</t>
  </si>
  <si>
    <t xml:space="preserve">Nhu cầu vốn cổ phần (thiếu hụt + 10% dự phòng)</t>
  </si>
  <si>
    <t xml:space="preserve">Nguồn: Mô hình (Pro Forma, Drivers, BCĐKT)</t>
  </si>
  <si>
    <t xml:space="preserve">Fig_37 | Chỉ tiêu BCĐKT và LCTT dự phóng</t>
  </si>
  <si>
    <t xml:space="preserve">Tiền</t>
  </si>
  <si>
    <t xml:space="preserve">Tài sản cố định ròng</t>
  </si>
  <si>
    <t xml:space="preserve">Nợ vay (ngắn + dài hạn)</t>
  </si>
  <si>
    <t xml:space="preserve">Vốn góp cổ phần</t>
  </si>
  <si>
    <t xml:space="preserve">Nguồn: BCTC 2025 (đề bài); dự phóng (Balance Sheet, Cash Flow Statement)</t>
  </si>
  <si>
    <t xml:space="preserve">Fig_38 | Chi phí vốn (WACC)</t>
  </si>
  <si>
    <t xml:space="preserve">Thành phần</t>
  </si>
  <si>
    <t xml:space="preserve">Lãi suất phi rủi ro Rf (TPCP 10 năm, ước tính)</t>
  </si>
  <si>
    <t xml:space="preserve">cần cập nhật</t>
  </si>
  <si>
    <t xml:space="preserve">ERP thị trường phát triển (Damodaran 01/2026)</t>
  </si>
  <si>
    <t xml:space="preserve">Phần bù rủi ro quốc gia VN (CRP, ước tính)</t>
  </si>
  <si>
    <t xml:space="preserve">ERP Việt Nam</t>
  </si>
  <si>
    <t xml:space="preserve">Damodaran</t>
  </si>
  <si>
    <t xml:space="preserve">D/E mục tiêu (BCĐKT 2027E)</t>
  </si>
  <si>
    <t xml:space="preserve">Beta có đòn bẩy</t>
  </si>
  <si>
    <t xml:space="preserve">Hệ số tương quan ρ</t>
  </si>
  <si>
    <t xml:space="preserve">giả định</t>
  </si>
  <si>
    <t xml:space="preserve">Total beta = β/ρ</t>
  </si>
  <si>
    <t xml:space="preserve">Chi phí vốn CSH (Ke)</t>
  </si>
  <si>
    <t xml:space="preserve">Chi phí nợ trước thuế (Kd)</t>
  </si>
  <si>
    <t xml:space="preserve">Chi phí nợ sau thuế</t>
  </si>
  <si>
    <t xml:space="preserve">Tỷ trọng vốn CSH</t>
  </si>
  <si>
    <t xml:space="preserve">Nguồn: Damodaran (01/2026); NHNN (8/2026); ước tính của nhóm (sheet Discount rate)</t>
  </si>
  <si>
    <t xml:space="preserve">Fig_39 | Cầu nối DCF</t>
  </si>
  <si>
    <t xml:space="preserve">Bước</t>
  </si>
  <si>
    <t xml:space="preserve">PV FCFF 2026–2030</t>
  </si>
  <si>
    <t xml:space="preserve">+ Tiền 31/12/2025</t>
  </si>
  <si>
    <t xml:space="preserve">− Nợ vay 31/12/2025</t>
  </si>
  <si>
    <t xml:space="preserve">Giá trị vốn CSH (pre-money)</t>
  </si>
  <si>
    <t xml:space="preserve">Giá trị cuối kỳ tại 2030 (không chiết khấu)</t>
  </si>
  <si>
    <t xml:space="preserve">EV/EBITDA 2026E ngầm định (x)</t>
  </si>
  <si>
    <t xml:space="preserve">P/E 2026E ngầm định (x)</t>
  </si>
  <si>
    <t xml:space="preserve">Nguồn: Mô hình (DCF)</t>
  </si>
  <si>
    <t xml:space="preserve">Fig_41 | Độ nhạy DCF: WACC × g</t>
  </si>
  <si>
    <t xml:space="preserve">Nguồn: Mô hình (Sensitivity, bảng 1 – mỗi ô tính lại toàn bộ DCF)</t>
  </si>
  <si>
    <t xml:space="preserve">Fig_40 | Bảng tính DCF (FCFF và giá trị hiện tại)</t>
  </si>
  <si>
    <t xml:space="preserve">Cuối kỳ</t>
  </si>
  <si>
    <t xml:space="preserve">NOPAT = EBIT × (1 − t)</t>
  </si>
  <si>
    <t xml:space="preserve">− Tăng vốn lưu động</t>
  </si>
  <si>
    <t xml:space="preserve">− CAPEX</t>
  </si>
  <si>
    <t xml:space="preserve">FCFF</t>
  </si>
  <si>
    <t xml:space="preserve">Hệ số chiết khấu</t>
  </si>
  <si>
    <t xml:space="preserve">Giá trị hiện tại</t>
  </si>
  <si>
    <t xml:space="preserve">Nguồn: Mô hình (DCF, Discount rate); chiết khấu cuối năm, t0 = 01/01/2026; cột "Cuối kỳ" = giá trị cuối kỳ tại 2030</t>
  </si>
  <si>
    <t xml:space="preserve">Fig_42 | VC Method: các bước tính</t>
  </si>
  <si>
    <t xml:space="preserve">LNST 2030E (tỷ đồng)</t>
  </si>
  <si>
    <t xml:space="preserve">P/E thoái vốn (x)</t>
  </si>
  <si>
    <t xml:space="preserve">FiinX 2026</t>
  </si>
  <si>
    <t xml:space="preserve">EBITDA 2030E (tỷ đồng)</t>
  </si>
  <si>
    <t xml:space="preserve">EV/EBITDA thoái vốn (x)</t>
  </si>
  <si>
    <t xml:space="preserve">Giá trị vốn CSH theo EV/EBITDA (+ tiền − nợ 2030E)</t>
  </si>
  <si>
    <t xml:space="preserve">Giá trị thoái vốn sử dụng (bình quân)</t>
  </si>
  <si>
    <t xml:space="preserve">Tỷ lệ thất bại tích lũy z</t>
  </si>
  <si>
    <t xml:space="preserve">đề bài</t>
  </si>
  <si>
    <t xml:space="preserve">Số năm đến thoái vốn n</t>
  </si>
  <si>
    <t xml:space="preserve">Xác suất thất bại/năm p = 1 − (1 − z)^(1/n)</t>
  </si>
  <si>
    <t xml:space="preserve">Tỷ suất yêu cầu khi thành công = (1 + WACC)/(1 − p) − 1</t>
  </si>
  <si>
    <t xml:space="preserve">Vốn cần huy động</t>
  </si>
  <si>
    <t xml:space="preserve">Tỷ lệ sở hữu NĐT mới</t>
  </si>
  <si>
    <t xml:space="preserve">Đối chiếu: dùng z như xác suất mỗi năm → tỷ suất</t>
  </si>
  <si>
    <t xml:space="preserve">sai</t>
  </si>
  <si>
    <t xml:space="preserve">Đối chiếu: post-money theo cách sai</t>
  </si>
  <si>
    <t xml:space="preserve">Nguồn: Mô hình (VCM); bội số ngành Containers &amp; Packaging (FiinX, 2026)</t>
  </si>
  <si>
    <t xml:space="preserve">Fig_43 | So sánh kết quả định giá</t>
  </si>
  <si>
    <t xml:space="preserve">DCF (hoạt động liên tục)</t>
  </si>
  <si>
    <t xml:space="preserve">DCF điều chỉnh xác suất sống sót</t>
  </si>
  <si>
    <t xml:space="preserve">VCSH sổ sách 31/12/2025</t>
  </si>
  <si>
    <t xml:space="preserve">P/E 2026E × 9,4x</t>
  </si>
  <si>
    <t xml:space="preserve">EV/EBITDA 2026E × 5,7x</t>
  </si>
  <si>
    <t xml:space="preserve">EV/EBITDA 2026E × 8,0x</t>
  </si>
  <si>
    <t xml:space="preserve">Giá trị thanh lý (50% VCSH sổ sách)</t>
  </si>
  <si>
    <t xml:space="preserve">Nguồn: Mô hình (Summary)</t>
  </si>
  <si>
    <t xml:space="preserve">Fig_44 | Kết quả theo kịch bản</t>
  </si>
  <si>
    <t xml:space="preserve">Đầu tư lớn 2028</t>
  </si>
  <si>
    <t xml:space="preserve">Chỉ vốn CP</t>
  </si>
  <si>
    <t xml:space="preserve">Vay 75% CAPEX 2027</t>
  </si>
  <si>
    <t xml:space="preserve">Tỷ lệ founder &amp; cổ đông hiện hữu</t>
  </si>
  <si>
    <t xml:space="preserve">Nguồn: Mô hình (Summary: cột Base là công thức sống, các cột khác chụp lại khi đổi ô chọn ở Drivers)</t>
  </si>
  <si>
    <t xml:space="preserve">Fig_45 | Nguồn và sử dụng vốn 2026E–2028E</t>
  </si>
  <si>
    <t xml:space="preserve">Khoản mục</t>
  </si>
  <si>
    <t xml:space="preserve">Nguồn vốn – dòng tiền kinh doanh (CFO) 2026–2028</t>
  </si>
  <si>
    <t xml:space="preserve">Nguồn vốn – vốn cổ phần Series A</t>
  </si>
  <si>
    <t xml:space="preserve">Nguồn vốn – vay trung hạn/thuê tài chính (ròng)</t>
  </si>
  <si>
    <t xml:space="preserve">Sử dụng vốn – CAPEX 2026–2028</t>
  </si>
  <si>
    <t xml:space="preserve">Sử dụng vốn – tăng số dư tiền (đệm thanh khoản)</t>
  </si>
  <si>
    <t xml:space="preserve">Trong đó CAPEX nhà máy 2027</t>
  </si>
  <si>
    <t xml:space="preserve">Kiểm tra: nguồn − sử dụng</t>
  </si>
  <si>
    <t xml:space="preserve">Nguồn: Mô hình (Cash Flow Statement, Balance Sheet)</t>
  </si>
  <si>
    <t xml:space="preserve">Fig_47 | Cơ cấu sở hữu sau Series A</t>
  </si>
  <si>
    <t xml:space="preserve">Phương án</t>
  </si>
  <si>
    <t xml:space="preserve">Founder &amp; cổ đông hiện hữu</t>
  </si>
  <si>
    <t xml:space="preserve">NĐT Series A</t>
  </si>
  <si>
    <t xml:space="preserve">Theo DCF</t>
  </si>
  <si>
    <t xml:space="preserve">Theo VC Method</t>
  </si>
  <si>
    <t xml:space="preserve">Bình quân, gọi một lần</t>
  </si>
  <si>
    <t xml:space="preserve">Chỉ vốn cổ phần, không vay</t>
  </si>
  <si>
    <t xml:space="preserve">Series A hai đợt (khuyến nghị)</t>
  </si>
  <si>
    <t xml:space="preserve">Fig_48 | Series A chia hai đợt</t>
  </si>
  <si>
    <t xml:space="preserve">Đợt 1 tại t0 (tỷ)</t>
  </si>
  <si>
    <t xml:space="preserve">Pre-money đợt 1 (tỷ)</t>
  </si>
  <si>
    <t xml:space="preserve">Đợt 2 cuối 2027 khi đạt mốc (tỷ)</t>
  </si>
  <si>
    <t xml:space="preserve">Tỷ lệ thất bại còn lại sau mốc (z2)</t>
  </si>
  <si>
    <t xml:space="preserve">Post-money tại đợt 2 (tỷ)</t>
  </si>
  <si>
    <t xml:space="preserve">Tổng tỷ lệ NĐT sau hai đợt</t>
  </si>
  <si>
    <t xml:space="preserve">Founder &amp; cổ đông hiện hữu sau hai đợt</t>
  </si>
  <si>
    <t xml:space="preserve">Tỷ lệ NĐT nếu gọi một lần tại t0</t>
  </si>
  <si>
    <t xml:space="preserve">Fig_49 | Khả năng trả nợ 2026E–2030E</t>
  </si>
  <si>
    <t xml:space="preserve">Dư nợ vay cuối kỳ (tỷ)</t>
  </si>
  <si>
    <t xml:space="preserve">Lãi vay (tỷ)</t>
  </si>
  <si>
    <t xml:space="preserve">Trả gốc (tỷ)</t>
  </si>
  <si>
    <t xml:space="preserve">EBITDA (tỷ)</t>
  </si>
  <si>
    <t xml:space="preserve">EBIT / lãi vay (lần)</t>
  </si>
  <si>
    <t xml:space="preserve">DSCR = (EBITDA − thuế) / (lãi + gốc) (lần)</t>
  </si>
  <si>
    <t xml:space="preserve">Nợ vay / EBITDA (lần)</t>
  </si>
  <si>
    <t xml:space="preserve">Nguồn: Mô hình (Drivers, Income Statement)</t>
  </si>
  <si>
    <t xml:space="preserve">Fig_50 | Lợi suất của nhà đầu tư: gọi một lần và chia hai đợt</t>
  </si>
  <si>
    <t xml:space="preserve">Dòng tiền NĐT (tỷ đồng)</t>
  </si>
  <si>
    <t xml:space="preserve">t0 (1/2026)</t>
  </si>
  <si>
    <t xml:space="preserve">Cuối 2026</t>
  </si>
  <si>
    <t xml:space="preserve">Cuối 2027</t>
  </si>
  <si>
    <t xml:space="preserve">Cuối 2028</t>
  </si>
  <si>
    <t xml:space="preserve">Cuối 2029</t>
  </si>
  <si>
    <t xml:space="preserve">Cuối 2030</t>
  </si>
  <si>
    <t xml:space="preserve">Gọi một lần – khi thành công</t>
  </si>
  <si>
    <t xml:space="preserve">Gọi một lần – kỳ vọng (sống sót 1 − z)</t>
  </si>
  <si>
    <t xml:space="preserve">Hai đợt – khi thành công</t>
  </si>
  <si>
    <t xml:space="preserve">Hai đợt – kỳ vọng (đợt 2 chỉ giải ngân khi còn hoạt động)</t>
  </si>
  <si>
    <t xml:space="preserve">IRR – gọi một lần, khi thành công</t>
  </si>
  <si>
    <t xml:space="preserve">IRR – gọi một lần, kỳ vọng</t>
  </si>
  <si>
    <t xml:space="preserve">IRR – hai đợt, khi thành công</t>
  </si>
  <si>
    <t xml:space="preserve">IRR – hai đợt, kỳ vọng</t>
  </si>
  <si>
    <t xml:space="preserve">MOIC – gọi một lần, khi thành công (lần)</t>
  </si>
  <si>
    <t xml:space="preserve">MOIC – hai đợt, khi thành công (lần)</t>
  </si>
  <si>
    <t xml:space="preserve">Xác suất còn hoạt động đến cuối 2027</t>
  </si>
  <si>
    <t xml:space="preserve">Nguồn: Mô hình (Summary, VCM, Discount rate); xác suất thất bại/năm p = 1 − (1 − z)^(1/5); sau mốc 2027 z còn 25% (giả định của nhóm); giá trị thu hồi khi thất bại = 0</t>
  </si>
  <si>
    <t xml:space="preserve">Fig_51 | Tác động định lượng của các rủi ro lên giá trị</t>
  </si>
  <si>
    <t xml:space="preserve">Yếu tố</t>
  </si>
  <si>
    <t xml:space="preserve">Pre-money/giá trị (tỷ)</t>
  </si>
  <si>
    <t xml:space="preserve">Chênh lệch so với cơ sở (tỷ)</t>
  </si>
  <si>
    <t xml:space="preserve">Tác động lên pre-money khuyến nghị (tỷ, theo trọng số 50/50)</t>
  </si>
  <si>
    <t xml:space="preserve">Cơ sở: pre-money khuyến nghị</t>
  </si>
  <si>
    <t xml:space="preserve">Kịch bản Bear (sản lượng ×0,7; giá +1%/năm; chi phí biến đổi +1 điểm %)</t>
  </si>
  <si>
    <t xml:space="preserve">Nhà máy trễ sang 2028</t>
  </si>
  <si>
    <t xml:space="preserve">WACC +1 điểm % (DCF)</t>
  </si>
  <si>
    <t xml:space="preserve">z = 45% (VCM)</t>
  </si>
  <si>
    <t xml:space="preserve">Giá trị thoái vốn −15% (VCM)</t>
  </si>
  <si>
    <t xml:space="preserve">RONIC 14% thay vì 18% (DCF)</t>
  </si>
  <si>
    <t xml:space="preserve">Hệ số khả năng trả lãi 2028E (EBIT/lãi vay, lần)</t>
  </si>
  <si>
    <t xml:space="preserve">Nguồn: Mô hình (Summary, Sensitivity, Income Statement); độ nhạy của một phương pháp được quy về pre-money khuyến nghị theo trọng số ở Summary!F5:F6</t>
  </si>
  <si>
    <t xml:space="preserve">Fig_53 | Định giá khi chưa có doanh thu</t>
  </si>
  <si>
    <t xml:space="preserve">Thử nghiệm (z 57,5%)</t>
  </si>
  <si>
    <t xml:space="preserve">Ươm mầm (z 72,5%)</t>
  </si>
  <si>
    <t xml:space="preserve">Đầu tăng trưởng (z 40%)</t>
  </si>
  <si>
    <t xml:space="preserve">Giá trị thoái vốn 2030E (tỷ, giữ nguyên)</t>
  </si>
  <si>
    <t xml:space="preserve">Post-money = Exit × (1 − z)/(1 + WACC)^n (tỷ)</t>
  </si>
  <si>
    <t xml:space="preserve">Nguồn: Minh họa trên mô hình (VCM): giữ nguyên giá trị thoái vốn và WACC, chỉ đổi z theo giai đoạn</t>
  </si>
  <si>
    <t xml:space="preserve">Fig_A01 | Báo cáo kết quả kinh doanh 2023A–2030E</t>
  </si>
  <si>
    <t xml:space="preserve">Nguồn: BCTC 2023–2025 (đề bài); dự phóng (Income Statement)</t>
  </si>
  <si>
    <t xml:space="preserve">Fig_A02 | Bảng cân đối kế toán 2023A–2030E</t>
  </si>
  <si>
    <t xml:space="preserve">Nguyên giá TSCĐ (hữu hình + vô hình)</t>
  </si>
  <si>
    <t xml:space="preserve">Tài sản dài hạn ròng</t>
  </si>
  <si>
    <t xml:space="preserve">Vay dài hạn</t>
  </si>
  <si>
    <t xml:space="preserve">Vốn góp</t>
  </si>
  <si>
    <t xml:space="preserve">Tổng nguồn vốn</t>
  </si>
  <si>
    <t xml:space="preserve">Nguồn: BCTC 2023–2025 (đề bài); dự phóng (Balance Sheet)</t>
  </si>
  <si>
    <t xml:space="preserve">Fig_A03 | Báo cáo lưu chuyển tiền tệ 2023A–2030E</t>
  </si>
  <si>
    <t xml:space="preserve">Thay đổi vốn lưu động và khác</t>
  </si>
  <si>
    <t xml:space="preserve">Lưu chuyển tiền thuần từ HĐKD (CFO)</t>
  </si>
  <si>
    <t xml:space="preserve">CAPEX (CFI)</t>
  </si>
  <si>
    <t xml:space="preserve">Lưu chuyển tiền thuần từ HĐTC (CFF)</t>
  </si>
  <si>
    <t xml:space="preserve">FCFF (2023–25A: CFO − CAPEX)</t>
  </si>
  <si>
    <t xml:space="preserve">Nguồn: BCTC 2023–2025 (đề bài); dự phóng (Cash Flow Statement, DCF)</t>
  </si>
  <si>
    <t xml:space="preserve">Fig_A04 | Giả định dự phóng chính</t>
  </si>
  <si>
    <t xml:space="preserve">Tăng tiền thuê mặt bằng</t>
  </si>
  <si>
    <t xml:space="preserve">Điện, nước / doanh thu</t>
  </si>
  <si>
    <t xml:space="preserve">Sửa chữa / doanh thu</t>
  </si>
  <si>
    <t xml:space="preserve">Marketing / doanh thu</t>
  </si>
  <si>
    <t xml:space="preserve">Kiểm nghiệm, chứng nhận &amp; R&amp;D / doanh thu</t>
  </si>
  <si>
    <t xml:space="preserve">Khấu hao (% nguyên giá đầu kỳ)</t>
  </si>
  <si>
    <t xml:space="preserve">Tiền mặt tối thiểu / doanh thu</t>
  </si>
  <si>
    <t xml:space="preserve">Lãi suất vay</t>
  </si>
  <si>
    <t xml:space="preserve">Thuế suất TNDN</t>
  </si>
  <si>
    <t xml:space="preserve">Fig_A05 | Độ nhạy VC Method và DCF (RONIC)</t>
  </si>
  <si>
    <t xml:space="preserve">Bảng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</si>
  <si>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</si>
  <si>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</si>
  <si>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</si>
  <si>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</si>
  <si>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</si>
  <si>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VCM: z \ giá trị thoái vốn</t>
  </si>
  <si>
    <t xml:space="preserve">DCF: WACC \ RONIC</t>
  </si>
  <si>
    <t xml:space="preserve">Nguồn: Mô hình (Sensitivity, bảng 2 và 3)</t>
  </si>
  <si>
    <t xml:space="preserve">GHI CHÚ MÔ HÌNH (người lập: Lộc)</t>
  </si>
  <si>
    <t xml:space="preserve">Luồng dữ liệu</t>
  </si>
  <si>
    <t xml:space="preserve">BCTC 2023–2025 (đề bài) → Drivers (sản lượng × giá, chi phí theo dòng, CAPEX/khấu hao, VLĐ, vay, thuế) → Assumption (tỷ lệ tổng hợp) → Pro Forma (KQKD, CAPEX, VLĐ, lưu chuyển tiền trước gọi vốn, nhu cầu vốn) → IS/BS/CF 2026–2030 → Discount rate → DCF, VCM → Sensitivity, Summary → Chart_Data.</t>
  </si>
  <si>
    <t xml:space="preserve">Quy ước</t>
  </si>
  <si>
    <t xml:space="preserve">Ô vàng chữ xanh dương = số liệu/giả định nhập; chữ đen = công thức; chữ xanh lá = liên kết sheet khác. Đơn vị nghìn đồng (Summary, Chart_Data: tỷ đồng). Chiết khấu cuối năm, t0 = 01/01/2026.</t>
  </si>
  <si>
    <t xml:space="preserve">Kịch bản</t>
  </si>
  <si>
    <t xml:space="preserve">Drivers!C3: 1 Bear / 2 Base / 3 Bull. Drivers!C4: năm đầu tư lớn 2027 (đề bài) hoặc 2028 (template). Drivers!E113: tỷ lệ CAPEX năm đầu tư lớn tài trợ bằng vay.</t>
  </si>
  <si>
    <t xml:space="preserve">Cần cập nhật</t>
  </si>
  <si>
    <t xml:space="preserve">Lợi suất TPCP 10 năm (Discount rate!B13) và CRP Việt Nam (B16) là ước tính vì không truy cập được HNX/VBMA và bảng Damodaran 01/2026 trong phiên làm việc. Kiểm tra lại và cập nhật trước khi nộp.</t>
  </si>
  <si>
    <t xml:space="preserve">Nguồn chính</t>
  </si>
  <si>
    <t xml:space="preserve">NSO/Cục Thống kê &amp; NHNN qua FiinX (truy xuất 29/9/2026); Damodaran (01/2026, 07/2026); IMARC Group (2025); Mordor Intelligence; VECOM (2025); BCG–NIC–VPCA (2026); FiinX – DN bao bì niêm yết (giá 28/9/2026); Nghị định 08/2022/NĐ-CP Điều 64; Nghị định 110/2026/NĐ-CP; Luật Thuế TNDN 67/2025/QH15; NQ 198/2025/QH15; TB 846/TB-NATIF.</t>
  </si>
  <si>
    <t xml:space="preserve">CÁC CHỈNH SỬA ĐỐI VỚI FILE MẪU (lỗi logic của template)</t>
  </si>
  <si>
    <t xml:space="preserve">Sheet</t>
  </si>
  <si>
    <t xml:space="preserve">Ô</t>
  </si>
  <si>
    <t xml:space="preserve">Nội dung chỉnh sửa</t>
  </si>
  <si>
    <t xml:space="preserve">Lý do</t>
  </si>
  <si>
    <t xml:space="preserve">A8:A12</t>
  </si>
  <si>
    <t xml:space="preserve">Làm rõ nhãn: TSNH/Nợ NH không gồm tiền và vay</t>
  </si>
  <si>
    <t xml:space="preserve">Tiền mặt là kết quả của dòng tiền và vay là quyết định tài trợ – đưa vào tỷ lệ theo doanh thu sẽ gây vòng lặp và sai VLĐ.</t>
  </si>
  <si>
    <t xml:space="preserve">G13</t>
  </si>
  <si>
    <t xml:space="preserve">Ô khóa 65% (cột 2028) được thay bằng liên kết Drivers</t>
  </si>
  <si>
    <t xml:space="preserve">Đề bài quy định đầu tư lớn năm 2027. Ô chọn Drivers!C4 cho phép chạy lại phương án 65% vào 2028 như template.</t>
  </si>
  <si>
    <t xml:space="preserve">B31, B34, B36, C47:G48</t>
  </si>
  <si>
    <t xml:space="preserve">Sửa công thức biến động TSNH/Nợ NH</t>
  </si>
  <si>
    <t xml:space="preserve">Template: C47 = (B31−B32)−(C31−C33) trộn hàng tồn kho với phải thu; C48 = B34−C34 ngược dấu; B31/B34 gồm cả tiền và vay. Nay: VLĐ hoạt động = TSNH ngoài tiền − Nợ NH ngoài vay; dòng tiền = −ΔVLĐ.</t>
  </si>
  <si>
    <t xml:space="preserve">C53:G53</t>
  </si>
  <si>
    <t xml:space="preserve">Thay công thức "=-D54" (tham chiếu ô trống)</t>
  </si>
  <si>
    <t xml:space="preserve">Ghi nhận giải ngân/trả nợ vay theo kế hoạch để tính nhu cầu vốn cổ phần.</t>
  </si>
  <si>
    <t xml:space="preserve">A60:G60, B61</t>
  </si>
  <si>
    <t xml:space="preserve">Thêm hàng thiếu hụt tiền và công thức nhu cầu vốn</t>
  </si>
  <si>
    <t xml:space="preserve">B61 là ô vàng để trống; nay = thiếu hụt tối đa so với tiền mặt tối thiểu.</t>
  </si>
  <si>
    <t xml:space="preserve">G12, G14</t>
  </si>
  <si>
    <t xml:space="preserve">Giá trị cuối kỳ dùng FCFF chuẩn hóa và được chiết khấu vào EV</t>
  </si>
  <si>
    <t xml:space="preserve">Template: C16 = SUM(C14:G14) nhưng không có ô PV của TV → G14 gộp FCFF 2030 + TV. TV dùng NOPAT 2031 × (1 − g/RONIC) vì FCFF 2030 còn chứa CAPEX/VLĐ của giai đoạn tăng 19%/năm, không đại diện trạng thái tăng 5%.</t>
  </si>
  <si>
    <t xml:space="preserve">B6, B8, B9, E6:E12</t>
  </si>
  <si>
    <t xml:space="preserve">Điền công thức VC method; thêm hàng quy đổi xác suất thất bại theo năm</t>
  </si>
  <si>
    <t xml:space="preserve">Dùng z tích lũy như xác suất năm sẽ cho r_adj ~90% và post-money gần bằng 0 (hàng 43–44 minh họa).</t>
  </si>
  <si>
    <t xml:space="preserve">E6:I80; J:N</t>
  </si>
  <si>
    <t xml:space="preserve">Dựng lại dự phóng 2026–2030 từ Drivers; xóa cột 2031–2034</t>
  </si>
  <si>
    <t xml:space="preserve">Template chứa số giữ chỗ (VD: GVHB 2027 = 163 triệu → biên gộp 97,7%; chi phí "Insurance" 1.000...) không phản ánh DN. Đề bài chỉ yêu cầu 5 năm.</t>
  </si>
  <si>
    <t xml:space="preserve">D78</t>
  </si>
  <si>
    <t xml:space="preserve">Thay '-' bằng 0</t>
  </si>
  <si>
    <t xml:space="preserve">Ô text '-' làm lỗi phép tính thuế 2025.</t>
  </si>
  <si>
    <t xml:space="preserve">D4:E4</t>
  </si>
  <si>
    <t xml:space="preserve">Sửa nhãn ngày 01/01/2022, 31/12/2022 → 01/01/2023, 31/12/2023</t>
  </si>
  <si>
    <t xml:space="preserve">Cột D là số dư đầu năm 2023, cột E là 31/12/2023 (khớp CF: tiền đầu kỳ 2023 = 910 triệu).</t>
  </si>
  <si>
    <t xml:space="preserve">H26, H32 (và các năm dự phóng)</t>
  </si>
  <si>
    <t xml:space="preserve">Sửa dấu khấu hao lũy kế</t>
  </si>
  <si>
    <t xml:space="preserve">Template: H26 = G26 − khấu hao (lũy kế giảm dần) và H32 = SUM(H26:H31) cộng khấu hao lũy kế vào tài sản. Nay: lũy kế tăng theo khấu hao, TSCĐ ròng = nguyên giá − lũy kế (khớp cách trình bày 2023–2025).</t>
  </si>
  <si>
    <t xml:space="preserve">H72:L72</t>
  </si>
  <si>
    <t xml:space="preserve">Bỏ bút toán cân đối "=H34−H78" ở vốn cổ phần tăng thêm</t>
  </si>
  <si>
    <t xml:space="preserve">Template dùng vốn góp làm số cân đối (plug) → BCĐKT luôn cân nhưng vô nghĩa (vốn góp âm hàng trăm tỷ). Nay: vốn góp = Series A theo nhu cầu vốn; cân đối được kiểm tra ở hàng 80.</t>
  </si>
  <si>
    <t xml:space="preserve">H15:L19, H50:L74</t>
  </si>
  <si>
    <t xml:space="preserve">Xóa số giữ chỗ (1.037; 1.455; 10.000; 25.500...)</t>
  </si>
  <si>
    <t xml:space="preserve">Các số này không có trong BCTC lịch sử và làm sai tổng tài sản/vốn.</t>
  </si>
  <si>
    <t xml:space="preserve">số định dạng</t>
  </si>
  <si>
    <t xml:space="preserve">Bỏ ký hiệu "$" ở cột dự phóng</t>
  </si>
  <si>
    <t xml:space="preserve">Đơn vị là nghìn đồng.</t>
  </si>
  <si>
    <t xml:space="preserve">F16:J16</t>
  </si>
  <si>
    <t xml:space="preserve">Dòng "Nợ vay ngắn hạn" tham chiếu sai hàng doanh thu chưa thực hiện</t>
  </si>
  <si>
    <t xml:space="preserve">Nay tham chiếu BCĐKT hàng 48 (vay ngắn hạn), đồng nhất với số liệu 2023–2025.</t>
  </si>
  <si>
    <t xml:space="preserve">F27:J27</t>
  </si>
  <si>
    <t xml:space="preserve">Dòng "Nhận vốn góp" tham chiếu thẻ tín dụng (hàng 45)</t>
  </si>
  <si>
    <t xml:space="preserve">Nay = vốn cổ phần tăng thêm trong năm (BCĐKT hàng 72).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</si>
</sst>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_(* #,##0.00_);_(* \(#,##0.00\);_(* \-??_);_(@_)"/>
    <numFmt numFmtId="166" formatCode="0%"/>
    <numFmt numFmtId="167" formatCode="_(* #,##0_);_(* \(#,##0\);_(* \-??_);_(@_)"/>
    <numFmt numFmtId="168" formatCode="0"/>
    <numFmt numFmtId="169" formatCode="\$#,##0"/>
    <numFmt numFmtId="170" formatCode="General"/>
    <numFmt numFmtId="171" formatCode="0.0%"/>
    <numFmt numFmtId="172" formatCode="0.00%"/>
    <numFmt numFmtId="173" formatCode="[$-409]mmm\-yy"/>
    <numFmt numFmtId="174" formatCode="0.00"/>
    <numFmt numFmtId="175" formatCode="#,##0"/>
    <numFmt numFmtId="176" formatCode="0.00%;\-0.00%;\-"/>
    <numFmt numFmtId="177" formatCode="0.0%;\-0.0%;\-"/>
    <numFmt numFmtId="178" formatCode="#,##0.00;\(#,##0.00\);\-"/>
    <numFmt numFmtId="179" formatCode="#,##0;\(#,##0\);\-"/>
    <numFmt numFmtId="180" formatCode="0.00\x"/>
    <numFmt numFmtId="181" formatCode="#,##0.0;\(#,##0.0\);\-"/>
    <numFmt numFmtId="182" formatCode="0;\-0;\-"/>
    <numFmt numFmtId="183" formatCode="#,##0.00"/>
    <numFmt numFmtId="184" formatCode="_(* #,##0_);_(* \(#,##0\);_(* \-_);_(@_)"/>
    <numFmt numFmtId="185" formatCode="0.000"/>
    <numFmt numFmtId="186" formatCode="0.0\x"/>
    <numFmt numFmtId="187" formatCode="#,##0.0"/>
    <numFmt numFmtId="188" formatCode="\+0%;\-0%;0%"/>
    <numFmt numFmtId="189" formatCode="#,##0.000"/>
    <numFmt numFmtId="190" formatCode="0.0"/>
  </numFmts>
  <fonts count="109">
    <font>
      <sz val="12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2"/>
      <color rgb="FF000000"/>
      <name val="Verdana"/>
      <family val="2"/>
      <charset val="1"/>
    </font>
    <font>
      <sz val="16"/>
      <color rgb="FF000000"/>
      <name val="Verdana"/>
      <family val="2"/>
      <charset val="1"/>
    </font>
    <font>
      <sz val="12"/>
      <color rgb="FF00008D"/>
      <name val="Verdana"/>
      <family val="2"/>
      <charset val="1"/>
    </font>
    <font>
      <sz val="16"/>
      <color rgb="FF00008D"/>
      <name val="Verdana"/>
      <family val="2"/>
      <charset val="1"/>
    </font>
    <font>
      <b val="true"/>
      <i val="true"/>
      <sz val="12"/>
      <color rgb="FF000000"/>
      <name val="Verdana"/>
      <family val="2"/>
      <charset val="1"/>
    </font>
    <font>
      <b val="true"/>
      <i val="true"/>
      <sz val="12"/>
      <color rgb="FF000087"/>
      <name val="Verdana"/>
      <family val="2"/>
      <charset val="1"/>
    </font>
    <font>
      <sz val="11"/>
      <color rgb="FF000000"/>
      <name val="Verdana"/>
      <family val="2"/>
      <charset val="1"/>
    </font>
    <font>
      <b val="true"/>
      <sz val="11"/>
      <name val="Verdana"/>
      <family val="2"/>
      <charset val="1"/>
    </font>
    <font>
      <b val="true"/>
      <sz val="11"/>
      <color theme="0"/>
      <name val="Verdana"/>
      <family val="2"/>
      <charset val="1"/>
    </font>
    <font>
      <sz val="11"/>
      <color theme="0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1"/>
      <name val="Verdana"/>
      <family val="2"/>
      <charset val="1"/>
    </font>
    <font>
      <sz val="12"/>
      <color theme="1"/>
      <name val="Arial"/>
      <family val="2"/>
      <charset val="1"/>
    </font>
    <font>
      <b val="true"/>
      <sz val="11"/>
      <color rgb="FFFF0000"/>
      <name val="Verdana"/>
      <family val="2"/>
      <charset val="1"/>
    </font>
    <font>
      <i val="true"/>
      <sz val="11"/>
      <color rgb="FF000000"/>
      <name val="Verdana"/>
      <family val="2"/>
      <charset val="1"/>
    </font>
    <font>
      <b val="true"/>
      <sz val="11"/>
      <name val="Verdana"/>
      <family val="0"/>
      <charset val="1"/>
    </font>
    <font>
      <b val="true"/>
      <sz val="10"/>
      <name val="Verdana"/>
      <family val="0"/>
      <charset val="1"/>
    </font>
    <font>
      <sz val="10"/>
      <name val="Verdana"/>
      <family val="0"/>
      <charset val="1"/>
    </font>
    <font>
      <sz val="12"/>
      <color theme="1"/>
      <name val="Verdana"/>
      <family val="2"/>
      <charset val="1"/>
    </font>
    <font>
      <b val="true"/>
      <sz val="14"/>
      <color theme="2"/>
      <name val="Verdana"/>
      <family val="2"/>
      <charset val="1"/>
    </font>
    <font>
      <sz val="12"/>
      <color theme="2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2"/>
      <color theme="1"/>
      <name val="Verdana"/>
      <family val="2"/>
      <charset val="1"/>
    </font>
    <font>
      <sz val="12"/>
      <color rgb="FFFF0000"/>
      <name val="Verdana"/>
      <family val="2"/>
      <charset val="1"/>
    </font>
    <font>
      <i val="true"/>
      <sz val="12"/>
      <color theme="1"/>
      <name val="Verdana"/>
      <family val="2"/>
      <charset val="1"/>
    </font>
    <font>
      <sz val="12"/>
      <color theme="1"/>
      <name val="Calibri"/>
      <family val="2"/>
      <charset val="1"/>
    </font>
    <font>
      <b val="true"/>
      <sz val="16"/>
      <color theme="0"/>
      <name val="Verdana"/>
      <family val="2"/>
      <charset val="1"/>
    </font>
    <font>
      <b val="true"/>
      <sz val="16"/>
      <color rgb="FFF8F8F8"/>
      <name val="Calibri"/>
      <family val="2"/>
      <charset val="1"/>
    </font>
    <font>
      <sz val="11"/>
      <color theme="1"/>
      <name val="Calibri"/>
      <family val="2"/>
      <charset val="1"/>
    </font>
    <font>
      <sz val="10"/>
      <color theme="1"/>
      <name val="Verdana"/>
      <family val="2"/>
      <charset val="1"/>
    </font>
    <font>
      <b val="true"/>
      <sz val="10"/>
      <color theme="1"/>
      <name val="Verdana"/>
      <family val="2"/>
      <charset val="1"/>
    </font>
    <font>
      <i val="true"/>
      <sz val="10"/>
      <color theme="1"/>
      <name val="Verdana"/>
      <family val="2"/>
      <charset val="1"/>
    </font>
    <font>
      <b val="true"/>
      <sz val="10"/>
      <color theme="0"/>
      <name val="Verdana"/>
      <family val="2"/>
      <charset val="1"/>
    </font>
    <font>
      <b val="true"/>
      <sz val="10"/>
      <color rgb="FFF8F8F8"/>
      <name val="Verdana"/>
      <family val="2"/>
      <charset val="1"/>
    </font>
    <font>
      <i val="true"/>
      <sz val="8"/>
      <color rgb="FF7F7F7F"/>
      <name val="Verdana"/>
      <family val="0"/>
      <charset val="1"/>
    </font>
    <font>
      <b val="true"/>
      <sz val="10"/>
      <color rgb="FF000000"/>
      <name val="Verdana"/>
      <family val="2"/>
      <charset val="1"/>
    </font>
    <font>
      <sz val="10"/>
      <color rgb="FF000087"/>
      <name val="Verdana"/>
      <family val="2"/>
      <charset val="1"/>
    </font>
    <font>
      <sz val="10"/>
      <color rgb="FF0000FF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0"/>
      <color rgb="FF0000FF"/>
      <name val="Verdana"/>
      <family val="2"/>
      <charset val="1"/>
    </font>
    <font>
      <b val="true"/>
      <sz val="12"/>
      <color theme="1"/>
      <name val="Calibri"/>
      <family val="2"/>
      <charset val="1"/>
    </font>
    <font>
      <sz val="12"/>
      <color rgb="FF0000FF"/>
      <name val="Calibri"/>
      <family val="2"/>
      <charset val="1"/>
    </font>
    <font>
      <b val="true"/>
      <sz val="12"/>
      <color theme="1"/>
      <name val="Arial"/>
      <family val="2"/>
      <charset val="1"/>
    </font>
    <font>
      <sz val="12"/>
      <name val="Arial"/>
      <family val="2"/>
      <charset val="1"/>
    </font>
    <font>
      <b val="true"/>
      <sz val="16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i val="true"/>
      <sz val="11"/>
      <name val="Calibri"/>
      <family val="2"/>
      <charset val="1"/>
    </font>
    <font>
      <i val="true"/>
      <sz val="11"/>
      <name val="Arial"/>
      <family val="2"/>
      <charset val="1"/>
    </font>
    <font>
      <b val="true"/>
      <i val="true"/>
      <sz val="9"/>
      <color rgb="FF002060"/>
      <name val="Verdana"/>
      <family val="2"/>
      <charset val="1"/>
    </font>
    <font>
      <i val="true"/>
      <sz val="10"/>
      <name val="Verdana"/>
      <family val="2"/>
      <charset val="1"/>
    </font>
    <font>
      <b val="true"/>
      <i val="true"/>
      <sz val="10"/>
      <color rgb="FFFF0000"/>
      <name val="Verdana"/>
      <family val="2"/>
      <charset val="1"/>
    </font>
    <font>
      <b val="true"/>
      <sz val="10"/>
      <color rgb="FF000000"/>
      <name val="Verdana"/>
      <family val="0"/>
      <charset val="1"/>
    </font>
    <font>
      <sz val="12"/>
      <name val="Calibri"/>
      <family val="2"/>
      <charset val="1"/>
    </font>
    <font>
      <sz val="10"/>
      <color rgb="FFFF0000"/>
      <name val="Verdana"/>
      <family val="2"/>
      <charset val="1"/>
    </font>
    <font>
      <i val="true"/>
      <sz val="10"/>
      <color rgb="FF000000"/>
      <name val="Verdana"/>
      <family val="2"/>
      <charset val="1"/>
    </font>
    <font>
      <b val="true"/>
      <sz val="10"/>
      <color rgb="FFFF0000"/>
      <name val="Verdana"/>
      <family val="2"/>
      <charset val="1"/>
    </font>
    <font>
      <b val="true"/>
      <sz val="12"/>
      <name val="Calibri"/>
      <family val="2"/>
      <charset val="1"/>
    </font>
    <font>
      <i val="true"/>
      <sz val="11"/>
      <color theme="1"/>
      <name val="Verdana"/>
      <family val="2"/>
      <charset val="1"/>
    </font>
    <font>
      <sz val="11"/>
      <color theme="1"/>
      <name val="Verdana"/>
      <family val="2"/>
      <charset val="1"/>
    </font>
    <font>
      <sz val="11"/>
      <color rgb="FF002060"/>
      <name val="Verdana"/>
      <family val="2"/>
      <charset val="1"/>
    </font>
    <font>
      <b val="true"/>
      <i val="true"/>
      <sz val="11"/>
      <color theme="1"/>
      <name val="Verdana"/>
      <family val="2"/>
      <charset val="1"/>
    </font>
    <font>
      <b val="true"/>
      <sz val="11"/>
      <color theme="1"/>
      <name val="Verdana"/>
      <family val="2"/>
      <charset val="1"/>
    </font>
    <font>
      <b val="true"/>
      <sz val="11"/>
      <color rgb="FF002060"/>
      <name val="Verdana"/>
      <family val="2"/>
      <charset val="1"/>
    </font>
    <font>
      <i val="true"/>
      <sz val="10"/>
      <color rgb="FF002060"/>
      <name val="Verdana"/>
      <family val="2"/>
      <charset val="1"/>
    </font>
    <font>
      <b val="true"/>
      <sz val="11"/>
      <color rgb="FF000000"/>
      <name val="Verdana"/>
      <family val="0"/>
      <charset val="1"/>
    </font>
    <font>
      <sz val="10"/>
      <color rgb="FF000000"/>
      <name val="Verdana"/>
      <family val="0"/>
      <charset val="1"/>
    </font>
    <font>
      <sz val="10"/>
      <color rgb="FF0000FF"/>
      <name val="Verdana"/>
      <family val="0"/>
      <charset val="1"/>
    </font>
    <font>
      <sz val="10"/>
      <color rgb="FF008000"/>
      <name val="Verdana"/>
      <family val="0"/>
      <charset val="1"/>
    </font>
    <font>
      <i val="true"/>
      <sz val="9"/>
      <name val="Verdana"/>
      <family val="0"/>
      <charset val="1"/>
    </font>
    <font>
      <sz val="10"/>
      <name val="Arial"/>
      <family val="2"/>
    </font>
    <font>
      <b val="true"/>
      <sz val="20"/>
      <color theme="2"/>
      <name val="Verdana"/>
      <family val="2"/>
      <charset val="1"/>
    </font>
    <font>
      <sz val="11"/>
      <color theme="2"/>
      <name val="Verdana"/>
      <family val="2"/>
      <charset val="1"/>
    </font>
    <font>
      <sz val="11"/>
      <color rgb="FF008000"/>
      <name val="Verdana"/>
      <family val="0"/>
      <charset val="1"/>
    </font>
    <font>
      <i val="true"/>
      <sz val="11"/>
      <color rgb="FF002060"/>
      <name val="Verdana"/>
      <family val="2"/>
      <charset val="1"/>
    </font>
    <font>
      <sz val="11"/>
      <color rgb="FF0000FF"/>
      <name val="Verdana"/>
      <family val="0"/>
      <charset val="1"/>
    </font>
    <font>
      <sz val="11"/>
      <name val="Verdana"/>
      <family val="0"/>
      <charset val="1"/>
    </font>
    <font>
      <b val="true"/>
      <sz val="14"/>
      <color rgb="FF000000"/>
      <name val="Verdana"/>
      <family val="0"/>
      <charset val="1"/>
    </font>
    <font>
      <i val="true"/>
      <sz val="9"/>
      <color rgb="FF000000"/>
      <name val="Verdana"/>
      <family val="0"/>
      <charset val="1"/>
    </font>
    <font>
      <b val="true"/>
      <sz val="10"/>
      <color rgb="FFFFFFFF"/>
      <name val="Verdana"/>
      <family val="0"/>
      <charset val="1"/>
    </font>
    <font>
      <i val="true"/>
      <sz val="8"/>
      <color rgb="FF000000"/>
      <name val="Verdana"/>
      <family val="0"/>
      <charset val="1"/>
    </font>
    <font>
      <b val="true"/>
      <sz val="10"/>
      <color rgb="FF008000"/>
      <name val="Verdana"/>
      <family val="0"/>
      <charset val="1"/>
    </font>
    <font>
      <sz val="11"/>
      <color rgb="FFFF0000"/>
      <name val="Verdana"/>
      <family val="2"/>
      <charset val="1"/>
    </font>
    <font>
      <i val="true"/>
      <sz val="11"/>
      <color rgb="FFFF0000"/>
      <name val="Verdana"/>
      <family val="2"/>
      <charset val="1"/>
    </font>
    <font>
      <i val="true"/>
      <sz val="11"/>
      <name val="Verdana"/>
      <family val="2"/>
      <charset val="1"/>
    </font>
    <font>
      <b val="true"/>
      <sz val="18"/>
      <color theme="0"/>
      <name val="Verdana"/>
      <family val="2"/>
      <charset val="1"/>
    </font>
    <font>
      <b val="true"/>
      <sz val="14"/>
      <name val="Verdana"/>
      <family val="2"/>
      <charset val="1"/>
    </font>
    <font>
      <b val="true"/>
      <sz val="14"/>
      <color theme="0"/>
      <name val="Verdana"/>
      <family val="2"/>
      <charset val="1"/>
    </font>
    <font>
      <sz val="11"/>
      <color theme="3" tint="0.3999"/>
      <name val="Verdana"/>
      <family val="2"/>
      <charset val="1"/>
    </font>
    <font>
      <i val="true"/>
      <sz val="11"/>
      <name val="Verdana"/>
      <family val="0"/>
      <charset val="1"/>
    </font>
    <font>
      <b val="true"/>
      <i val="true"/>
      <sz val="11"/>
      <color rgb="FF002060"/>
      <name val="Verdana"/>
      <family val="2"/>
      <charset val="1"/>
    </font>
    <font>
      <b val="true"/>
      <i val="true"/>
      <sz val="11"/>
      <name val="Verdana"/>
      <family val="2"/>
      <charset val="1"/>
    </font>
    <font>
      <i val="true"/>
      <sz val="12"/>
      <color rgb="FF002060"/>
      <name val="Verdana"/>
      <family val="2"/>
      <charset val="1"/>
    </font>
    <font>
      <sz val="12"/>
      <name val="Verdana"/>
      <family val="2"/>
      <charset val="1"/>
    </font>
    <font>
      <i val="true"/>
      <sz val="12"/>
      <name val="Verdana"/>
      <family val="2"/>
      <charset val="1"/>
    </font>
    <font>
      <b val="true"/>
      <sz val="16"/>
      <color theme="2"/>
      <name val="Verdana"/>
      <family val="2"/>
      <charset val="1"/>
    </font>
    <font>
      <b val="true"/>
      <sz val="11"/>
      <color theme="2"/>
      <name val="Verdana"/>
      <family val="2"/>
      <charset val="1"/>
    </font>
    <font>
      <b val="true"/>
      <sz val="13"/>
      <color rgb="FF000000"/>
      <name val="Verdana"/>
      <family val="0"/>
      <charset val="1"/>
    </font>
    <font>
      <b val="true"/>
      <sz val="12"/>
      <color rgb="FF000000"/>
      <name val="Verdana"/>
      <family val="0"/>
      <charset val="1"/>
    </font>
    <font>
      <b val="true"/>
      <sz val="9"/>
      <color rgb="FFFFFFFF"/>
      <name val="Verdana"/>
      <family val="0"/>
      <charset val="1"/>
    </font>
    <font>
      <sz val="9"/>
      <color rgb="FF000000"/>
      <name val="Verdana"/>
      <family val="0"/>
      <charset val="1"/>
    </font>
    <font>
      <b val="true"/>
      <sz val="9"/>
      <color rgb="FF000000"/>
      <name val="Verdana"/>
      <family val="0"/>
      <charset val="1"/>
    </font>
    <font>
      <sz val="9"/>
      <color rgb="FF008000"/>
      <name val="Verdana"/>
      <family val="0"/>
      <charset val="1"/>
    </font>
    <font>
      <sz val="9"/>
      <color rgb="FF0000FF"/>
      <name val="Verdan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8F8F8"/>
      </patternFill>
    </fill>
    <fill>
      <patternFill patternType="solid">
        <fgColor rgb="FFF3F7FD"/>
        <bgColor rgb="FFF8F8F8"/>
      </patternFill>
    </fill>
    <fill>
      <patternFill patternType="solid">
        <fgColor rgb="FFFEFBCE"/>
        <bgColor rgb="FFF8F8F8"/>
      </patternFill>
    </fill>
    <fill>
      <patternFill patternType="solid">
        <fgColor rgb="FF002060"/>
        <bgColor rgb="FF000087"/>
      </patternFill>
    </fill>
    <fill>
      <patternFill patternType="solid">
        <fgColor rgb="FFB7E3E4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rgb="FF000087"/>
        <bgColor rgb="FF00008D"/>
      </patternFill>
    </fill>
    <fill>
      <patternFill patternType="solid">
        <fgColor rgb="FFE7E6E6"/>
        <bgColor rgb="FFEDEDED"/>
      </patternFill>
    </fill>
    <fill>
      <patternFill patternType="solid">
        <fgColor theme="7" tint="0.5999"/>
        <bgColor rgb="FFFEFBCE"/>
      </patternFill>
    </fill>
    <fill>
      <patternFill patternType="solid">
        <fgColor theme="8" tint="0.7999"/>
        <bgColor rgb="FFDAE3F3"/>
      </patternFill>
    </fill>
    <fill>
      <patternFill patternType="solid">
        <fgColor theme="4" tint="0.7999"/>
        <bgColor rgb="FFDEEBF7"/>
      </patternFill>
    </fill>
    <fill>
      <patternFill patternType="solid">
        <fgColor rgb="FFEDEDED"/>
        <bgColor rgb="FFE7E6E6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61BFB9"/>
      </left>
      <right style="thin">
        <color rgb="FF61BFB9"/>
      </right>
      <top style="thin">
        <color rgb="FF61BFB9"/>
      </top>
      <bottom style="thin">
        <color rgb="FF61BFB9"/>
      </bottom>
      <diagonal/>
    </border>
    <border diagonalUp="false" diagonalDown="false">
      <left style="thin">
        <color theme="4" tint="0.7999"/>
      </left>
      <right/>
      <top style="thin">
        <color theme="4" tint="0.7999"/>
      </top>
      <bottom/>
      <diagonal/>
    </border>
    <border diagonalUp="false" diagonalDown="false">
      <left/>
      <right/>
      <top style="thin">
        <color theme="4" tint="0.7999"/>
      </top>
      <bottom/>
      <diagonal/>
    </border>
    <border diagonalUp="false" diagonalDown="false">
      <left/>
      <right style="thin">
        <color theme="4" tint="0.7999"/>
      </right>
      <top style="thin">
        <color theme="4" tint="0.7999"/>
      </top>
      <bottom/>
      <diagonal/>
    </border>
    <border diagonalUp="false" diagonalDown="false">
      <left style="thin">
        <color theme="4" tint="0.7999"/>
      </left>
      <right/>
      <top/>
      <bottom style="thin">
        <color theme="0" tint="-0.25"/>
      </bottom>
      <diagonal/>
    </border>
    <border diagonalUp="false" diagonalDown="false">
      <left/>
      <right style="thin">
        <color theme="4" tint="0.7999"/>
      </right>
      <top/>
      <bottom style="thin">
        <color theme="0" tint="-0.25"/>
      </bottom>
      <diagonal/>
    </border>
    <border diagonalUp="false" diagonalDown="false">
      <left style="thin">
        <color theme="4" tint="0.7999"/>
      </left>
      <right style="thin">
        <color theme="4" tint="0.7999"/>
      </right>
      <top/>
      <bottom/>
      <diagonal/>
    </border>
    <border diagonalUp="false" diagonalDown="false">
      <left style="thin">
        <color theme="4" tint="0.7999"/>
      </left>
      <right/>
      <top/>
      <bottom style="thin">
        <color theme="4" tint="0.7999"/>
      </bottom>
      <diagonal/>
    </border>
    <border diagonalUp="false" diagonalDown="false">
      <left/>
      <right/>
      <top/>
      <bottom style="thin">
        <color theme="4" tint="0.7999"/>
      </bottom>
      <diagonal/>
    </border>
    <border diagonalUp="false" diagonalDown="false">
      <left/>
      <right style="thin">
        <color theme="4" tint="0.7999"/>
      </right>
      <top/>
      <bottom style="thin">
        <color theme="4" tint="0.799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>
        <color rgb="FFF3F7FD"/>
      </left>
      <right style="thin">
        <color rgb="FFF3F7FD"/>
      </right>
      <top style="thin">
        <color rgb="FFF3F7FD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thin">
        <color rgb="FFF3F7FD"/>
      </left>
      <right style="thin">
        <color rgb="FFF3F7FD"/>
      </right>
      <top style="thin">
        <color rgb="FFF3F7FD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thin"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4" borderId="1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1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2" borderId="1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2" borderId="1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6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3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3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3" borderId="1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7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3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2" borderId="15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2" borderId="15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3" fillId="8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5" fillId="0" borderId="0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7" fillId="5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8" fillId="8" borderId="16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8" fillId="8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9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9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5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6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1" fillId="3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3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1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1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3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6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6" borderId="1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1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1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1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6" borderId="18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18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3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3" fillId="0" borderId="1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3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7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4" fillId="0" borderId="1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3" fillId="6" borderId="1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3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3" fillId="6" borderId="1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6" borderId="18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6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7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9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5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8" fillId="5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3" fillId="0" borderId="1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3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5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1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6" fillId="6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5" fillId="6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5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3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2" borderId="1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1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2" borderId="1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2" borderId="1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1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8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7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8" fillId="5" borderId="19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19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19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6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2" fillId="0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3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5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5" fillId="4" borderId="20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4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8" fillId="2" borderId="0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5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5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8" fillId="4" borderId="20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8" fillId="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8" fillId="4" borderId="2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8" fillId="10" borderId="2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3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9" fillId="2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0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9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9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5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6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5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5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5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16" fillId="2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14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2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2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6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5" fillId="4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2" borderId="1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2" fillId="4" borderId="1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2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7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7" fillId="2" borderId="0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6" fillId="4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1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6" fillId="2" borderId="1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6" fillId="4" borderId="1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1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7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88" fillId="2" borderId="0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6" fillId="2" borderId="0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16" fillId="2" borderId="0" xfId="1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6" fillId="4" borderId="0" xfId="1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9" fillId="2" borderId="0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89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9" fillId="4" borderId="0" xfId="1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6" fillId="4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9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9" fillId="2" borderId="0" xfId="1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89" fillId="4" borderId="0" xfId="1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5" fontId="12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6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6" fillId="4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6" fillId="2" borderId="14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2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0" fillId="5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4" fillId="5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1" fillId="1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6" fillId="1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2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2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6" fillId="0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3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6" fillId="6" borderId="1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88" fillId="2" borderId="0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6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6" fillId="6" borderId="1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9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89" fillId="4" borderId="2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89" fillId="0" borderId="2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95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96" fillId="0" borderId="2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16" fillId="5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" borderId="0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2" borderId="1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1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2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2" borderId="22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8" fillId="2" borderId="22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2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2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5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6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5" fillId="4" borderId="2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2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8" fillId="2" borderId="2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8" fillId="4" borderId="22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4" borderId="22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6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6" borderId="17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6" fillId="6" borderId="1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7" fillId="2" borderId="0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98" fillId="2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9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8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96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5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9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89" fillId="2" borderId="2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9" fillId="4" borderId="20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9" fillId="2" borderId="0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79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7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97" fillId="6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97" fillId="2" borderId="0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97" fillId="6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9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87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3" fillId="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3" fillId="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3" fillId="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3" fillId="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4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1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3" fillId="4" borderId="20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5" fillId="4" borderId="20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3" fillId="4" borderId="20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5" fillId="2" borderId="0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3" fillId="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3" fillId="2" borderId="0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9" fillId="2" borderId="0" xfId="21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79" fillId="6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79" fillId="2" borderId="0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79" fillId="6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5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1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1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5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8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0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0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0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0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5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Normal 2" xfId="21"/>
    <cellStyle name="Percent 2" xfId="22"/>
  </cellStyles>
  <dxfs count="1"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7"/>
      <rgbColor rgb="FF808000"/>
      <rgbColor rgb="FF800080"/>
      <rgbColor rgb="FF008080"/>
      <rgbColor rgb="FFBFBFBF"/>
      <rgbColor rgb="FF7F7F7F"/>
      <rgbColor rgb="FF8FAADC"/>
      <rgbColor rgb="FF993366"/>
      <rgbColor rgb="FFFEFBCE"/>
      <rgbColor rgb="FFDEEBF7"/>
      <rgbColor rgb="FF660066"/>
      <rgbColor rgb="FFFF8080"/>
      <rgbColor rgb="FF0066CC"/>
      <rgbColor rgb="FFDAE3F3"/>
      <rgbColor rgb="FF00008D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D"/>
      <rgbColor rgb="FFEDEDED"/>
      <rgbColor rgb="FFFFE699"/>
      <rgbColor rgb="FFB7E3E4"/>
      <rgbColor rgb="FFE7E6E6"/>
      <rgbColor rgb="FFF8F8F8"/>
      <rgbColor rgb="FFF4CCCC"/>
      <rgbColor rgb="FF3366FF"/>
      <rgbColor rgb="FF61BFB9"/>
      <rgbColor rgb="FF92D050"/>
      <rgbColor rgb="FFFFC000"/>
      <rgbColor rgb="FFFF9900"/>
      <rgbColor rgb="FFFF6600"/>
      <rgbColor rgb="FF666666"/>
      <rgbColor rgb="FF969696"/>
      <rgbColor rgb="FF002060"/>
      <rgbColor rgb="FF339966"/>
      <rgbColor rgb="FF003300"/>
      <rgbColor rgb="FF333300"/>
      <rgbColor rgb="FF7B1E2B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69840</xdr:colOff>
      <xdr:row>1</xdr:row>
      <xdr:rowOff>111240</xdr:rowOff>
    </xdr:from>
    <xdr:to>
      <xdr:col>2</xdr:col>
      <xdr:colOff>776880</xdr:colOff>
      <xdr:row>2</xdr:row>
      <xdr:rowOff>196560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300240" y="311400"/>
          <a:ext cx="1083240" cy="333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4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B2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8203125" defaultRowHeight="15.75" zeroHeight="false" outlineLevelRow="0" outlineLevelCol="0"/>
  <cols>
    <col collapsed="false" customWidth="true" hidden="false" outlineLevel="0" max="1" min="1" style="1" width="2.73"/>
    <col collapsed="false" customWidth="true" hidden="false" outlineLevel="0" max="2" min="2" style="1" width="4.45"/>
    <col collapsed="false" customWidth="true" hidden="false" outlineLevel="0" max="3" min="3" style="1" width="24.36"/>
    <col collapsed="false" customWidth="true" hidden="false" outlineLevel="0" max="4" min="4" style="1" width="15.54"/>
    <col collapsed="false" customWidth="false" hidden="false" outlineLevel="0" max="9" min="5" style="1" width="8.82"/>
    <col collapsed="false" customWidth="true" hidden="false" outlineLevel="0" max="10" min="10" style="1" width="9.91"/>
    <col collapsed="false" customWidth="false" hidden="false" outlineLevel="0" max="16384" min="11" style="1" width="8.82"/>
  </cols>
  <sheetData>
    <row r="2" customFormat="false" ht="19.5" hidden="false" customHeight="true" outlineLevel="0" collapsed="false">
      <c r="B2" s="2"/>
    </row>
    <row r="3" customFormat="false" ht="19.5" hidden="false" customHeight="true" outlineLevel="0" collapsed="false">
      <c r="B3" s="2"/>
    </row>
    <row r="4" s="3" customFormat="true" ht="19.5" hidden="false" customHeight="true" outlineLevel="0" collapsed="false">
      <c r="B4" s="4" t="s">
        <v>0</v>
      </c>
    </row>
    <row r="6" customFormat="false" ht="15.75" hidden="false" customHeight="false" outlineLevel="0" collapsed="false">
      <c r="I6" s="5" t="s">
        <v>1</v>
      </c>
      <c r="J6" s="6" t="n">
        <v>2026</v>
      </c>
    </row>
    <row r="7" s="7" customFormat="true" ht="13.5" hidden="false" customHeight="true" outlineLevel="0" collapsed="false"/>
    <row r="8" s="7" customFormat="true" ht="13.5" hidden="false" customHeight="true" outlineLevel="0" collapsed="false">
      <c r="C8" s="8" t="s">
        <v>2</v>
      </c>
    </row>
    <row r="9" s="7" customFormat="true" ht="13.5" hidden="false" customHeight="true" outlineLevel="0" collapsed="false">
      <c r="B9" s="9" t="s">
        <v>3</v>
      </c>
      <c r="C9" s="9"/>
      <c r="D9" s="10"/>
      <c r="E9" s="10"/>
      <c r="F9" s="10"/>
      <c r="G9" s="10"/>
      <c r="H9" s="10"/>
      <c r="I9" s="10"/>
      <c r="J9" s="10"/>
    </row>
    <row r="10" s="7" customFormat="true" ht="6.75" hidden="false" customHeight="true" outlineLevel="0" collapsed="false">
      <c r="C10" s="11"/>
      <c r="D10" s="12"/>
      <c r="E10" s="12"/>
      <c r="F10" s="12"/>
      <c r="G10" s="12"/>
      <c r="H10" s="12"/>
      <c r="I10" s="12"/>
      <c r="J10" s="13"/>
    </row>
    <row r="11" s="14" customFormat="true" ht="15.75" hidden="false" customHeight="true" outlineLevel="0" collapsed="false">
      <c r="C11" s="15" t="s">
        <v>4</v>
      </c>
      <c r="D11" s="16" t="s">
        <v>5</v>
      </c>
      <c r="E11" s="17" t="s">
        <v>6</v>
      </c>
      <c r="F11" s="17"/>
      <c r="G11" s="17"/>
      <c r="H11" s="17"/>
      <c r="I11" s="17"/>
      <c r="J11" s="17"/>
    </row>
    <row r="12" s="14" customFormat="true" ht="13.5" hidden="false" customHeight="true" outlineLevel="0" collapsed="false">
      <c r="C12" s="15"/>
      <c r="D12" s="16"/>
      <c r="E12" s="17"/>
      <c r="F12" s="17"/>
      <c r="G12" s="17"/>
      <c r="H12" s="17"/>
      <c r="I12" s="17"/>
      <c r="J12" s="17"/>
    </row>
    <row r="13" s="14" customFormat="true" ht="36" hidden="false" customHeight="true" outlineLevel="0" collapsed="false">
      <c r="C13" s="18" t="s">
        <v>7</v>
      </c>
      <c r="D13" s="18"/>
      <c r="E13" s="18"/>
      <c r="F13" s="18"/>
      <c r="G13" s="18"/>
      <c r="H13" s="18"/>
      <c r="I13" s="18"/>
      <c r="J13" s="18"/>
    </row>
    <row r="14" s="7" customFormat="true" ht="6.75" hidden="false" customHeight="true" outlineLevel="0" collapsed="false">
      <c r="C14" s="19"/>
      <c r="D14" s="20"/>
      <c r="E14" s="20"/>
      <c r="F14" s="20"/>
      <c r="G14" s="20"/>
      <c r="H14" s="20"/>
      <c r="I14" s="20"/>
      <c r="J14" s="21"/>
    </row>
    <row r="15" s="7" customFormat="true" ht="13.5" hidden="false" customHeight="true" outlineLevel="0" collapsed="false"/>
    <row r="16" s="7" customFormat="true" ht="13.5" hidden="false" customHeight="true" outlineLevel="0" collapsed="false">
      <c r="B16" s="22" t="s">
        <v>8</v>
      </c>
    </row>
    <row r="17" s="7" customFormat="true" ht="13.5" hidden="false" customHeight="true" outlineLevel="0" collapsed="false">
      <c r="B17" s="23" t="s">
        <v>9</v>
      </c>
      <c r="D17" s="24" t="s">
        <v>10</v>
      </c>
    </row>
    <row r="18" s="7" customFormat="true" ht="13.5" hidden="false" customHeight="true" outlineLevel="0" collapsed="false">
      <c r="B18" s="23" t="s">
        <v>11</v>
      </c>
      <c r="D18" s="24" t="s">
        <v>12</v>
      </c>
    </row>
    <row r="19" s="7" customFormat="true" ht="13.5" hidden="false" customHeight="true" outlineLevel="0" collapsed="false">
      <c r="B19" s="23" t="s">
        <v>13</v>
      </c>
      <c r="D19" s="24" t="s">
        <v>14</v>
      </c>
    </row>
    <row r="20" s="7" customFormat="true" ht="13.5" hidden="false" customHeight="true" outlineLevel="0" collapsed="false">
      <c r="B20" s="23" t="s">
        <v>15</v>
      </c>
      <c r="D20" s="24" t="s">
        <v>16</v>
      </c>
    </row>
    <row r="21" s="7" customFormat="true" ht="13.5" hidden="false" customHeight="true" outlineLevel="0" collapsed="false">
      <c r="B21" s="23" t="s">
        <v>17</v>
      </c>
      <c r="D21" s="24" t="s">
        <v>18</v>
      </c>
    </row>
    <row r="22" s="7" customFormat="true" ht="13.5" hidden="false" customHeight="true" outlineLevel="0" collapsed="false">
      <c r="B22" s="23" t="s">
        <v>19</v>
      </c>
      <c r="D22" s="24" t="s">
        <v>20</v>
      </c>
    </row>
    <row r="23" customFormat="false" ht="15.75" hidden="false" customHeight="false" outlineLevel="0" collapsed="false">
      <c r="B23" s="23" t="s">
        <v>21</v>
      </c>
      <c r="D23" s="24" t="s">
        <v>22</v>
      </c>
    </row>
    <row r="24" customFormat="false" ht="15.75" hidden="false" customHeight="false" outlineLevel="0" collapsed="false">
      <c r="B24" s="23" t="s">
        <v>23</v>
      </c>
      <c r="D24" s="24" t="s">
        <v>24</v>
      </c>
    </row>
  </sheetData>
  <mergeCells count="4">
    <mergeCell ref="C11:C12"/>
    <mergeCell ref="D11:D12"/>
    <mergeCell ref="E11:J12"/>
    <mergeCell ref="C13:J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8.73046875" defaultRowHeight="15.75" zeroHeight="false" outlineLevelRow="0" outlineLevelCol="0"/>
  <cols>
    <col collapsed="false" customWidth="true" hidden="false" outlineLevel="0" max="1" min="1" style="25" width="19.91"/>
    <col collapsed="false" customWidth="true" hidden="false" outlineLevel="0" max="2" min="2" style="25" width="15.27"/>
    <col collapsed="false" customWidth="true" hidden="false" outlineLevel="0" max="3" min="3" style="25" width="9.91"/>
    <col collapsed="false" customWidth="true" hidden="false" outlineLevel="0" max="4" min="4" style="25" width="18.82"/>
    <col collapsed="false" customWidth="false" hidden="false" outlineLevel="0" max="6" min="5" style="25" width="8.73"/>
    <col collapsed="false" customWidth="true" hidden="true" outlineLevel="0" max="7" min="7" style="25" width="11.91"/>
    <col collapsed="false" customWidth="true" hidden="true" outlineLevel="0" max="8" min="8" style="25" width="15.36"/>
    <col collapsed="false" customWidth="false" hidden="false" outlineLevel="0" max="16384" min="9" style="25" width="8.73"/>
  </cols>
  <sheetData>
    <row r="1" customFormat="false" ht="27.75" hidden="false" customHeight="true" outlineLevel="0" collapsed="false">
      <c r="A1" s="26" t="s">
        <v>25</v>
      </c>
      <c r="B1" s="27"/>
      <c r="C1" s="27"/>
      <c r="D1" s="27"/>
      <c r="E1" s="28"/>
      <c r="F1" s="28"/>
      <c r="G1" s="28"/>
    </row>
    <row r="3" customFormat="false" ht="33" hidden="false" customHeight="true" outlineLevel="0" collapsed="false">
      <c r="A3" s="29"/>
      <c r="B3" s="29" t="s">
        <v>26</v>
      </c>
      <c r="C3" s="29" t="s">
        <v>27</v>
      </c>
      <c r="D3" s="29" t="s">
        <v>28</v>
      </c>
      <c r="E3" s="29" t="s">
        <v>29</v>
      </c>
      <c r="F3" s="30" t="s">
        <v>30</v>
      </c>
      <c r="G3" s="29" t="s">
        <v>31</v>
      </c>
      <c r="H3" s="31" t="s">
        <v>32</v>
      </c>
    </row>
    <row r="4" customFormat="false" ht="16.5" hidden="false" customHeight="true" outlineLevel="0" collapsed="false">
      <c r="A4" s="32"/>
      <c r="C4" s="33"/>
      <c r="D4" s="34" t="n">
        <f aca="false">SUM(D5:D7)</f>
        <v>24090000</v>
      </c>
      <c r="F4" s="35" t="n">
        <f aca="false">'Cash Flow Statement'!E4+1</f>
        <v>2026</v>
      </c>
    </row>
    <row r="5" customFormat="false" ht="15.75" hidden="true" customHeight="false" outlineLevel="0" collapsed="false">
      <c r="A5" s="25" t="s">
        <v>33</v>
      </c>
      <c r="B5" s="36" t="n">
        <v>30550000</v>
      </c>
      <c r="C5" s="36" t="n">
        <v>0</v>
      </c>
      <c r="D5" s="37" t="n">
        <f aca="false">B5*C5</f>
        <v>0</v>
      </c>
      <c r="E5" s="38" t="n">
        <v>10</v>
      </c>
      <c r="F5" s="35"/>
      <c r="G5" s="25" t="n">
        <v>8</v>
      </c>
    </row>
    <row r="6" customFormat="false" ht="18.75" hidden="false" customHeight="true" outlineLevel="0" collapsed="false">
      <c r="A6" s="25" t="s">
        <v>34</v>
      </c>
      <c r="B6" s="36" t="n">
        <v>3600000</v>
      </c>
      <c r="C6" s="36" t="n">
        <v>5</v>
      </c>
      <c r="D6" s="37" t="n">
        <f aca="false">B6*C6</f>
        <v>18000000</v>
      </c>
      <c r="E6" s="38" t="n">
        <v>11</v>
      </c>
      <c r="F6" s="35"/>
      <c r="G6" s="25" t="n">
        <v>5</v>
      </c>
    </row>
    <row r="7" customFormat="false" ht="18.75" hidden="false" customHeight="true" outlineLevel="0" collapsed="false">
      <c r="A7" s="39" t="s">
        <v>35</v>
      </c>
      <c r="B7" s="40" t="n">
        <v>1218000</v>
      </c>
      <c r="C7" s="40" t="n">
        <v>5</v>
      </c>
      <c r="D7" s="41" t="n">
        <f aca="false">B7*C7</f>
        <v>6090000</v>
      </c>
      <c r="E7" s="42" t="n">
        <v>11</v>
      </c>
      <c r="F7" s="35"/>
      <c r="G7" s="39" t="n">
        <v>5</v>
      </c>
    </row>
    <row r="8" customFormat="false" ht="18.75" hidden="false" customHeight="true" outlineLevel="0" collapsed="false">
      <c r="A8" s="43"/>
      <c r="B8" s="44"/>
      <c r="C8" s="43"/>
      <c r="D8" s="45" t="n">
        <f aca="false">SUM(D9:D10)</f>
        <v>77100000</v>
      </c>
      <c r="E8" s="43"/>
      <c r="F8" s="46" t="n">
        <f aca="false">F4+1</f>
        <v>2027</v>
      </c>
      <c r="G8" s="43"/>
    </row>
    <row r="9" customFormat="false" ht="18.75" hidden="false" customHeight="true" outlineLevel="0" collapsed="false">
      <c r="A9" s="43" t="s">
        <v>33</v>
      </c>
      <c r="B9" s="47" t="n">
        <v>30550000</v>
      </c>
      <c r="C9" s="47" t="n">
        <v>2</v>
      </c>
      <c r="D9" s="48" t="n">
        <f aca="false">B9*C9</f>
        <v>61100000</v>
      </c>
      <c r="E9" s="49" t="n">
        <v>10</v>
      </c>
      <c r="F9" s="46"/>
      <c r="G9" s="43" t="n">
        <v>7</v>
      </c>
    </row>
    <row r="10" customFormat="false" ht="18.75" hidden="false" customHeight="true" outlineLevel="0" collapsed="false">
      <c r="A10" s="50" t="s">
        <v>36</v>
      </c>
      <c r="B10" s="51" t="n">
        <v>4000000</v>
      </c>
      <c r="C10" s="51" t="n">
        <v>4</v>
      </c>
      <c r="D10" s="52" t="n">
        <f aca="false">B10*C10</f>
        <v>16000000</v>
      </c>
      <c r="E10" s="53" t="n">
        <v>5</v>
      </c>
      <c r="F10" s="46"/>
      <c r="G10" s="50" t="n">
        <v>7</v>
      </c>
    </row>
    <row r="11" customFormat="false" ht="18.75" hidden="false" customHeight="true" outlineLevel="0" collapsed="false">
      <c r="B11" s="36"/>
      <c r="C11" s="36"/>
      <c r="D11" s="54" t="n">
        <f aca="false">SUM(D12)</f>
        <v>22640000</v>
      </c>
      <c r="E11" s="38"/>
      <c r="F11" s="55" t="n">
        <f aca="false">F8+1</f>
        <v>2028</v>
      </c>
      <c r="I11" s="25" t="s">
        <v>37</v>
      </c>
    </row>
    <row r="12" customFormat="false" ht="18.75" hidden="false" customHeight="true" outlineLevel="0" collapsed="false">
      <c r="A12" s="39" t="s">
        <v>34</v>
      </c>
      <c r="B12" s="40" t="n">
        <v>5660000</v>
      </c>
      <c r="C12" s="40" t="n">
        <v>4</v>
      </c>
      <c r="D12" s="41" t="n">
        <f aca="false">B12*C12</f>
        <v>22640000</v>
      </c>
      <c r="E12" s="42" t="n">
        <v>9</v>
      </c>
      <c r="F12" s="55"/>
      <c r="G12" s="39" t="n">
        <v>5</v>
      </c>
      <c r="I12" s="25" t="s">
        <v>38</v>
      </c>
    </row>
    <row r="13" customFormat="false" ht="18.75" hidden="false" customHeight="true" outlineLevel="0" collapsed="false">
      <c r="A13" s="43"/>
      <c r="B13" s="47"/>
      <c r="C13" s="47"/>
      <c r="D13" s="56" t="n">
        <f aca="false">SUM(D14)</f>
        <v>35220000</v>
      </c>
      <c r="E13" s="49"/>
      <c r="F13" s="46" t="n">
        <f aca="false">F11+1</f>
        <v>2029</v>
      </c>
      <c r="G13" s="43"/>
    </row>
    <row r="14" customFormat="false" ht="18.75" hidden="false" customHeight="true" outlineLevel="0" collapsed="false">
      <c r="A14" s="50" t="s">
        <v>34</v>
      </c>
      <c r="B14" s="51" t="n">
        <v>5870000</v>
      </c>
      <c r="C14" s="51" t="n">
        <v>6</v>
      </c>
      <c r="D14" s="52" t="n">
        <f aca="false">B14*C14</f>
        <v>35220000</v>
      </c>
      <c r="E14" s="53" t="n">
        <v>4</v>
      </c>
      <c r="F14" s="46"/>
      <c r="G14" s="50" t="n">
        <v>8</v>
      </c>
    </row>
    <row r="15" customFormat="false" ht="18.75" hidden="false" customHeight="true" outlineLevel="0" collapsed="false">
      <c r="B15" s="36"/>
      <c r="C15" s="36"/>
      <c r="D15" s="54" t="n">
        <f aca="false">SUM(D16:D17)</f>
        <v>32460000</v>
      </c>
      <c r="E15" s="38"/>
      <c r="F15" s="57" t="n">
        <f aca="false">F13+1</f>
        <v>2030</v>
      </c>
    </row>
    <row r="16" customFormat="false" ht="16.5" hidden="false" customHeight="true" outlineLevel="0" collapsed="false">
      <c r="A16" s="58" t="s">
        <v>39</v>
      </c>
      <c r="B16" s="59" t="n">
        <v>8115000</v>
      </c>
      <c r="C16" s="59" t="n">
        <v>4</v>
      </c>
      <c r="D16" s="60" t="n">
        <f aca="false">B16*C16</f>
        <v>32460000</v>
      </c>
      <c r="E16" s="61" t="n">
        <v>1</v>
      </c>
      <c r="F16" s="57"/>
      <c r="G16" s="58" t="n">
        <v>6</v>
      </c>
    </row>
    <row r="17" customFormat="false" ht="16.5" hidden="false" customHeight="true" outlineLevel="0" collapsed="false">
      <c r="B17" s="62"/>
      <c r="C17" s="36"/>
      <c r="D17" s="36"/>
      <c r="E17" s="38"/>
      <c r="F17" s="38"/>
    </row>
    <row r="18" customFormat="false" ht="15.75" hidden="false" customHeight="false" outlineLevel="0" collapsed="false">
      <c r="A18" s="63"/>
      <c r="B18" s="63"/>
      <c r="C18" s="63"/>
      <c r="D18" s="64"/>
      <c r="E18" s="38"/>
      <c r="F18" s="38"/>
    </row>
    <row r="19" customFormat="false" ht="15.75" hidden="false" customHeight="false" outlineLevel="0" collapsed="false">
      <c r="B19" s="62"/>
      <c r="C19" s="36"/>
      <c r="D19" s="62"/>
      <c r="E19" s="38"/>
      <c r="F19" s="38"/>
    </row>
    <row r="20" customFormat="false" ht="15.75" hidden="false" customHeight="false" outlineLevel="0" collapsed="false">
      <c r="B20" s="65"/>
      <c r="C20" s="36"/>
      <c r="D20" s="62"/>
      <c r="E20" s="38"/>
      <c r="F20" s="38"/>
    </row>
    <row r="21" customFormat="false" ht="15.75" hidden="false" customHeight="false" outlineLevel="0" collapsed="false">
      <c r="B21" s="62"/>
      <c r="C21" s="36"/>
      <c r="D21" s="62"/>
      <c r="E21" s="38"/>
      <c r="F21" s="38"/>
    </row>
    <row r="22" customFormat="false" ht="15.75" hidden="false" customHeight="false" outlineLevel="0" collapsed="false">
      <c r="B22" s="62"/>
      <c r="C22" s="36"/>
      <c r="D22" s="62"/>
      <c r="E22" s="38"/>
      <c r="F22" s="38"/>
    </row>
    <row r="23" customFormat="false" ht="15.75" hidden="false" customHeight="false" outlineLevel="0" collapsed="false">
      <c r="B23" s="62"/>
      <c r="C23" s="36"/>
      <c r="D23" s="62"/>
      <c r="E23" s="38"/>
      <c r="F23" s="38"/>
    </row>
    <row r="24" customFormat="false" ht="15.75" hidden="false" customHeight="false" outlineLevel="0" collapsed="false">
      <c r="B24" s="62"/>
      <c r="C24" s="36"/>
      <c r="D24" s="62"/>
    </row>
    <row r="25" customFormat="false" ht="15.75" hidden="false" customHeight="false" outlineLevel="0" collapsed="false">
      <c r="B25" s="62"/>
      <c r="C25" s="36"/>
      <c r="D25" s="62"/>
    </row>
    <row r="26" customFormat="false" ht="15.75" hidden="false" customHeight="false" outlineLevel="0" collapsed="false">
      <c r="B26" s="62"/>
      <c r="C26" s="36"/>
      <c r="D26" s="62"/>
    </row>
    <row r="27" customFormat="false" ht="15.75" hidden="false" customHeight="false" outlineLevel="0" collapsed="false">
      <c r="B27" s="62"/>
      <c r="C27" s="36"/>
      <c r="D27" s="62"/>
    </row>
    <row r="28" customFormat="false" ht="15.75" hidden="false" customHeight="false" outlineLevel="0" collapsed="false">
      <c r="B28" s="62"/>
      <c r="C28" s="36"/>
      <c r="D28" s="62"/>
    </row>
    <row r="29" customFormat="false" ht="15.75" hidden="false" customHeight="false" outlineLevel="0" collapsed="false">
      <c r="B29" s="62"/>
      <c r="C29" s="36"/>
      <c r="D29" s="62"/>
    </row>
    <row r="30" customFormat="false" ht="15.75" hidden="false" customHeight="false" outlineLevel="0" collapsed="false">
      <c r="B30" s="62"/>
      <c r="C30" s="36"/>
      <c r="D30" s="62"/>
    </row>
    <row r="31" customFormat="false" ht="15.75" hidden="false" customHeight="false" outlineLevel="0" collapsed="false">
      <c r="B31" s="62"/>
      <c r="C31" s="36"/>
      <c r="D31" s="62"/>
    </row>
    <row r="32" customFormat="false" ht="15.75" hidden="false" customHeight="false" outlineLevel="0" collapsed="false">
      <c r="B32" s="62"/>
      <c r="C32" s="36"/>
      <c r="D32" s="62"/>
    </row>
    <row r="33" customFormat="false" ht="15.75" hidden="false" customHeight="false" outlineLevel="0" collapsed="false">
      <c r="B33" s="62"/>
      <c r="C33" s="36"/>
      <c r="D33" s="62"/>
    </row>
    <row r="34" customFormat="false" ht="15.75" hidden="false" customHeight="false" outlineLevel="0" collapsed="false">
      <c r="B34" s="62"/>
      <c r="C34" s="36"/>
      <c r="D34" s="62"/>
    </row>
    <row r="35" customFormat="false" ht="15.75" hidden="false" customHeight="false" outlineLevel="0" collapsed="false">
      <c r="B35" s="62"/>
      <c r="C35" s="36"/>
      <c r="D35" s="62"/>
    </row>
    <row r="36" customFormat="false" ht="15.75" hidden="false" customHeight="false" outlineLevel="0" collapsed="false">
      <c r="B36" s="62"/>
      <c r="C36" s="36"/>
      <c r="D36" s="62"/>
    </row>
    <row r="37" customFormat="false" ht="15.75" hidden="false" customHeight="false" outlineLevel="0" collapsed="false">
      <c r="B37" s="62"/>
      <c r="C37" s="62"/>
      <c r="D37" s="62"/>
    </row>
    <row r="38" customFormat="false" ht="15.75" hidden="false" customHeight="false" outlineLevel="0" collapsed="false">
      <c r="B38" s="62"/>
      <c r="C38" s="62"/>
      <c r="D38" s="62"/>
    </row>
    <row r="39" customFormat="false" ht="15.75" hidden="false" customHeight="false" outlineLevel="0" collapsed="false">
      <c r="B39" s="62"/>
      <c r="C39" s="62"/>
      <c r="D39" s="62"/>
    </row>
    <row r="40" customFormat="false" ht="15.75" hidden="false" customHeight="false" outlineLevel="0" collapsed="false">
      <c r="B40" s="62"/>
      <c r="C40" s="62"/>
      <c r="D40" s="62"/>
    </row>
    <row r="41" customFormat="false" ht="15.75" hidden="false" customHeight="false" outlineLevel="0" collapsed="false">
      <c r="B41" s="62"/>
      <c r="C41" s="62"/>
      <c r="D41" s="62"/>
    </row>
    <row r="42" customFormat="false" ht="15.75" hidden="false" customHeight="false" outlineLevel="0" collapsed="false">
      <c r="B42" s="62"/>
      <c r="C42" s="62"/>
      <c r="D42" s="62"/>
    </row>
    <row r="43" customFormat="false" ht="15.75" hidden="false" customHeight="false" outlineLevel="0" collapsed="false">
      <c r="B43" s="62"/>
      <c r="C43" s="62"/>
      <c r="D43" s="62"/>
    </row>
    <row r="44" customFormat="false" ht="15.75" hidden="false" customHeight="false" outlineLevel="0" collapsed="false">
      <c r="B44" s="62"/>
      <c r="C44" s="62"/>
      <c r="D44" s="62"/>
    </row>
    <row r="45" customFormat="false" ht="15.75" hidden="false" customHeight="false" outlineLevel="0" collapsed="false">
      <c r="B45" s="62"/>
      <c r="C45" s="62"/>
      <c r="D45" s="62"/>
    </row>
  </sheetData>
  <mergeCells count="6">
    <mergeCell ref="F4:F7"/>
    <mergeCell ref="F8:F10"/>
    <mergeCell ref="F11:F12"/>
    <mergeCell ref="F13:F14"/>
    <mergeCell ref="F15:F16"/>
    <mergeCell ref="A18:C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87"/>
    <pageSetUpPr fitToPage="false"/>
  </sheetPr>
  <dimension ref="A1:P995"/>
  <sheetViews>
    <sheetView showFormulas="false" showGridLines="false" showRowColHeaders="true" showZeros="true" rightToLeft="false" tabSelected="false" showOutlineSymbols="true" defaultGridColor="true" view="normal" topLeftCell="A1" colorId="64" zoomScale="94" zoomScaleNormal="94" zoomScalePageLayoutView="100" workbookViewId="0">
      <pane xSplit="0" ySplit="4" topLeftCell="A5" activePane="bottomLeft" state="frozen"/>
      <selection pane="topLeft" activeCell="A1" activeCellId="0" sqref="A1"/>
      <selection pane="bottomLeft" activeCell="S10" activeCellId="0" sqref="S10"/>
    </sheetView>
  </sheetViews>
  <sheetFormatPr defaultColWidth="11.18359375" defaultRowHeight="15" zeroHeight="false" outlineLevelRow="0" outlineLevelCol="0"/>
  <cols>
    <col collapsed="false" customWidth="true" hidden="false" outlineLevel="0" max="1" min="1" style="66" width="39.27"/>
    <col collapsed="false" customWidth="true" hidden="false" outlineLevel="0" max="2" min="2" style="66" width="16.45"/>
    <col collapsed="false" customWidth="true" hidden="false" outlineLevel="0" max="3" min="3" style="66" width="15.82"/>
    <col collapsed="false" customWidth="true" hidden="false" outlineLevel="0" max="4" min="4" style="66" width="16.82"/>
    <col collapsed="false" customWidth="true" hidden="true" outlineLevel="0" max="5" min="5" style="67" width="14.09"/>
    <col collapsed="false" customWidth="true" hidden="true" outlineLevel="0" max="13" min="6" style="66" width="10.82"/>
    <col collapsed="false" customWidth="true" hidden="true" outlineLevel="0" max="14" min="14" style="66" width="10.36"/>
    <col collapsed="false" customWidth="true" hidden="false" outlineLevel="0" max="26" min="15" style="66" width="11.45"/>
    <col collapsed="false" customWidth="false" hidden="false" outlineLevel="0" max="16384" min="27" style="66" width="11.18"/>
  </cols>
  <sheetData>
    <row r="1" customFormat="false" ht="27.75" hidden="false" customHeight="true" outlineLevel="0" collapsed="false">
      <c r="A1" s="68" t="s">
        <v>40</v>
      </c>
      <c r="B1" s="69"/>
      <c r="C1" s="70"/>
      <c r="D1" s="70"/>
      <c r="E1" s="71"/>
      <c r="F1" s="72"/>
      <c r="G1" s="72"/>
      <c r="H1" s="72"/>
      <c r="I1" s="72"/>
      <c r="J1" s="72"/>
      <c r="K1" s="72"/>
      <c r="L1" s="72"/>
      <c r="M1" s="72"/>
    </row>
    <row r="2" s="75" customFormat="true" ht="15.75" hidden="false" customHeight="true" outlineLevel="0" collapsed="false">
      <c r="A2" s="73"/>
      <c r="B2" s="73"/>
      <c r="C2" s="73"/>
      <c r="D2" s="73"/>
      <c r="E2" s="74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</row>
    <row r="3" s="75" customFormat="true" ht="15.75" hidden="false" customHeight="true" outlineLevel="0" collapsed="false">
      <c r="A3" s="76"/>
      <c r="B3" s="77"/>
      <c r="C3" s="77"/>
      <c r="D3" s="78" t="s">
        <v>41</v>
      </c>
      <c r="E3" s="79"/>
      <c r="F3" s="77"/>
      <c r="G3" s="77"/>
      <c r="H3" s="77"/>
      <c r="I3" s="77"/>
      <c r="J3" s="77"/>
      <c r="K3" s="77"/>
      <c r="L3" s="77"/>
      <c r="M3" s="77"/>
      <c r="N3" s="77"/>
    </row>
    <row r="4" s="75" customFormat="true" ht="15.75" hidden="false" customHeight="true" outlineLevel="0" collapsed="false">
      <c r="A4" s="76"/>
      <c r="B4" s="80" t="n">
        <f aca="false">'Hướng dẫn'!J6-3</f>
        <v>2023</v>
      </c>
      <c r="C4" s="80" t="n">
        <f aca="false">B4+1</f>
        <v>2024</v>
      </c>
      <c r="D4" s="80" t="n">
        <f aca="false">C4+1</f>
        <v>2025</v>
      </c>
      <c r="E4" s="81" t="n">
        <f aca="false">D4+1</f>
        <v>2026</v>
      </c>
      <c r="F4" s="82" t="n">
        <f aca="false">E4+1</f>
        <v>2027</v>
      </c>
      <c r="G4" s="82" t="n">
        <f aca="false">F4+1</f>
        <v>2028</v>
      </c>
      <c r="H4" s="82" t="n">
        <f aca="false">G4+1</f>
        <v>2029</v>
      </c>
      <c r="I4" s="82" t="n">
        <f aca="false">H4+1</f>
        <v>2030</v>
      </c>
      <c r="J4" s="83" t="s">
        <v>42</v>
      </c>
      <c r="K4" s="84"/>
      <c r="L4" s="84"/>
      <c r="M4" s="84"/>
      <c r="N4" s="85"/>
    </row>
    <row r="5" s="75" customFormat="true" ht="15.75" hidden="false" customHeight="true" outlineLevel="0" collapsed="false">
      <c r="A5" s="86" t="s">
        <v>43</v>
      </c>
      <c r="B5" s="74"/>
      <c r="C5" s="74"/>
      <c r="D5" s="74"/>
      <c r="E5" s="74"/>
      <c r="F5" s="73"/>
      <c r="G5" s="73"/>
      <c r="H5" s="73"/>
      <c r="I5" s="73"/>
      <c r="J5" s="73"/>
      <c r="K5" s="73"/>
      <c r="L5" s="73"/>
      <c r="M5" s="73"/>
      <c r="N5" s="73"/>
    </row>
    <row r="6" s="75" customFormat="true" ht="15.75" hidden="false" customHeight="true" outlineLevel="0" collapsed="false">
      <c r="A6" s="87" t="s">
        <v>44</v>
      </c>
      <c r="B6" s="88" t="n">
        <v>15055000</v>
      </c>
      <c r="C6" s="88" t="n">
        <v>24088000</v>
      </c>
      <c r="D6" s="88" t="n">
        <v>38059040</v>
      </c>
      <c r="E6" s="89" t="n">
        <f aca="false">Drivers!F14</f>
        <v>51242691.456</v>
      </c>
      <c r="F6" s="90" t="n">
        <f aca="false">Drivers!G14</f>
        <v>63766405.2478464</v>
      </c>
      <c r="G6" s="90" t="n">
        <f aca="false">Drivers!H14</f>
        <v>87806340.0262845</v>
      </c>
      <c r="H6" s="90" t="n">
        <f aca="false">Drivers!I14</f>
        <v>111953083.533513</v>
      </c>
      <c r="I6" s="90" t="n">
        <f aca="false">Drivers!J14</f>
        <v>133604809.888894</v>
      </c>
      <c r="J6" s="91"/>
      <c r="K6" s="91"/>
      <c r="L6" s="91"/>
      <c r="M6" s="91"/>
      <c r="N6" s="92"/>
    </row>
    <row r="7" s="75" customFormat="true" ht="15.75" hidden="false" customHeight="true" outlineLevel="0" collapsed="false">
      <c r="A7" s="87" t="s">
        <v>45</v>
      </c>
      <c r="B7" s="88" t="n">
        <v>3020000</v>
      </c>
      <c r="C7" s="88" t="n">
        <v>4228000</v>
      </c>
      <c r="D7" s="88" t="n">
        <v>5898060</v>
      </c>
      <c r="E7" s="89" t="n">
        <f aca="false">Drivers!F21</f>
        <v>7339545.864</v>
      </c>
      <c r="F7" s="90" t="n">
        <f aca="false">Drivers!G21</f>
        <v>8833877.4019104</v>
      </c>
      <c r="G7" s="90" t="n">
        <f aca="false">Drivers!H21</f>
        <v>11533510.3359342</v>
      </c>
      <c r="H7" s="90" t="n">
        <f aca="false">Drivers!I21</f>
        <v>14117016.6511835</v>
      </c>
      <c r="I7" s="90" t="n">
        <f aca="false">Drivers!J21</f>
        <v>16559260.5318382</v>
      </c>
      <c r="J7" s="91"/>
      <c r="K7" s="91"/>
      <c r="L7" s="91"/>
      <c r="M7" s="91"/>
      <c r="N7" s="92"/>
    </row>
    <row r="8" s="75" customFormat="true" ht="15.75" hidden="false" customHeight="true" outlineLevel="0" collapsed="false">
      <c r="A8" s="87" t="s">
        <v>46</v>
      </c>
      <c r="B8" s="88" t="n">
        <v>1520000</v>
      </c>
      <c r="C8" s="88" t="n">
        <v>2280000</v>
      </c>
      <c r="D8" s="88" t="n">
        <v>2736000</v>
      </c>
      <c r="E8" s="89" t="n">
        <f aca="false">Drivers!F28</f>
        <v>3610152</v>
      </c>
      <c r="F8" s="90" t="n">
        <f aca="false">Drivers!G28</f>
        <v>4763595.564</v>
      </c>
      <c r="G8" s="90" t="n">
        <f aca="false">Drivers!H28</f>
        <v>6769069.296444</v>
      </c>
      <c r="H8" s="90" t="n">
        <f aca="false">Drivers!I28</f>
        <v>9069199.04337567</v>
      </c>
      <c r="I8" s="90" t="n">
        <f aca="false">Drivers!J28</f>
        <v>11506546.2862829</v>
      </c>
      <c r="J8" s="91"/>
      <c r="K8" s="91"/>
      <c r="L8" s="91"/>
      <c r="M8" s="91"/>
      <c r="N8" s="92"/>
    </row>
    <row r="9" s="75" customFormat="true" ht="15.75" hidden="false" customHeight="true" outlineLevel="0" collapsed="false">
      <c r="A9" s="87" t="s">
        <v>47</v>
      </c>
      <c r="B9" s="88" t="n">
        <v>0</v>
      </c>
      <c r="C9" s="88" t="n">
        <v>566000</v>
      </c>
      <c r="D9" s="88" t="n">
        <v>1188600</v>
      </c>
      <c r="E9" s="89" t="n">
        <f aca="false">Drivers!F35</f>
        <v>1930286.4</v>
      </c>
      <c r="F9" s="90" t="n">
        <f aca="false">Drivers!G35</f>
        <v>2938861.044</v>
      </c>
      <c r="G9" s="90" t="n">
        <f aca="false">Drivers!H35</f>
        <v>5071004.731422</v>
      </c>
      <c r="H9" s="90" t="n">
        <f aca="false">Drivers!I35</f>
        <v>7463251.21347033</v>
      </c>
      <c r="I9" s="90" t="n">
        <f aca="false">Drivers!J35</f>
        <v>9847759.97617409</v>
      </c>
      <c r="J9" s="91"/>
      <c r="K9" s="91"/>
      <c r="L9" s="91"/>
      <c r="M9" s="91"/>
      <c r="N9" s="92"/>
    </row>
    <row r="10" s="75" customFormat="true" ht="15.75" hidden="false" customHeight="true" outlineLevel="0" collapsed="false">
      <c r="A10" s="93"/>
      <c r="B10" s="94"/>
      <c r="C10" s="94"/>
      <c r="D10" s="94"/>
      <c r="E10" s="94"/>
      <c r="F10" s="91"/>
      <c r="G10" s="91"/>
      <c r="H10" s="91"/>
      <c r="I10" s="91"/>
      <c r="J10" s="91"/>
      <c r="K10" s="91"/>
      <c r="L10" s="91"/>
      <c r="M10" s="91"/>
      <c r="N10" s="92"/>
    </row>
    <row r="11" s="75" customFormat="true" ht="15.75" hidden="false" customHeight="true" outlineLevel="0" collapsed="false">
      <c r="A11" s="93" t="s">
        <v>48</v>
      </c>
      <c r="B11" s="88" t="n">
        <v>-156760</v>
      </c>
      <c r="C11" s="88" t="n">
        <v>-233715</v>
      </c>
      <c r="D11" s="88" t="n">
        <v>-335171.9</v>
      </c>
      <c r="E11" s="89" t="n">
        <f aca="false">-SUM(E6:E9)*Drivers!F38</f>
        <v>-448858.73004</v>
      </c>
      <c r="F11" s="90" t="n">
        <f aca="false">-SUM(F6:F9)*Drivers!G38</f>
        <v>-562119.174804298</v>
      </c>
      <c r="G11" s="90" t="n">
        <f aca="false">-SUM(G6:G9)*Drivers!H38</f>
        <v>-778259.470730593</v>
      </c>
      <c r="H11" s="90" t="n">
        <f aca="false">-SUM(H6:H9)*Drivers!I38</f>
        <v>-998217.853090796</v>
      </c>
      <c r="I11" s="90" t="n">
        <f aca="false">-SUM(I6:I9)*Drivers!J38</f>
        <v>-1200628.63678232</v>
      </c>
      <c r="J11" s="91"/>
      <c r="K11" s="91"/>
      <c r="L11" s="91"/>
      <c r="M11" s="91"/>
      <c r="N11" s="92"/>
    </row>
    <row r="12" s="75" customFormat="true" ht="15.75" hidden="false" customHeight="true" outlineLevel="0" collapsed="false">
      <c r="A12" s="95"/>
      <c r="B12" s="96"/>
      <c r="C12" s="96"/>
      <c r="D12" s="96"/>
      <c r="E12" s="96"/>
      <c r="F12" s="97"/>
      <c r="G12" s="97"/>
      <c r="H12" s="97"/>
      <c r="I12" s="97"/>
      <c r="J12" s="97"/>
      <c r="K12" s="97"/>
      <c r="L12" s="97"/>
      <c r="M12" s="97"/>
      <c r="N12" s="92"/>
    </row>
    <row r="13" s="75" customFormat="true" ht="15.75" hidden="false" customHeight="true" outlineLevel="0" collapsed="false">
      <c r="A13" s="98" t="s">
        <v>49</v>
      </c>
      <c r="B13" s="99" t="n">
        <v>19438240</v>
      </c>
      <c r="C13" s="99" t="n">
        <v>30928285</v>
      </c>
      <c r="D13" s="99" t="n">
        <v>47546528.1</v>
      </c>
      <c r="E13" s="100" t="n">
        <f aca="false">SUM(E6:E12)</f>
        <v>63673816.98996</v>
      </c>
      <c r="F13" s="101" t="n">
        <f aca="false">SUM(F6:F12)</f>
        <v>79740620.0829525</v>
      </c>
      <c r="G13" s="101" t="n">
        <f aca="false">SUM(G6:G12)</f>
        <v>110401664.919354</v>
      </c>
      <c r="H13" s="101" t="n">
        <f aca="false">SUM(H6:H12)</f>
        <v>141604332.588451</v>
      </c>
      <c r="I13" s="101" t="n">
        <f aca="false">SUM(I6:I12)</f>
        <v>170317748.046407</v>
      </c>
      <c r="J13" s="102"/>
      <c r="K13" s="102"/>
      <c r="L13" s="102"/>
      <c r="M13" s="102"/>
      <c r="N13" s="73"/>
      <c r="P13" s="103"/>
    </row>
    <row r="14" s="75" customFormat="true" ht="15.75" hidden="false" customHeight="true" outlineLevel="0" collapsed="false">
      <c r="A14" s="93"/>
      <c r="B14" s="96"/>
      <c r="C14" s="96"/>
      <c r="D14" s="96"/>
      <c r="E14" s="96"/>
      <c r="F14" s="97"/>
      <c r="G14" s="97"/>
      <c r="H14" s="97"/>
      <c r="I14" s="97"/>
      <c r="J14" s="97"/>
      <c r="K14" s="97"/>
      <c r="L14" s="97"/>
      <c r="M14" s="97"/>
      <c r="N14" s="73"/>
    </row>
    <row r="15" s="75" customFormat="true" ht="15.75" hidden="false" customHeight="true" outlineLevel="0" collapsed="false">
      <c r="A15" s="93" t="s">
        <v>50</v>
      </c>
      <c r="B15" s="96"/>
      <c r="C15" s="96"/>
      <c r="D15" s="96"/>
      <c r="E15" s="96"/>
      <c r="F15" s="97"/>
      <c r="G15" s="97"/>
      <c r="H15" s="97"/>
      <c r="I15" s="97"/>
      <c r="J15" s="97"/>
      <c r="K15" s="97"/>
      <c r="L15" s="97"/>
      <c r="M15" s="97"/>
      <c r="N15" s="92"/>
    </row>
    <row r="16" s="75" customFormat="true" ht="15.75" hidden="false" customHeight="true" outlineLevel="0" collapsed="false">
      <c r="A16" s="93" t="s">
        <v>51</v>
      </c>
      <c r="B16" s="88" t="n">
        <v>4956751.2</v>
      </c>
      <c r="C16" s="88" t="n">
        <v>7732071.25</v>
      </c>
      <c r="D16" s="88" t="n">
        <v>11648899.3845</v>
      </c>
      <c r="E16" s="89" t="n">
        <f aca="false">Drivers!F55</f>
        <v>15918454.24749</v>
      </c>
      <c r="F16" s="90" t="n">
        <f aca="false">Drivers!G55</f>
        <v>20333858.1211529</v>
      </c>
      <c r="G16" s="90" t="n">
        <f aca="false">Drivers!H55</f>
        <v>29808449.5282256</v>
      </c>
      <c r="H16" s="90" t="n">
        <f aca="false">Drivers!I55</f>
        <v>37525148.1359396</v>
      </c>
      <c r="I16" s="90" t="n">
        <f aca="false">Drivers!J55</f>
        <v>45985791.9725299</v>
      </c>
      <c r="J16" s="91"/>
      <c r="K16" s="91"/>
      <c r="L16" s="91"/>
      <c r="M16" s="91"/>
      <c r="N16" s="92"/>
    </row>
    <row r="17" s="75" customFormat="true" ht="15.75" hidden="false" customHeight="true" outlineLevel="0" collapsed="false">
      <c r="A17" s="95" t="s">
        <v>52</v>
      </c>
      <c r="B17" s="88" t="n">
        <v>1055000</v>
      </c>
      <c r="C17" s="88" t="n">
        <v>1160500</v>
      </c>
      <c r="D17" s="88" t="n">
        <v>1276550</v>
      </c>
      <c r="E17" s="89" t="n">
        <f aca="false">Drivers!F56</f>
        <v>1404205</v>
      </c>
      <c r="F17" s="89" t="n">
        <f aca="false">Drivers!G56</f>
        <v>1544625.5</v>
      </c>
      <c r="G17" s="89" t="n">
        <f aca="false">Drivers!H56</f>
        <v>2599088.05</v>
      </c>
      <c r="H17" s="89" t="n">
        <f aca="false">Drivers!I56</f>
        <v>2858996.855</v>
      </c>
      <c r="I17" s="89" t="n">
        <f aca="false">Drivers!J56</f>
        <v>3144896.5405</v>
      </c>
      <c r="J17" s="94"/>
      <c r="K17" s="94"/>
      <c r="L17" s="94"/>
      <c r="M17" s="94"/>
      <c r="N17" s="94"/>
    </row>
    <row r="18" s="107" customFormat="true" ht="15.75" hidden="false" customHeight="true" outlineLevel="0" collapsed="false">
      <c r="A18" s="104" t="s">
        <v>53</v>
      </c>
      <c r="B18" s="105" t="n">
        <v>6011751.2</v>
      </c>
      <c r="C18" s="105" t="n">
        <v>8892571.25</v>
      </c>
      <c r="D18" s="105" t="n">
        <v>12925449.3845</v>
      </c>
      <c r="E18" s="100" t="n">
        <f aca="false">SUM(E16:E17)</f>
        <v>17322659.24749</v>
      </c>
      <c r="F18" s="101" t="n">
        <f aca="false">SUM(F16:F17)</f>
        <v>21878483.6211529</v>
      </c>
      <c r="G18" s="101" t="n">
        <f aca="false">SUM(G16:G17)</f>
        <v>32407537.5782256</v>
      </c>
      <c r="H18" s="101" t="n">
        <f aca="false">SUM(H16:H17)</f>
        <v>40384144.9909396</v>
      </c>
      <c r="I18" s="101" t="n">
        <f aca="false">SUM(I16:I17)</f>
        <v>49130688.5130299</v>
      </c>
      <c r="J18" s="102"/>
      <c r="K18" s="102"/>
      <c r="L18" s="102"/>
      <c r="M18" s="102"/>
      <c r="N18" s="106"/>
    </row>
    <row r="19" s="75" customFormat="true" ht="15.75" hidden="false" customHeight="true" outlineLevel="0" collapsed="false">
      <c r="A19" s="108"/>
      <c r="B19" s="96"/>
      <c r="C19" s="96"/>
      <c r="D19" s="96"/>
      <c r="E19" s="96"/>
      <c r="F19" s="97"/>
      <c r="G19" s="97"/>
      <c r="H19" s="97"/>
      <c r="I19" s="97"/>
      <c r="J19" s="97"/>
      <c r="K19" s="97"/>
      <c r="L19" s="97"/>
      <c r="M19" s="97"/>
      <c r="N19" s="92"/>
    </row>
    <row r="20" s="75" customFormat="true" ht="15.75" hidden="false" customHeight="true" outlineLevel="0" collapsed="false">
      <c r="A20" s="98" t="s">
        <v>54</v>
      </c>
      <c r="B20" s="109" t="n">
        <v>13426488.8</v>
      </c>
      <c r="C20" s="109" t="n">
        <v>22035713.75</v>
      </c>
      <c r="D20" s="109" t="n">
        <v>34621078.7155</v>
      </c>
      <c r="E20" s="110" t="n">
        <f aca="false">E13-E18</f>
        <v>46351157.74247</v>
      </c>
      <c r="F20" s="111" t="n">
        <f aca="false">F13-F18</f>
        <v>57862136.4617996</v>
      </c>
      <c r="G20" s="111" t="n">
        <f aca="false">G13-G18</f>
        <v>77994127.3411285</v>
      </c>
      <c r="H20" s="111" t="n">
        <f aca="false">H13-H18</f>
        <v>101220187.597512</v>
      </c>
      <c r="I20" s="111" t="n">
        <f aca="false">I13-I18</f>
        <v>121187059.533377</v>
      </c>
      <c r="J20" s="112"/>
      <c r="K20" s="112"/>
      <c r="L20" s="112"/>
      <c r="M20" s="112"/>
      <c r="N20" s="92"/>
    </row>
    <row r="21" s="75" customFormat="true" ht="15.75" hidden="false" customHeight="true" outlineLevel="0" collapsed="false">
      <c r="A21" s="87" t="s">
        <v>55</v>
      </c>
      <c r="B21" s="113" t="n">
        <v>0.690725538937682</v>
      </c>
      <c r="C21" s="113" t="n">
        <v>0.712477712553412</v>
      </c>
      <c r="D21" s="113" t="n">
        <v>0.728151562248348</v>
      </c>
      <c r="E21" s="113" t="n">
        <f aca="false">E20/E13</f>
        <v>0.727946900839612</v>
      </c>
      <c r="F21" s="114" t="n">
        <f aca="false">F20/F13</f>
        <v>0.725629376867233</v>
      </c>
      <c r="G21" s="114" t="n">
        <f aca="false">G20/G13</f>
        <v>0.70645789081262</v>
      </c>
      <c r="H21" s="114" t="n">
        <f aca="false">H20/H13</f>
        <v>0.714809962006536</v>
      </c>
      <c r="I21" s="114" t="n">
        <f aca="false">I20/I13</f>
        <v>0.711535121403536</v>
      </c>
      <c r="J21" s="115"/>
      <c r="K21" s="115"/>
      <c r="L21" s="115"/>
      <c r="M21" s="115"/>
      <c r="N21" s="92"/>
    </row>
    <row r="22" s="75" customFormat="true" ht="15.75" hidden="false" customHeight="true" outlineLevel="0" collapsed="false">
      <c r="A22" s="93"/>
      <c r="B22" s="96"/>
      <c r="C22" s="96"/>
      <c r="D22" s="96"/>
      <c r="E22" s="96"/>
      <c r="F22" s="97"/>
      <c r="G22" s="97"/>
      <c r="H22" s="97"/>
      <c r="I22" s="97"/>
      <c r="J22" s="97"/>
      <c r="K22" s="97"/>
      <c r="L22" s="97"/>
      <c r="M22" s="97"/>
      <c r="N22" s="92"/>
    </row>
    <row r="23" s="75" customFormat="true" ht="15.75" hidden="false" customHeight="true" outlineLevel="0" collapsed="false">
      <c r="A23" s="86" t="s">
        <v>56</v>
      </c>
      <c r="B23" s="96"/>
      <c r="C23" s="96"/>
      <c r="D23" s="96"/>
      <c r="E23" s="96"/>
      <c r="F23" s="97"/>
      <c r="G23" s="97"/>
      <c r="H23" s="97"/>
      <c r="I23" s="97"/>
      <c r="J23" s="97"/>
      <c r="K23" s="97"/>
      <c r="L23" s="97"/>
      <c r="M23" s="97"/>
      <c r="N23" s="92"/>
    </row>
    <row r="24" s="75" customFormat="true" ht="15.75" hidden="false" customHeight="true" outlineLevel="0" collapsed="false">
      <c r="A24" s="95" t="s">
        <v>57</v>
      </c>
      <c r="B24" s="116"/>
      <c r="C24" s="116"/>
      <c r="D24" s="116"/>
      <c r="E24" s="116"/>
      <c r="F24" s="117"/>
      <c r="G24" s="117"/>
      <c r="H24" s="117"/>
      <c r="I24" s="117"/>
      <c r="J24" s="117"/>
      <c r="K24" s="117"/>
      <c r="L24" s="117"/>
      <c r="M24" s="117"/>
      <c r="N24" s="92"/>
    </row>
    <row r="25" s="75" customFormat="true" ht="15.75" hidden="true" customHeight="true" outlineLevel="0" collapsed="false">
      <c r="A25" s="93" t="s">
        <v>58</v>
      </c>
      <c r="B25" s="88" t="n">
        <v>0</v>
      </c>
      <c r="C25" s="88" t="n">
        <v>0</v>
      </c>
      <c r="D25" s="88" t="n">
        <v>0</v>
      </c>
      <c r="E25" s="89" t="n">
        <v>0</v>
      </c>
      <c r="F25" s="90" t="n">
        <v>0</v>
      </c>
      <c r="G25" s="90" t="n">
        <v>0</v>
      </c>
      <c r="H25" s="90" t="n">
        <v>0</v>
      </c>
      <c r="I25" s="90" t="n">
        <v>0</v>
      </c>
      <c r="J25" s="91"/>
      <c r="K25" s="91"/>
      <c r="L25" s="91"/>
      <c r="M25" s="91"/>
      <c r="N25" s="92"/>
    </row>
    <row r="26" s="75" customFormat="true" ht="15.75" hidden="false" customHeight="true" outlineLevel="0" collapsed="false">
      <c r="A26" s="93" t="s">
        <v>59</v>
      </c>
      <c r="B26" s="88" t="n">
        <v>3977000</v>
      </c>
      <c r="C26" s="88" t="n">
        <v>5368950</v>
      </c>
      <c r="D26" s="88" t="n">
        <v>7570219.5</v>
      </c>
      <c r="E26" s="89" t="n">
        <f aca="false">Drivers!F68</f>
        <v>8478645.84</v>
      </c>
      <c r="F26" s="90" t="n">
        <f aca="false">Drivers!G68</f>
        <v>9750442.716</v>
      </c>
      <c r="G26" s="90" t="n">
        <f aca="false">Drivers!H68</f>
        <v>12675575.5308</v>
      </c>
      <c r="H26" s="90" t="n">
        <f aca="false">Drivers!I68</f>
        <v>14196644.594496</v>
      </c>
      <c r="I26" s="90" t="n">
        <f aca="false">Drivers!J68</f>
        <v>15900241.9458355</v>
      </c>
      <c r="J26" s="91"/>
      <c r="K26" s="91"/>
      <c r="L26" s="91"/>
      <c r="M26" s="91"/>
      <c r="N26" s="92"/>
    </row>
    <row r="27" s="75" customFormat="true" ht="15.75" hidden="true" customHeight="true" outlineLevel="0" collapsed="false">
      <c r="A27" s="93" t="s">
        <v>60</v>
      </c>
      <c r="B27" s="88" t="n">
        <v>0</v>
      </c>
      <c r="C27" s="88" t="n">
        <v>0</v>
      </c>
      <c r="D27" s="88" t="n">
        <v>0</v>
      </c>
      <c r="E27" s="89" t="n">
        <v>0</v>
      </c>
      <c r="F27" s="90" t="n">
        <v>0</v>
      </c>
      <c r="G27" s="90" t="n">
        <v>0</v>
      </c>
      <c r="H27" s="90" t="n">
        <v>0</v>
      </c>
      <c r="I27" s="90" t="n">
        <v>0</v>
      </c>
      <c r="J27" s="91"/>
      <c r="K27" s="91"/>
      <c r="L27" s="91"/>
      <c r="M27" s="91"/>
      <c r="N27" s="92"/>
    </row>
    <row r="28" s="75" customFormat="true" ht="15.75" hidden="false" customHeight="true" outlineLevel="0" collapsed="false">
      <c r="A28" s="93" t="s">
        <v>61</v>
      </c>
      <c r="B28" s="88" t="n">
        <v>950000</v>
      </c>
      <c r="C28" s="88" t="n">
        <v>1615000</v>
      </c>
      <c r="D28" s="88" t="n">
        <v>2083350</v>
      </c>
      <c r="E28" s="89" t="n">
        <f aca="false">Drivers!F70</f>
        <v>2801647.94755824</v>
      </c>
      <c r="F28" s="90" t="n">
        <f aca="false">Drivers!G70</f>
        <v>3508587.28364991</v>
      </c>
      <c r="G28" s="90" t="n">
        <f aca="false">Drivers!H70</f>
        <v>4857673.25645158</v>
      </c>
      <c r="H28" s="90" t="n">
        <f aca="false">Drivers!I70</f>
        <v>6230590.63389186</v>
      </c>
      <c r="I28" s="90" t="n">
        <f aca="false">Drivers!J70</f>
        <v>7493980.91404191</v>
      </c>
      <c r="J28" s="91"/>
      <c r="K28" s="91"/>
      <c r="L28" s="91"/>
      <c r="M28" s="91"/>
      <c r="N28" s="92"/>
    </row>
    <row r="29" s="75" customFormat="true" ht="15.75" hidden="true" customHeight="true" outlineLevel="0" collapsed="false">
      <c r="A29" s="93" t="s">
        <v>62</v>
      </c>
      <c r="B29" s="88" t="n">
        <v>0</v>
      </c>
      <c r="C29" s="88" t="n">
        <v>0</v>
      </c>
      <c r="D29" s="88" t="n">
        <v>0</v>
      </c>
      <c r="E29" s="89" t="n">
        <v>0</v>
      </c>
      <c r="F29" s="90" t="n">
        <v>0</v>
      </c>
      <c r="G29" s="90" t="n">
        <v>0</v>
      </c>
      <c r="H29" s="90" t="n">
        <v>0</v>
      </c>
      <c r="I29" s="90" t="n">
        <v>0</v>
      </c>
      <c r="J29" s="91"/>
      <c r="K29" s="91"/>
      <c r="L29" s="91"/>
      <c r="M29" s="91"/>
      <c r="N29" s="92"/>
    </row>
    <row r="30" s="75" customFormat="true" ht="15.75" hidden="false" customHeight="true" outlineLevel="0" collapsed="false">
      <c r="A30" s="93" t="s">
        <v>63</v>
      </c>
      <c r="B30" s="88" t="n">
        <v>1200000</v>
      </c>
      <c r="C30" s="88" t="n">
        <v>1800000</v>
      </c>
      <c r="D30" s="88" t="n">
        <v>2250000</v>
      </c>
      <c r="E30" s="89" t="n">
        <f aca="false">Drivers!F72</f>
        <v>3183690.849498</v>
      </c>
      <c r="F30" s="90" t="n">
        <f aca="false">Drivers!G72</f>
        <v>3987031.00414762</v>
      </c>
      <c r="G30" s="90" t="n">
        <f aca="false">Drivers!H72</f>
        <v>5520083.24596771</v>
      </c>
      <c r="H30" s="90" t="n">
        <f aca="false">Drivers!I72</f>
        <v>7080216.62942257</v>
      </c>
      <c r="I30" s="90" t="n">
        <f aca="false">Drivers!J72</f>
        <v>8515887.40232035</v>
      </c>
      <c r="J30" s="91"/>
      <c r="K30" s="91"/>
      <c r="L30" s="91"/>
      <c r="M30" s="91"/>
      <c r="N30" s="92"/>
    </row>
    <row r="31" s="75" customFormat="true" ht="15.75" hidden="true" customHeight="true" outlineLevel="0" collapsed="false">
      <c r="A31" s="93" t="s">
        <v>64</v>
      </c>
      <c r="B31" s="88" t="n">
        <v>0</v>
      </c>
      <c r="C31" s="88" t="n">
        <v>0</v>
      </c>
      <c r="D31" s="88" t="n">
        <v>0</v>
      </c>
      <c r="E31" s="89" t="n">
        <v>0</v>
      </c>
      <c r="F31" s="90" t="n">
        <v>0</v>
      </c>
      <c r="G31" s="90" t="n">
        <v>0</v>
      </c>
      <c r="H31" s="90" t="n">
        <v>0</v>
      </c>
      <c r="I31" s="90" t="n">
        <v>0</v>
      </c>
      <c r="J31" s="91"/>
      <c r="K31" s="91"/>
      <c r="L31" s="91"/>
      <c r="M31" s="91"/>
      <c r="N31" s="92"/>
    </row>
    <row r="32" s="75" customFormat="true" ht="15.75" hidden="true" customHeight="true" outlineLevel="0" collapsed="false">
      <c r="A32" s="93" t="s">
        <v>65</v>
      </c>
      <c r="B32" s="88" t="n">
        <v>0</v>
      </c>
      <c r="C32" s="88" t="n">
        <v>0</v>
      </c>
      <c r="D32" s="88" t="n">
        <v>0</v>
      </c>
      <c r="E32" s="89" t="n">
        <v>0</v>
      </c>
      <c r="F32" s="90" t="n">
        <v>0</v>
      </c>
      <c r="G32" s="90" t="n">
        <v>0</v>
      </c>
      <c r="H32" s="90" t="n">
        <v>0</v>
      </c>
      <c r="I32" s="90" t="n">
        <v>0</v>
      </c>
      <c r="J32" s="91"/>
      <c r="K32" s="91"/>
      <c r="L32" s="91"/>
      <c r="M32" s="91"/>
      <c r="N32" s="92"/>
    </row>
    <row r="33" s="75" customFormat="true" ht="15.75" hidden="true" customHeight="true" outlineLevel="0" collapsed="false">
      <c r="A33" s="93" t="s">
        <v>66</v>
      </c>
      <c r="B33" s="88" t="n">
        <v>0</v>
      </c>
      <c r="C33" s="88" t="n">
        <v>0</v>
      </c>
      <c r="D33" s="88" t="n">
        <v>0</v>
      </c>
      <c r="E33" s="89" t="n">
        <v>0</v>
      </c>
      <c r="F33" s="90" t="n">
        <v>0</v>
      </c>
      <c r="G33" s="90" t="n">
        <v>0</v>
      </c>
      <c r="H33" s="90" t="n">
        <v>0</v>
      </c>
      <c r="I33" s="90" t="n">
        <v>0</v>
      </c>
      <c r="J33" s="91"/>
      <c r="K33" s="91"/>
      <c r="L33" s="91"/>
      <c r="M33" s="91"/>
      <c r="N33" s="92"/>
    </row>
    <row r="34" s="75" customFormat="true" ht="15.75" hidden="true" customHeight="true" outlineLevel="0" collapsed="false">
      <c r="A34" s="93" t="s">
        <v>67</v>
      </c>
      <c r="B34" s="88" t="n">
        <v>0</v>
      </c>
      <c r="C34" s="88" t="n">
        <v>0</v>
      </c>
      <c r="D34" s="88" t="n">
        <v>0</v>
      </c>
      <c r="E34" s="89" t="n">
        <v>0</v>
      </c>
      <c r="F34" s="90" t="n">
        <v>0</v>
      </c>
      <c r="G34" s="90" t="n">
        <v>0</v>
      </c>
      <c r="H34" s="90" t="n">
        <v>0</v>
      </c>
      <c r="I34" s="90" t="n">
        <v>0</v>
      </c>
      <c r="J34" s="91"/>
      <c r="K34" s="91"/>
      <c r="L34" s="91"/>
      <c r="M34" s="91"/>
      <c r="N34" s="92"/>
    </row>
    <row r="35" s="75" customFormat="true" ht="15.75" hidden="true" customHeight="true" outlineLevel="0" collapsed="false">
      <c r="A35" s="93" t="s">
        <v>68</v>
      </c>
      <c r="B35" s="88" t="n">
        <v>0</v>
      </c>
      <c r="C35" s="88" t="n">
        <v>0</v>
      </c>
      <c r="D35" s="88" t="n">
        <v>0</v>
      </c>
      <c r="E35" s="89" t="n">
        <v>0</v>
      </c>
      <c r="F35" s="90" t="n">
        <v>0</v>
      </c>
      <c r="G35" s="90" t="n">
        <v>0</v>
      </c>
      <c r="H35" s="90" t="n">
        <v>0</v>
      </c>
      <c r="I35" s="90" t="n">
        <v>0</v>
      </c>
      <c r="J35" s="91"/>
      <c r="K35" s="91"/>
      <c r="L35" s="91"/>
      <c r="M35" s="91"/>
      <c r="N35" s="92"/>
    </row>
    <row r="36" s="75" customFormat="true" ht="15.75" hidden="true" customHeight="true" outlineLevel="0" collapsed="false">
      <c r="A36" s="93" t="s">
        <v>69</v>
      </c>
      <c r="B36" s="88" t="n">
        <v>0</v>
      </c>
      <c r="C36" s="88" t="n">
        <v>0</v>
      </c>
      <c r="D36" s="88" t="n">
        <v>0</v>
      </c>
      <c r="E36" s="89" t="n">
        <v>0</v>
      </c>
      <c r="F36" s="90" t="n">
        <v>0</v>
      </c>
      <c r="G36" s="90" t="n">
        <v>0</v>
      </c>
      <c r="H36" s="90" t="n">
        <v>0</v>
      </c>
      <c r="I36" s="90" t="n">
        <v>0</v>
      </c>
      <c r="J36" s="91"/>
      <c r="K36" s="91"/>
      <c r="L36" s="91"/>
      <c r="M36" s="91"/>
      <c r="N36" s="92"/>
    </row>
    <row r="37" s="75" customFormat="true" ht="15.75" hidden="true" customHeight="true" outlineLevel="0" collapsed="false">
      <c r="A37" s="93" t="s">
        <v>70</v>
      </c>
      <c r="B37" s="88" t="n">
        <v>0</v>
      </c>
      <c r="C37" s="88" t="n">
        <v>0</v>
      </c>
      <c r="D37" s="88" t="n">
        <v>0</v>
      </c>
      <c r="E37" s="89" t="n">
        <v>0</v>
      </c>
      <c r="F37" s="90" t="n">
        <v>0</v>
      </c>
      <c r="G37" s="90" t="n">
        <v>0</v>
      </c>
      <c r="H37" s="90" t="n">
        <v>0</v>
      </c>
      <c r="I37" s="90" t="n">
        <v>0</v>
      </c>
      <c r="J37" s="91"/>
      <c r="K37" s="91"/>
      <c r="L37" s="91"/>
      <c r="M37" s="91"/>
      <c r="N37" s="92"/>
    </row>
    <row r="38" s="75" customFormat="true" ht="15.75" hidden="true" customHeight="true" outlineLevel="0" collapsed="false">
      <c r="A38" s="93" t="s">
        <v>71</v>
      </c>
      <c r="B38" s="88" t="n">
        <v>0</v>
      </c>
      <c r="C38" s="88" t="n">
        <v>0</v>
      </c>
      <c r="D38" s="88" t="n">
        <v>0</v>
      </c>
      <c r="E38" s="89" t="n">
        <v>0</v>
      </c>
      <c r="F38" s="90" t="n">
        <v>0</v>
      </c>
      <c r="G38" s="90" t="n">
        <v>0</v>
      </c>
      <c r="H38" s="90" t="n">
        <v>0</v>
      </c>
      <c r="I38" s="90" t="n">
        <v>0</v>
      </c>
      <c r="J38" s="91"/>
      <c r="K38" s="91"/>
      <c r="L38" s="91"/>
      <c r="M38" s="91"/>
      <c r="N38" s="92"/>
    </row>
    <row r="39" s="75" customFormat="true" ht="15.75" hidden="true" customHeight="true" outlineLevel="0" collapsed="false">
      <c r="A39" s="93" t="s">
        <v>72</v>
      </c>
      <c r="B39" s="88" t="n">
        <v>0</v>
      </c>
      <c r="C39" s="88" t="n">
        <v>0</v>
      </c>
      <c r="D39" s="88" t="n">
        <v>0</v>
      </c>
      <c r="E39" s="89" t="n">
        <v>0</v>
      </c>
      <c r="F39" s="90" t="n">
        <v>0</v>
      </c>
      <c r="G39" s="90" t="n">
        <v>0</v>
      </c>
      <c r="H39" s="90" t="n">
        <v>0</v>
      </c>
      <c r="I39" s="90" t="n">
        <v>0</v>
      </c>
      <c r="J39" s="91"/>
      <c r="K39" s="91"/>
      <c r="L39" s="91"/>
      <c r="M39" s="91"/>
      <c r="N39" s="92"/>
    </row>
    <row r="40" s="75" customFormat="true" ht="15.75" hidden="true" customHeight="true" outlineLevel="0" collapsed="false">
      <c r="A40" s="93" t="s">
        <v>73</v>
      </c>
      <c r="B40" s="88" t="n">
        <v>0</v>
      </c>
      <c r="C40" s="88" t="n">
        <v>0</v>
      </c>
      <c r="D40" s="88" t="n">
        <v>0</v>
      </c>
      <c r="E40" s="89" t="n">
        <v>0</v>
      </c>
      <c r="F40" s="90" t="n">
        <v>0</v>
      </c>
      <c r="G40" s="90" t="n">
        <v>0</v>
      </c>
      <c r="H40" s="90" t="n">
        <v>0</v>
      </c>
      <c r="I40" s="90" t="n">
        <v>0</v>
      </c>
      <c r="J40" s="91"/>
      <c r="K40" s="91"/>
      <c r="L40" s="91"/>
      <c r="M40" s="91"/>
      <c r="N40" s="92"/>
    </row>
    <row r="41" s="75" customFormat="true" ht="15.75" hidden="true" customHeight="true" outlineLevel="0" collapsed="false">
      <c r="A41" s="93" t="s">
        <v>74</v>
      </c>
      <c r="B41" s="88" t="n">
        <v>0</v>
      </c>
      <c r="C41" s="88" t="n">
        <v>0</v>
      </c>
      <c r="D41" s="88" t="n">
        <v>0</v>
      </c>
      <c r="E41" s="89" t="n">
        <v>0</v>
      </c>
      <c r="F41" s="90" t="n">
        <v>0</v>
      </c>
      <c r="G41" s="90" t="n">
        <v>0</v>
      </c>
      <c r="H41" s="90" t="n">
        <v>0</v>
      </c>
      <c r="I41" s="90" t="n">
        <v>0</v>
      </c>
      <c r="J41" s="91"/>
      <c r="K41" s="91"/>
      <c r="L41" s="91"/>
      <c r="M41" s="91"/>
      <c r="N41" s="92"/>
    </row>
    <row r="42" s="75" customFormat="true" ht="15.75" hidden="false" customHeight="true" outlineLevel="0" collapsed="false">
      <c r="A42" s="93" t="s">
        <v>75</v>
      </c>
      <c r="B42" s="88" t="n">
        <v>2150000</v>
      </c>
      <c r="C42" s="88" t="n">
        <v>2580000</v>
      </c>
      <c r="D42" s="88" t="n">
        <v>3096000</v>
      </c>
      <c r="E42" s="89" t="n">
        <f aca="false">Drivers!F66</f>
        <v>4011450.47036748</v>
      </c>
      <c r="F42" s="90" t="n">
        <f aca="false">Drivers!G66</f>
        <v>5135295.93334214</v>
      </c>
      <c r="G42" s="90" t="n">
        <f aca="false">Drivers!H66</f>
        <v>7264429.5516935</v>
      </c>
      <c r="H42" s="90" t="n">
        <f aca="false">Drivers!I66</f>
        <v>9119319.01869627</v>
      </c>
      <c r="I42" s="90" t="n">
        <f aca="false">Drivers!J66</f>
        <v>10730018.1269236</v>
      </c>
      <c r="J42" s="91"/>
      <c r="K42" s="91"/>
      <c r="L42" s="91"/>
      <c r="M42" s="91"/>
      <c r="N42" s="92"/>
    </row>
    <row r="43" s="75" customFormat="true" ht="15.75" hidden="true" customHeight="true" outlineLevel="0" collapsed="false">
      <c r="A43" s="93" t="s">
        <v>76</v>
      </c>
      <c r="B43" s="88" t="n">
        <v>0</v>
      </c>
      <c r="C43" s="88" t="n">
        <v>0</v>
      </c>
      <c r="D43" s="88" t="n">
        <v>0</v>
      </c>
      <c r="E43" s="89" t="n">
        <v>0</v>
      </c>
      <c r="F43" s="90" t="n">
        <v>0</v>
      </c>
      <c r="G43" s="90" t="n">
        <v>0</v>
      </c>
      <c r="H43" s="90" t="n">
        <v>0</v>
      </c>
      <c r="I43" s="90" t="n">
        <v>0</v>
      </c>
      <c r="J43" s="91"/>
      <c r="K43" s="91"/>
      <c r="L43" s="91"/>
      <c r="M43" s="91"/>
      <c r="N43" s="92"/>
    </row>
    <row r="44" s="75" customFormat="true" ht="15.75" hidden="true" customHeight="true" outlineLevel="0" collapsed="false">
      <c r="A44" s="93" t="s">
        <v>77</v>
      </c>
      <c r="B44" s="88" t="n">
        <v>0</v>
      </c>
      <c r="C44" s="88" t="n">
        <v>0</v>
      </c>
      <c r="D44" s="88" t="n">
        <v>0</v>
      </c>
      <c r="E44" s="89" t="n">
        <v>0</v>
      </c>
      <c r="F44" s="90" t="n">
        <v>0</v>
      </c>
      <c r="G44" s="90" t="n">
        <v>0</v>
      </c>
      <c r="H44" s="90" t="n">
        <v>0</v>
      </c>
      <c r="I44" s="90" t="n">
        <v>0</v>
      </c>
      <c r="J44" s="91"/>
      <c r="K44" s="91"/>
      <c r="L44" s="91"/>
      <c r="M44" s="91"/>
      <c r="N44" s="92"/>
    </row>
    <row r="45" s="75" customFormat="true" ht="15.75" hidden="true" customHeight="true" outlineLevel="0" collapsed="false">
      <c r="A45" s="93" t="s">
        <v>78</v>
      </c>
      <c r="B45" s="88" t="n">
        <v>0</v>
      </c>
      <c r="C45" s="88" t="n">
        <v>0</v>
      </c>
      <c r="D45" s="88" t="n">
        <v>0</v>
      </c>
      <c r="E45" s="89" t="n">
        <f aca="false">Drivers!F76</f>
        <v>382042.90193976</v>
      </c>
      <c r="F45" s="90" t="n">
        <f aca="false">Drivers!G76</f>
        <v>478443.720497715</v>
      </c>
      <c r="G45" s="90" t="n">
        <f aca="false">Drivers!H76</f>
        <v>662409.989516125</v>
      </c>
      <c r="H45" s="90" t="n">
        <f aca="false">Drivers!I76</f>
        <v>849625.995530709</v>
      </c>
      <c r="I45" s="90" t="n">
        <f aca="false">Drivers!J76</f>
        <v>1021906.48827844</v>
      </c>
      <c r="J45" s="91"/>
      <c r="K45" s="91"/>
      <c r="L45" s="91"/>
      <c r="M45" s="91"/>
      <c r="N45" s="92"/>
    </row>
    <row r="46" s="75" customFormat="true" ht="15.75" hidden="true" customHeight="true" outlineLevel="0" collapsed="false">
      <c r="A46" s="93" t="s">
        <v>79</v>
      </c>
      <c r="B46" s="88" t="n">
        <v>0</v>
      </c>
      <c r="C46" s="88" t="n">
        <v>0</v>
      </c>
      <c r="D46" s="88" t="n">
        <v>0</v>
      </c>
      <c r="E46" s="89" t="n">
        <v>0</v>
      </c>
      <c r="F46" s="90" t="n">
        <v>0</v>
      </c>
      <c r="G46" s="90" t="n">
        <v>0</v>
      </c>
      <c r="H46" s="90" t="n">
        <v>0</v>
      </c>
      <c r="I46" s="90" t="n">
        <v>0</v>
      </c>
      <c r="J46" s="91"/>
      <c r="K46" s="91"/>
      <c r="L46" s="91"/>
      <c r="M46" s="91"/>
      <c r="N46" s="92"/>
    </row>
    <row r="47" s="75" customFormat="true" ht="15.75" hidden="true" customHeight="true" outlineLevel="0" collapsed="false">
      <c r="A47" s="93" t="s">
        <v>80</v>
      </c>
      <c r="B47" s="88" t="n">
        <v>0</v>
      </c>
      <c r="C47" s="88" t="n">
        <v>0</v>
      </c>
      <c r="D47" s="88" t="n">
        <v>0</v>
      </c>
      <c r="E47" s="89" t="n">
        <v>0</v>
      </c>
      <c r="F47" s="90" t="n">
        <v>0</v>
      </c>
      <c r="G47" s="90" t="n">
        <v>0</v>
      </c>
      <c r="H47" s="90" t="n">
        <v>0</v>
      </c>
      <c r="I47" s="90" t="n">
        <v>0</v>
      </c>
      <c r="J47" s="91"/>
      <c r="K47" s="91"/>
      <c r="L47" s="91"/>
      <c r="M47" s="91"/>
      <c r="N47" s="92"/>
    </row>
    <row r="48" s="75" customFormat="true" ht="15.75" hidden="true" customHeight="true" outlineLevel="0" collapsed="false">
      <c r="A48" s="93" t="s">
        <v>81</v>
      </c>
      <c r="B48" s="88" t="n">
        <v>0</v>
      </c>
      <c r="C48" s="88" t="n">
        <v>0</v>
      </c>
      <c r="D48" s="88" t="n">
        <v>0</v>
      </c>
      <c r="E48" s="89" t="n">
        <v>0</v>
      </c>
      <c r="F48" s="90" t="n">
        <v>0</v>
      </c>
      <c r="G48" s="90" t="n">
        <v>0</v>
      </c>
      <c r="H48" s="90" t="n">
        <v>0</v>
      </c>
      <c r="I48" s="90" t="n">
        <v>0</v>
      </c>
      <c r="J48" s="91"/>
      <c r="K48" s="91"/>
      <c r="L48" s="91"/>
      <c r="M48" s="91"/>
      <c r="N48" s="92"/>
    </row>
    <row r="49" s="75" customFormat="true" ht="15.75" hidden="true" customHeight="true" outlineLevel="0" collapsed="false">
      <c r="A49" s="93" t="s">
        <v>82</v>
      </c>
      <c r="B49" s="88" t="n">
        <v>0</v>
      </c>
      <c r="C49" s="88" t="n">
        <v>0</v>
      </c>
      <c r="D49" s="88" t="n">
        <v>0</v>
      </c>
      <c r="E49" s="89" t="n">
        <v>0</v>
      </c>
      <c r="F49" s="90" t="n">
        <v>0</v>
      </c>
      <c r="G49" s="90" t="n">
        <v>0</v>
      </c>
      <c r="H49" s="90" t="n">
        <v>0</v>
      </c>
      <c r="I49" s="90" t="n">
        <v>0</v>
      </c>
      <c r="J49" s="91"/>
      <c r="K49" s="91"/>
      <c r="L49" s="91"/>
      <c r="M49" s="91"/>
      <c r="N49" s="92"/>
    </row>
    <row r="50" s="75" customFormat="true" ht="15.75" hidden="false" customHeight="true" outlineLevel="0" collapsed="false">
      <c r="A50" s="95" t="s">
        <v>83</v>
      </c>
      <c r="B50" s="88" t="n">
        <v>920000</v>
      </c>
      <c r="C50" s="88" t="n">
        <v>966000</v>
      </c>
      <c r="D50" s="88" t="n">
        <v>1159200</v>
      </c>
      <c r="E50" s="89" t="n">
        <f aca="false">Drivers!F74</f>
        <v>1782866.87571888</v>
      </c>
      <c r="F50" s="90" t="n">
        <f aca="false">Drivers!G74</f>
        <v>2392218.60248857</v>
      </c>
      <c r="G50" s="90" t="n">
        <f aca="false">Drivers!H74</f>
        <v>3312049.94758062</v>
      </c>
      <c r="H50" s="90" t="n">
        <f aca="false">Drivers!I74</f>
        <v>4248129.97765354</v>
      </c>
      <c r="I50" s="90" t="n">
        <f aca="false">Drivers!J74</f>
        <v>4768896.94529939</v>
      </c>
      <c r="J50" s="91"/>
      <c r="K50" s="91"/>
      <c r="L50" s="91"/>
      <c r="M50" s="91"/>
      <c r="N50" s="92"/>
    </row>
    <row r="51" s="75" customFormat="true" ht="15.75" hidden="true" customHeight="true" outlineLevel="0" collapsed="false">
      <c r="A51" s="93" t="s">
        <v>84</v>
      </c>
      <c r="B51" s="88" t="n">
        <v>0</v>
      </c>
      <c r="C51" s="88" t="n">
        <v>0</v>
      </c>
      <c r="D51" s="88" t="n">
        <v>0</v>
      </c>
      <c r="E51" s="89" t="n">
        <v>0</v>
      </c>
      <c r="F51" s="90" t="n">
        <v>0</v>
      </c>
      <c r="G51" s="90" t="n">
        <v>0</v>
      </c>
      <c r="H51" s="90" t="n">
        <v>0</v>
      </c>
      <c r="I51" s="90" t="n">
        <v>0</v>
      </c>
      <c r="J51" s="91"/>
      <c r="K51" s="91"/>
      <c r="L51" s="91"/>
      <c r="M51" s="91"/>
      <c r="N51" s="92"/>
    </row>
    <row r="52" s="107" customFormat="true" ht="33" hidden="false" customHeight="true" outlineLevel="0" collapsed="false">
      <c r="A52" s="118" t="s">
        <v>85</v>
      </c>
      <c r="B52" s="119" t="n">
        <v>9197000</v>
      </c>
      <c r="C52" s="119" t="n">
        <v>12329950</v>
      </c>
      <c r="D52" s="119" t="n">
        <v>16158769.5</v>
      </c>
      <c r="E52" s="100" t="n">
        <f aca="false">SUBTOTAL(9,E25:E51)</f>
        <v>20640344.8850824</v>
      </c>
      <c r="F52" s="101" t="n">
        <f aca="false">SUBTOTAL(9,F25:F51)</f>
        <v>25252019.260126</v>
      </c>
      <c r="G52" s="101" t="n">
        <f aca="false">SUBTOTAL(9,G25:G51)</f>
        <v>34292221.5220095</v>
      </c>
      <c r="H52" s="101" t="n">
        <f aca="false">SUBTOTAL(9,H25:H51)</f>
        <v>41724526.849691</v>
      </c>
      <c r="I52" s="101" t="n">
        <f aca="false">SUBTOTAL(9,I25:I51)</f>
        <v>48430931.8226993</v>
      </c>
      <c r="J52" s="102"/>
      <c r="K52" s="102"/>
      <c r="L52" s="102"/>
      <c r="M52" s="102"/>
      <c r="N52" s="120"/>
    </row>
    <row r="53" s="75" customFormat="true" ht="15.75" hidden="false" customHeight="true" outlineLevel="0" collapsed="false">
      <c r="A53" s="93"/>
      <c r="B53" s="96"/>
      <c r="C53" s="96"/>
      <c r="D53" s="96"/>
      <c r="E53" s="96"/>
      <c r="F53" s="97"/>
      <c r="G53" s="97"/>
      <c r="H53" s="97"/>
      <c r="I53" s="97"/>
      <c r="J53" s="97"/>
      <c r="K53" s="97"/>
      <c r="L53" s="97"/>
      <c r="M53" s="97"/>
      <c r="N53" s="73"/>
    </row>
    <row r="54" s="75" customFormat="true" ht="15.75" hidden="false" customHeight="true" outlineLevel="0" collapsed="false">
      <c r="A54" s="95" t="s">
        <v>86</v>
      </c>
      <c r="B54" s="116"/>
      <c r="C54" s="116"/>
      <c r="D54" s="116"/>
      <c r="E54" s="116"/>
      <c r="F54" s="117"/>
      <c r="G54" s="117"/>
      <c r="H54" s="117"/>
      <c r="I54" s="117"/>
      <c r="J54" s="117"/>
      <c r="K54" s="117"/>
      <c r="L54" s="117"/>
      <c r="M54" s="117"/>
      <c r="N54" s="73"/>
    </row>
    <row r="55" s="75" customFormat="true" ht="15.75" hidden="false" customHeight="true" outlineLevel="0" collapsed="false">
      <c r="A55" s="95" t="s">
        <v>87</v>
      </c>
      <c r="B55" s="88" t="n">
        <v>6992000</v>
      </c>
      <c r="C55" s="88" t="n">
        <v>7691200</v>
      </c>
      <c r="D55" s="88" t="n">
        <v>10767680</v>
      </c>
      <c r="E55" s="89" t="n">
        <f aca="false">Drivers!F64</f>
        <v>14326608.822741</v>
      </c>
      <c r="F55" s="90" t="n">
        <f aca="false">Drivers!G64</f>
        <v>18340342.6190791</v>
      </c>
      <c r="G55" s="90" t="n">
        <f aca="false">Drivers!H64</f>
        <v>25944391.2560482</v>
      </c>
      <c r="H55" s="90" t="n">
        <f aca="false">Drivers!I64</f>
        <v>32568996.4953438</v>
      </c>
      <c r="I55" s="90" t="n">
        <f aca="false">Drivers!J64</f>
        <v>38321493.3104416</v>
      </c>
      <c r="J55" s="91"/>
      <c r="K55" s="91"/>
      <c r="L55" s="91"/>
      <c r="M55" s="91"/>
      <c r="N55" s="92"/>
    </row>
    <row r="56" s="75" customFormat="true" ht="15.75" hidden="true" customHeight="true" outlineLevel="0" collapsed="false">
      <c r="A56" s="93" t="s">
        <v>88</v>
      </c>
      <c r="B56" s="88" t="n">
        <v>0</v>
      </c>
      <c r="C56" s="88" t="n">
        <v>0</v>
      </c>
      <c r="D56" s="88" t="n">
        <v>0</v>
      </c>
      <c r="E56" s="89" t="n">
        <v>0</v>
      </c>
      <c r="F56" s="90" t="n">
        <v>0</v>
      </c>
      <c r="G56" s="90" t="n">
        <v>0</v>
      </c>
      <c r="H56" s="90" t="n">
        <v>0</v>
      </c>
      <c r="I56" s="90" t="n">
        <v>0</v>
      </c>
      <c r="J56" s="91"/>
      <c r="K56" s="91"/>
      <c r="L56" s="91"/>
      <c r="M56" s="91"/>
      <c r="N56" s="92"/>
    </row>
    <row r="57" s="75" customFormat="true" ht="15.75" hidden="true" customHeight="true" outlineLevel="0" collapsed="false">
      <c r="A57" s="93" t="s">
        <v>89</v>
      </c>
      <c r="B57" s="88" t="n">
        <v>0</v>
      </c>
      <c r="C57" s="88" t="n">
        <v>0</v>
      </c>
      <c r="D57" s="88" t="n">
        <v>0</v>
      </c>
      <c r="E57" s="89" t="n">
        <v>0</v>
      </c>
      <c r="F57" s="90" t="n">
        <v>0</v>
      </c>
      <c r="G57" s="90" t="n">
        <v>0</v>
      </c>
      <c r="H57" s="90" t="n">
        <v>0</v>
      </c>
      <c r="I57" s="90" t="n">
        <v>0</v>
      </c>
      <c r="J57" s="91"/>
      <c r="K57" s="91"/>
      <c r="L57" s="91"/>
      <c r="M57" s="91"/>
      <c r="N57" s="92"/>
    </row>
    <row r="58" s="75" customFormat="true" ht="15.75" hidden="true" customHeight="true" outlineLevel="0" collapsed="false">
      <c r="A58" s="93" t="s">
        <v>90</v>
      </c>
      <c r="B58" s="88" t="n">
        <v>0</v>
      </c>
      <c r="C58" s="88" t="n">
        <v>0</v>
      </c>
      <c r="D58" s="88" t="n">
        <v>0</v>
      </c>
      <c r="E58" s="89" t="n">
        <v>0</v>
      </c>
      <c r="F58" s="90" t="n">
        <v>0</v>
      </c>
      <c r="G58" s="90" t="n">
        <v>0</v>
      </c>
      <c r="H58" s="90" t="n">
        <v>0</v>
      </c>
      <c r="I58" s="90" t="n">
        <v>0</v>
      </c>
      <c r="J58" s="91"/>
      <c r="K58" s="91"/>
      <c r="L58" s="91"/>
      <c r="M58" s="91"/>
      <c r="N58" s="92"/>
    </row>
    <row r="59" s="75" customFormat="true" ht="15.75" hidden="true" customHeight="true" outlineLevel="0" collapsed="false">
      <c r="A59" s="93" t="s">
        <v>91</v>
      </c>
      <c r="B59" s="88" t="n">
        <v>0</v>
      </c>
      <c r="C59" s="88" t="n">
        <v>0</v>
      </c>
      <c r="D59" s="88" t="n">
        <v>0</v>
      </c>
      <c r="E59" s="89" t="n">
        <v>0</v>
      </c>
      <c r="F59" s="90" t="n">
        <v>0</v>
      </c>
      <c r="G59" s="90" t="n">
        <v>0</v>
      </c>
      <c r="H59" s="90" t="n">
        <v>0</v>
      </c>
      <c r="I59" s="90" t="n">
        <v>0</v>
      </c>
      <c r="J59" s="91"/>
      <c r="K59" s="91"/>
      <c r="L59" s="91"/>
      <c r="M59" s="91"/>
      <c r="N59" s="92"/>
    </row>
    <row r="60" s="75" customFormat="true" ht="15.75" hidden="true" customHeight="true" outlineLevel="0" collapsed="false">
      <c r="A60" s="93" t="s">
        <v>92</v>
      </c>
      <c r="B60" s="88" t="n">
        <v>0</v>
      </c>
      <c r="C60" s="88" t="n">
        <v>0</v>
      </c>
      <c r="D60" s="88" t="n">
        <v>0</v>
      </c>
      <c r="E60" s="89" t="n">
        <v>0</v>
      </c>
      <c r="F60" s="90" t="n">
        <v>0</v>
      </c>
      <c r="G60" s="90" t="n">
        <v>0</v>
      </c>
      <c r="H60" s="90" t="n">
        <v>0</v>
      </c>
      <c r="I60" s="90" t="n">
        <v>0</v>
      </c>
      <c r="J60" s="91"/>
      <c r="K60" s="91"/>
      <c r="L60" s="91"/>
      <c r="M60" s="91"/>
      <c r="N60" s="92"/>
    </row>
    <row r="61" s="107" customFormat="true" ht="16.5" hidden="false" customHeight="true" outlineLevel="0" collapsed="false">
      <c r="A61" s="121" t="s">
        <v>93</v>
      </c>
      <c r="B61" s="119" t="n">
        <v>6992000</v>
      </c>
      <c r="C61" s="119" t="n">
        <v>7691200</v>
      </c>
      <c r="D61" s="119" t="n">
        <v>10767680</v>
      </c>
      <c r="E61" s="100" t="n">
        <f aca="false">SUBTOTAL(9,E55:E60)</f>
        <v>14326608.822741</v>
      </c>
      <c r="F61" s="101" t="n">
        <f aca="false">SUBTOTAL(9,F55:F60)</f>
        <v>18340342.6190791</v>
      </c>
      <c r="G61" s="101" t="n">
        <f aca="false">SUBTOTAL(9,G55:G60)</f>
        <v>25944391.2560482</v>
      </c>
      <c r="H61" s="101" t="n">
        <f aca="false">SUBTOTAL(9,H55:H60)</f>
        <v>32568996.4953438</v>
      </c>
      <c r="I61" s="101" t="n">
        <f aca="false">SUBTOTAL(9,I55:I60)</f>
        <v>38321493.3104416</v>
      </c>
      <c r="J61" s="102"/>
      <c r="K61" s="102"/>
      <c r="L61" s="102"/>
      <c r="M61" s="102"/>
      <c r="N61" s="106"/>
    </row>
    <row r="62" s="107" customFormat="true" ht="16.5" hidden="false" customHeight="true" outlineLevel="0" collapsed="false">
      <c r="A62" s="86"/>
      <c r="B62" s="122"/>
      <c r="C62" s="122"/>
      <c r="D62" s="122"/>
      <c r="E62" s="122"/>
      <c r="F62" s="123"/>
      <c r="G62" s="123"/>
      <c r="H62" s="123"/>
      <c r="I62" s="123"/>
      <c r="J62" s="123"/>
      <c r="K62" s="123"/>
      <c r="L62" s="123"/>
      <c r="M62" s="123"/>
      <c r="N62" s="106"/>
    </row>
    <row r="63" s="107" customFormat="true" ht="15.75" hidden="false" customHeight="true" outlineLevel="0" collapsed="false">
      <c r="A63" s="86" t="s">
        <v>94</v>
      </c>
      <c r="B63" s="119" t="n">
        <v>16189000</v>
      </c>
      <c r="C63" s="119" t="n">
        <v>20021150</v>
      </c>
      <c r="D63" s="119" t="n">
        <v>26926449.5</v>
      </c>
      <c r="E63" s="100" t="n">
        <f aca="false">SUBTOTAL(9,E25:E62)</f>
        <v>34966953.7078234</v>
      </c>
      <c r="F63" s="101" t="n">
        <f aca="false">SUBTOTAL(9,F25:F62)</f>
        <v>43592361.879205</v>
      </c>
      <c r="G63" s="101" t="n">
        <f aca="false">SUBTOTAL(9,G25:G62)</f>
        <v>60236612.7780578</v>
      </c>
      <c r="H63" s="101" t="n">
        <f aca="false">SUBTOTAL(9,H25:H62)</f>
        <v>74293523.3450348</v>
      </c>
      <c r="I63" s="101" t="n">
        <f aca="false">SUBTOTAL(9,I25:I62)</f>
        <v>86752425.1331408</v>
      </c>
      <c r="J63" s="102"/>
      <c r="K63" s="102"/>
      <c r="L63" s="102"/>
      <c r="M63" s="102"/>
      <c r="N63" s="106"/>
    </row>
    <row r="64" s="75" customFormat="true" ht="15.75" hidden="false" customHeight="true" outlineLevel="0" collapsed="false">
      <c r="A64" s="93"/>
      <c r="B64" s="96"/>
      <c r="C64" s="96"/>
      <c r="D64" s="96"/>
      <c r="E64" s="96"/>
      <c r="F64" s="97"/>
      <c r="G64" s="97"/>
      <c r="H64" s="97"/>
      <c r="I64" s="97"/>
      <c r="J64" s="97"/>
      <c r="K64" s="97"/>
      <c r="L64" s="97"/>
      <c r="M64" s="97"/>
      <c r="N64" s="92"/>
    </row>
    <row r="65" s="75" customFormat="true" ht="27" hidden="false" customHeight="true" outlineLevel="0" collapsed="false">
      <c r="A65" s="124" t="s">
        <v>95</v>
      </c>
      <c r="B65" s="99" t="n">
        <v>-2762511.2</v>
      </c>
      <c r="C65" s="99" t="n">
        <v>2014563.75</v>
      </c>
      <c r="D65" s="99" t="n">
        <v>7694629.2155</v>
      </c>
      <c r="E65" s="125" t="n">
        <f aca="false">E20-E63</f>
        <v>11384204.0346466</v>
      </c>
      <c r="F65" s="126" t="n">
        <f aca="false">F20-F63</f>
        <v>14269774.5825946</v>
      </c>
      <c r="G65" s="126" t="n">
        <f aca="false">G20-G63</f>
        <v>17757514.5630708</v>
      </c>
      <c r="H65" s="126" t="n">
        <f aca="false">H20-H63</f>
        <v>26926664.252477</v>
      </c>
      <c r="I65" s="126" t="n">
        <f aca="false">I20-I63</f>
        <v>34434634.4002363</v>
      </c>
      <c r="J65" s="127"/>
      <c r="K65" s="127"/>
      <c r="L65" s="127"/>
      <c r="M65" s="127"/>
      <c r="N65" s="92"/>
    </row>
    <row r="66" s="75" customFormat="true" ht="15.75" hidden="false" customHeight="true" outlineLevel="0" collapsed="false">
      <c r="A66" s="93" t="s">
        <v>96</v>
      </c>
      <c r="B66" s="96"/>
      <c r="C66" s="96"/>
      <c r="D66" s="96"/>
      <c r="E66" s="96"/>
      <c r="F66" s="97"/>
      <c r="G66" s="97"/>
      <c r="H66" s="97"/>
      <c r="I66" s="97"/>
      <c r="J66" s="97"/>
      <c r="K66" s="97"/>
      <c r="L66" s="97"/>
      <c r="M66" s="97"/>
      <c r="N66" s="92"/>
    </row>
    <row r="67" s="75" customFormat="true" ht="15.75" hidden="true" customHeight="true" outlineLevel="0" collapsed="false">
      <c r="A67" s="93" t="s">
        <v>97</v>
      </c>
      <c r="B67" s="88" t="n">
        <v>0</v>
      </c>
      <c r="C67" s="88" t="n">
        <v>0</v>
      </c>
      <c r="D67" s="88" t="n">
        <v>0</v>
      </c>
      <c r="E67" s="89" t="n">
        <v>0</v>
      </c>
      <c r="F67" s="90" t="n">
        <v>0</v>
      </c>
      <c r="G67" s="90" t="n">
        <v>0</v>
      </c>
      <c r="H67" s="90" t="n">
        <v>0</v>
      </c>
      <c r="I67" s="90" t="n">
        <v>0</v>
      </c>
      <c r="J67" s="91"/>
      <c r="K67" s="91"/>
      <c r="L67" s="91"/>
      <c r="M67" s="91"/>
      <c r="N67" s="92"/>
    </row>
    <row r="68" s="75" customFormat="true" ht="15.75" hidden="true" customHeight="true" outlineLevel="0" collapsed="false">
      <c r="A68" s="93" t="s">
        <v>98</v>
      </c>
      <c r="B68" s="88" t="n">
        <v>0</v>
      </c>
      <c r="C68" s="88" t="n">
        <v>0</v>
      </c>
      <c r="D68" s="88" t="n">
        <v>0</v>
      </c>
      <c r="E68" s="89" t="n">
        <v>0</v>
      </c>
      <c r="F68" s="90" t="n">
        <v>0</v>
      </c>
      <c r="G68" s="90" t="n">
        <v>0</v>
      </c>
      <c r="H68" s="90" t="n">
        <v>0</v>
      </c>
      <c r="I68" s="90" t="n">
        <v>0</v>
      </c>
      <c r="J68" s="91"/>
      <c r="K68" s="91"/>
      <c r="L68" s="91"/>
      <c r="M68" s="91"/>
      <c r="N68" s="92"/>
    </row>
    <row r="69" s="75" customFormat="true" ht="15.75" hidden="false" customHeight="true" outlineLevel="0" collapsed="false">
      <c r="A69" s="93" t="s">
        <v>99</v>
      </c>
      <c r="B69" s="88" t="n">
        <v>114300</v>
      </c>
      <c r="C69" s="88" t="n">
        <v>142560</v>
      </c>
      <c r="D69" s="88" t="n">
        <v>142182</v>
      </c>
      <c r="E69" s="89" t="n">
        <f aca="false">Drivers!F119</f>
        <v>160260</v>
      </c>
      <c r="F69" s="90" t="n">
        <f aca="false">Drivers!G119</f>
        <v>1715202.09161757</v>
      </c>
      <c r="G69" s="90" t="n">
        <f aca="false">Drivers!H119</f>
        <v>3270144.18323515</v>
      </c>
      <c r="H69" s="90" t="n">
        <f aca="false">Drivers!I119</f>
        <v>2959155.76491163</v>
      </c>
      <c r="I69" s="90" t="n">
        <f aca="false">Drivers!J119</f>
        <v>2337178.9282646</v>
      </c>
      <c r="J69" s="91"/>
      <c r="K69" s="91"/>
      <c r="L69" s="91"/>
      <c r="M69" s="91"/>
      <c r="N69" s="92"/>
      <c r="O69" s="128"/>
    </row>
    <row r="70" s="75" customFormat="true" ht="15.75" hidden="true" customHeight="true" outlineLevel="0" collapsed="false">
      <c r="A70" s="93" t="s">
        <v>100</v>
      </c>
      <c r="B70" s="88" t="n">
        <v>0</v>
      </c>
      <c r="C70" s="88" t="n">
        <v>0</v>
      </c>
      <c r="D70" s="88" t="n">
        <v>0</v>
      </c>
      <c r="E70" s="89" t="n">
        <v>0</v>
      </c>
      <c r="F70" s="90" t="n">
        <v>0</v>
      </c>
      <c r="G70" s="90" t="n">
        <v>0</v>
      </c>
      <c r="H70" s="90" t="n">
        <v>0</v>
      </c>
      <c r="I70" s="90" t="n">
        <v>0</v>
      </c>
      <c r="J70" s="91"/>
      <c r="K70" s="91"/>
      <c r="L70" s="91"/>
      <c r="M70" s="91"/>
      <c r="N70" s="92"/>
    </row>
    <row r="71" s="75" customFormat="true" ht="15.75" hidden="false" customHeight="true" outlineLevel="0" collapsed="false">
      <c r="A71" s="129" t="s">
        <v>101</v>
      </c>
      <c r="B71" s="88" t="n">
        <v>1432200</v>
      </c>
      <c r="C71" s="88" t="n">
        <v>2375280</v>
      </c>
      <c r="D71" s="88" t="n">
        <v>3131952</v>
      </c>
      <c r="E71" s="89" t="n">
        <f aca="false">Drivers!F88</f>
        <v>3742094.4</v>
      </c>
      <c r="F71" s="90" t="n">
        <f aca="false">Drivers!G88</f>
        <v>5270266.00775904</v>
      </c>
      <c r="G71" s="90" t="n">
        <f aca="false">Drivers!H88</f>
        <v>11490034.3742293</v>
      </c>
      <c r="H71" s="90" t="n">
        <f aca="false">Drivers!I88</f>
        <v>13079818.349068</v>
      </c>
      <c r="I71" s="90" t="n">
        <f aca="false">Drivers!J88</f>
        <v>14779070.3401295</v>
      </c>
      <c r="J71" s="91"/>
      <c r="K71" s="91"/>
      <c r="L71" s="91"/>
      <c r="M71" s="91"/>
      <c r="N71" s="92"/>
    </row>
    <row r="72" s="75" customFormat="true" ht="15.75" hidden="true" customHeight="true" outlineLevel="0" collapsed="false">
      <c r="A72" s="93" t="s">
        <v>102</v>
      </c>
      <c r="B72" s="88" t="n">
        <v>0</v>
      </c>
      <c r="C72" s="88" t="n">
        <v>0</v>
      </c>
      <c r="D72" s="88" t="n">
        <v>0</v>
      </c>
      <c r="E72" s="89" t="n">
        <v>0</v>
      </c>
      <c r="F72" s="90" t="n">
        <v>0</v>
      </c>
      <c r="G72" s="90" t="n">
        <v>0</v>
      </c>
      <c r="H72" s="90" t="n">
        <v>0</v>
      </c>
      <c r="I72" s="90" t="n">
        <v>0</v>
      </c>
      <c r="J72" s="91"/>
      <c r="K72" s="91"/>
      <c r="L72" s="91"/>
      <c r="M72" s="91"/>
      <c r="N72" s="92"/>
    </row>
    <row r="73" s="75" customFormat="true" ht="15.75" hidden="false" customHeight="true" outlineLevel="0" collapsed="false">
      <c r="A73" s="95"/>
      <c r="B73" s="96"/>
      <c r="C73" s="96"/>
      <c r="D73" s="96"/>
      <c r="E73" s="96"/>
      <c r="F73" s="97"/>
      <c r="G73" s="97"/>
      <c r="H73" s="97"/>
      <c r="I73" s="97"/>
      <c r="J73" s="97"/>
      <c r="K73" s="97"/>
      <c r="L73" s="97"/>
      <c r="M73" s="97"/>
      <c r="N73" s="92"/>
    </row>
    <row r="74" s="107" customFormat="true" ht="15.75" hidden="false" customHeight="true" outlineLevel="0" collapsed="false">
      <c r="A74" s="86" t="s">
        <v>103</v>
      </c>
      <c r="B74" s="119" t="n">
        <v>1546500</v>
      </c>
      <c r="C74" s="119" t="n">
        <v>2517840</v>
      </c>
      <c r="D74" s="119" t="n">
        <v>3274134</v>
      </c>
      <c r="E74" s="100" t="n">
        <f aca="false">SUM(E67:E73)</f>
        <v>3902354.4</v>
      </c>
      <c r="F74" s="101" t="n">
        <f aca="false">SUM(F67:F73)</f>
        <v>6985468.09937661</v>
      </c>
      <c r="G74" s="101" t="n">
        <f aca="false">SUM(G67:G73)</f>
        <v>14760178.5574645</v>
      </c>
      <c r="H74" s="101" t="n">
        <f aca="false">SUM(H67:H73)</f>
        <v>16038974.1139797</v>
      </c>
      <c r="I74" s="101" t="n">
        <f aca="false">SUM(I67:I73)</f>
        <v>17116249.2683941</v>
      </c>
      <c r="J74" s="102"/>
      <c r="K74" s="102"/>
      <c r="L74" s="102"/>
      <c r="M74" s="102"/>
      <c r="N74" s="106"/>
    </row>
    <row r="75" s="75" customFormat="true" ht="16.5" hidden="false" customHeight="true" outlineLevel="0" collapsed="false">
      <c r="A75" s="95"/>
      <c r="B75" s="96"/>
      <c r="C75" s="96"/>
      <c r="D75" s="96"/>
      <c r="E75" s="96"/>
      <c r="F75" s="97"/>
      <c r="G75" s="97"/>
      <c r="H75" s="97"/>
      <c r="I75" s="97"/>
      <c r="J75" s="97"/>
      <c r="K75" s="97"/>
      <c r="L75" s="97"/>
      <c r="M75" s="97"/>
      <c r="N75" s="92"/>
    </row>
    <row r="76" s="75" customFormat="true" ht="16.5" hidden="false" customHeight="true" outlineLevel="0" collapsed="false">
      <c r="A76" s="98" t="s">
        <v>104</v>
      </c>
      <c r="B76" s="130" t="n">
        <v>-4309011.2</v>
      </c>
      <c r="C76" s="130" t="n">
        <v>-503276.25</v>
      </c>
      <c r="D76" s="130" t="n">
        <v>4420495.2155</v>
      </c>
      <c r="E76" s="125" t="n">
        <f aca="false">E65-E74</f>
        <v>7481849.63464663</v>
      </c>
      <c r="F76" s="126" t="n">
        <f aca="false">F65-F74</f>
        <v>7284306.48321796</v>
      </c>
      <c r="G76" s="126" t="n">
        <f aca="false">G65-G74</f>
        <v>2997336.00560627</v>
      </c>
      <c r="H76" s="126" t="n">
        <f aca="false">H65-H74</f>
        <v>10887690.1384973</v>
      </c>
      <c r="I76" s="126" t="n">
        <f aca="false">I65-I74</f>
        <v>17318385.1318422</v>
      </c>
      <c r="J76" s="127"/>
      <c r="K76" s="127"/>
      <c r="L76" s="127"/>
      <c r="M76" s="127"/>
      <c r="N76" s="92"/>
    </row>
    <row r="77" s="75" customFormat="true" ht="15.75" hidden="false" customHeight="true" outlineLevel="0" collapsed="false">
      <c r="A77" s="93" t="s">
        <v>105</v>
      </c>
      <c r="B77" s="96"/>
      <c r="C77" s="96"/>
      <c r="D77" s="96"/>
      <c r="E77" s="96"/>
      <c r="F77" s="97"/>
      <c r="G77" s="97"/>
      <c r="H77" s="97"/>
      <c r="I77" s="97"/>
      <c r="J77" s="97"/>
      <c r="K77" s="97"/>
      <c r="L77" s="97"/>
      <c r="M77" s="97"/>
      <c r="N77" s="92"/>
    </row>
    <row r="78" s="75" customFormat="true" ht="15.75" hidden="false" customHeight="true" outlineLevel="0" collapsed="false">
      <c r="A78" s="93" t="s">
        <v>106</v>
      </c>
      <c r="B78" s="96" t="n">
        <v>0</v>
      </c>
      <c r="C78" s="96" t="n">
        <v>0</v>
      </c>
      <c r="D78" s="96" t="n">
        <v>0</v>
      </c>
      <c r="E78" s="131" t="n">
        <f aca="false">Drivers!F127</f>
        <v>902709.758024927</v>
      </c>
      <c r="F78" s="132" t="n">
        <f aca="false">Drivers!G127</f>
        <v>1456861.29664359</v>
      </c>
      <c r="G78" s="132" t="n">
        <f aca="false">Drivers!H127</f>
        <v>599467.201121254</v>
      </c>
      <c r="H78" s="132" t="n">
        <f aca="false">Drivers!I127</f>
        <v>2177538.02769946</v>
      </c>
      <c r="I78" s="132" t="n">
        <f aca="false">Drivers!J127</f>
        <v>3463677.02636845</v>
      </c>
      <c r="J78" s="97"/>
      <c r="K78" s="97"/>
      <c r="L78" s="97"/>
      <c r="M78" s="97"/>
      <c r="N78" s="92"/>
    </row>
    <row r="79" s="75" customFormat="true" ht="15.75" hidden="false" customHeight="true" outlineLevel="0" collapsed="false">
      <c r="A79" s="108"/>
      <c r="B79" s="96"/>
      <c r="C79" s="96"/>
      <c r="D79" s="96"/>
      <c r="E79" s="96"/>
      <c r="F79" s="97"/>
      <c r="G79" s="97"/>
      <c r="H79" s="97"/>
      <c r="I79" s="97"/>
      <c r="J79" s="97"/>
      <c r="K79" s="97"/>
      <c r="L79" s="97"/>
      <c r="M79" s="97"/>
      <c r="N79" s="92"/>
    </row>
    <row r="80" s="75" customFormat="true" ht="16.5" hidden="false" customHeight="true" outlineLevel="0" collapsed="false">
      <c r="A80" s="98" t="s">
        <v>107</v>
      </c>
      <c r="B80" s="109" t="n">
        <v>-4309011.2</v>
      </c>
      <c r="C80" s="109" t="n">
        <v>-503276.25</v>
      </c>
      <c r="D80" s="109" t="n">
        <v>4420495.2155</v>
      </c>
      <c r="E80" s="133" t="n">
        <f aca="false">E76-E78</f>
        <v>6579139.8766217</v>
      </c>
      <c r="F80" s="134" t="n">
        <f aca="false">F76-F78</f>
        <v>5827445.18657437</v>
      </c>
      <c r="G80" s="134" t="n">
        <f aca="false">G76-G78</f>
        <v>2397868.80448502</v>
      </c>
      <c r="H80" s="134" t="n">
        <f aca="false">H76-H78</f>
        <v>8710152.11079786</v>
      </c>
      <c r="I80" s="134" t="n">
        <f aca="false">I76-I78</f>
        <v>13854708.1054738</v>
      </c>
      <c r="J80" s="112"/>
      <c r="K80" s="112"/>
      <c r="L80" s="112"/>
      <c r="M80" s="112"/>
      <c r="N80" s="92"/>
    </row>
    <row r="81" customFormat="false" ht="15.75" hidden="false" customHeight="true" outlineLevel="0" collapsed="false">
      <c r="A81" s="135"/>
      <c r="B81" s="135"/>
      <c r="C81" s="136"/>
      <c r="D81" s="136"/>
      <c r="E81" s="137"/>
      <c r="F81" s="136"/>
      <c r="G81" s="136"/>
      <c r="H81" s="136"/>
      <c r="I81" s="136"/>
      <c r="J81" s="136"/>
      <c r="K81" s="136"/>
      <c r="L81" s="136"/>
      <c r="M81" s="136"/>
      <c r="N81" s="138"/>
    </row>
    <row r="82" customFormat="false" ht="15.75" hidden="false" customHeight="true" outlineLevel="0" collapsed="false">
      <c r="A82" s="135"/>
      <c r="B82" s="135"/>
      <c r="C82" s="135"/>
      <c r="D82" s="135"/>
      <c r="F82" s="135"/>
      <c r="G82" s="135"/>
      <c r="H82" s="135"/>
      <c r="I82" s="135"/>
      <c r="J82" s="135"/>
      <c r="K82" s="135"/>
      <c r="L82" s="135"/>
      <c r="M82" s="135"/>
      <c r="N82" s="138"/>
    </row>
    <row r="83" customFormat="false" ht="15.75" hidden="false" customHeight="true" outlineLevel="0" collapsed="false">
      <c r="A83" s="135"/>
      <c r="B83" s="135"/>
      <c r="C83" s="136"/>
      <c r="D83" s="136"/>
      <c r="E83" s="137"/>
      <c r="F83" s="136"/>
      <c r="G83" s="136"/>
      <c r="H83" s="136"/>
      <c r="I83" s="136"/>
      <c r="J83" s="136"/>
      <c r="K83" s="136"/>
      <c r="L83" s="136"/>
      <c r="M83" s="136"/>
      <c r="N83" s="138"/>
    </row>
    <row r="84" customFormat="false" ht="15.75" hidden="false" customHeight="true" outlineLevel="0" collapsed="false">
      <c r="A84" s="135"/>
      <c r="B84" s="135"/>
      <c r="C84" s="135"/>
      <c r="D84" s="135"/>
      <c r="F84" s="135"/>
      <c r="G84" s="135"/>
      <c r="H84" s="135"/>
      <c r="I84" s="135"/>
      <c r="J84" s="135"/>
      <c r="K84" s="135"/>
      <c r="L84" s="135"/>
      <c r="M84" s="135"/>
      <c r="N84" s="135"/>
    </row>
    <row r="85" customFormat="false" ht="15.75" hidden="false" customHeight="true" outlineLevel="0" collapsed="false">
      <c r="A85" s="135"/>
      <c r="B85" s="135"/>
      <c r="C85" s="135"/>
      <c r="D85" s="135"/>
      <c r="F85" s="135"/>
      <c r="G85" s="135"/>
      <c r="H85" s="135"/>
      <c r="I85" s="135"/>
      <c r="J85" s="135"/>
      <c r="K85" s="135"/>
      <c r="L85" s="135"/>
      <c r="M85" s="135"/>
      <c r="N85" s="135"/>
    </row>
    <row r="86" customFormat="false" ht="15.75" hidden="false" customHeight="true" outlineLevel="0" collapsed="false">
      <c r="A86" s="135"/>
      <c r="B86" s="135"/>
      <c r="C86" s="135"/>
      <c r="D86" s="135"/>
      <c r="F86" s="135"/>
      <c r="G86" s="135"/>
      <c r="H86" s="135"/>
      <c r="I86" s="135"/>
      <c r="J86" s="135"/>
      <c r="K86" s="135"/>
      <c r="L86" s="135"/>
      <c r="M86" s="135"/>
      <c r="N86" s="135"/>
    </row>
    <row r="87" customFormat="false" ht="15.75" hidden="false" customHeight="true" outlineLevel="0" collapsed="false">
      <c r="A87" s="135"/>
      <c r="B87" s="135"/>
      <c r="C87" s="135"/>
      <c r="D87" s="135"/>
      <c r="F87" s="135"/>
      <c r="G87" s="135"/>
      <c r="H87" s="135"/>
      <c r="I87" s="135"/>
      <c r="J87" s="135"/>
      <c r="K87" s="135"/>
      <c r="L87" s="135"/>
      <c r="M87" s="135"/>
      <c r="N87" s="135"/>
    </row>
    <row r="88" customFormat="false" ht="15.75" hidden="false" customHeight="true" outlineLevel="0" collapsed="false">
      <c r="A88" s="135"/>
      <c r="B88" s="135"/>
      <c r="C88" s="135"/>
      <c r="D88" s="135"/>
      <c r="F88" s="135"/>
      <c r="G88" s="135"/>
      <c r="H88" s="135"/>
      <c r="I88" s="135"/>
      <c r="J88" s="135"/>
      <c r="K88" s="135"/>
      <c r="L88" s="135"/>
      <c r="M88" s="135"/>
      <c r="N88" s="135"/>
    </row>
    <row r="89" customFormat="false" ht="15.75" hidden="false" customHeight="true" outlineLevel="0" collapsed="false">
      <c r="A89" s="135"/>
      <c r="B89" s="138"/>
      <c r="C89" s="138"/>
      <c r="D89" s="138"/>
      <c r="E89" s="139"/>
      <c r="F89" s="138"/>
      <c r="G89" s="138"/>
      <c r="H89" s="138"/>
      <c r="I89" s="138"/>
      <c r="J89" s="138"/>
      <c r="K89" s="138"/>
      <c r="L89" s="138"/>
      <c r="M89" s="138"/>
      <c r="N89" s="138"/>
    </row>
    <row r="90" customFormat="false" ht="15.75" hidden="false" customHeight="true" outlineLevel="0" collapsed="false">
      <c r="A90" s="135"/>
      <c r="B90" s="138"/>
      <c r="C90" s="138"/>
      <c r="D90" s="138"/>
      <c r="E90" s="139"/>
      <c r="F90" s="138"/>
      <c r="G90" s="138"/>
      <c r="H90" s="138"/>
      <c r="I90" s="138"/>
      <c r="J90" s="138"/>
      <c r="K90" s="138"/>
      <c r="L90" s="138"/>
      <c r="M90" s="138"/>
      <c r="N90" s="138"/>
    </row>
    <row r="91" customFormat="false" ht="15.75" hidden="false" customHeight="true" outlineLevel="0" collapsed="false">
      <c r="A91" s="135"/>
      <c r="B91" s="138"/>
      <c r="C91" s="138"/>
      <c r="D91" s="138"/>
      <c r="E91" s="139"/>
      <c r="F91" s="138"/>
      <c r="G91" s="138"/>
      <c r="H91" s="138"/>
      <c r="I91" s="138"/>
      <c r="J91" s="138"/>
      <c r="K91" s="138"/>
      <c r="L91" s="138"/>
      <c r="M91" s="138"/>
      <c r="N91" s="138"/>
    </row>
    <row r="92" customFormat="false" ht="15.75" hidden="false" customHeight="true" outlineLevel="0" collapsed="false">
      <c r="A92" s="135"/>
      <c r="B92" s="138"/>
      <c r="C92" s="138"/>
      <c r="D92" s="138"/>
      <c r="E92" s="139"/>
      <c r="F92" s="138"/>
      <c r="G92" s="138"/>
      <c r="H92" s="138"/>
      <c r="I92" s="138"/>
      <c r="J92" s="138"/>
      <c r="K92" s="138"/>
      <c r="L92" s="138"/>
      <c r="M92" s="138"/>
      <c r="N92" s="138"/>
    </row>
    <row r="93" customFormat="false" ht="15.75" hidden="false" customHeight="true" outlineLevel="0" collapsed="false">
      <c r="A93" s="135"/>
      <c r="B93" s="138"/>
      <c r="C93" s="138"/>
      <c r="D93" s="138"/>
      <c r="E93" s="139"/>
      <c r="F93" s="138"/>
      <c r="G93" s="138"/>
      <c r="H93" s="138"/>
      <c r="I93" s="138"/>
      <c r="J93" s="138"/>
      <c r="K93" s="138"/>
      <c r="L93" s="138"/>
      <c r="M93" s="138"/>
      <c r="N93" s="138"/>
    </row>
    <row r="94" customFormat="false" ht="15.75" hidden="false" customHeight="true" outlineLevel="0" collapsed="false">
      <c r="A94" s="135"/>
      <c r="B94" s="138"/>
      <c r="C94" s="138"/>
      <c r="D94" s="138"/>
      <c r="E94" s="139"/>
      <c r="F94" s="138"/>
      <c r="G94" s="138"/>
      <c r="H94" s="138"/>
      <c r="I94" s="138"/>
      <c r="J94" s="138"/>
      <c r="K94" s="138"/>
      <c r="L94" s="138"/>
      <c r="M94" s="138"/>
      <c r="N94" s="138"/>
    </row>
    <row r="95" customFormat="false" ht="15.75" hidden="false" customHeight="true" outlineLevel="0" collapsed="false">
      <c r="A95" s="135"/>
      <c r="B95" s="138"/>
      <c r="C95" s="138"/>
      <c r="D95" s="138"/>
      <c r="E95" s="139"/>
      <c r="F95" s="138"/>
      <c r="G95" s="138"/>
      <c r="H95" s="138"/>
      <c r="I95" s="138"/>
      <c r="J95" s="138"/>
      <c r="K95" s="138"/>
      <c r="L95" s="138"/>
      <c r="M95" s="138"/>
      <c r="N95" s="138"/>
    </row>
    <row r="96" customFormat="false" ht="15.75" hidden="false" customHeight="true" outlineLevel="0" collapsed="false">
      <c r="A96" s="135"/>
      <c r="B96" s="138"/>
      <c r="C96" s="138"/>
      <c r="D96" s="138"/>
      <c r="E96" s="139"/>
      <c r="F96" s="138"/>
      <c r="G96" s="138"/>
      <c r="H96" s="138"/>
      <c r="I96" s="138"/>
      <c r="J96" s="138"/>
      <c r="K96" s="138"/>
      <c r="L96" s="138"/>
      <c r="M96" s="138"/>
      <c r="N96" s="138"/>
    </row>
    <row r="97" customFormat="false" ht="15.75" hidden="false" customHeight="true" outlineLevel="0" collapsed="false">
      <c r="A97" s="135"/>
      <c r="B97" s="138"/>
      <c r="C97" s="138"/>
      <c r="D97" s="138"/>
      <c r="E97" s="139"/>
      <c r="F97" s="138"/>
      <c r="G97" s="138"/>
      <c r="H97" s="138"/>
      <c r="I97" s="138"/>
      <c r="J97" s="138"/>
      <c r="K97" s="138"/>
      <c r="L97" s="138"/>
      <c r="M97" s="138"/>
      <c r="N97" s="138"/>
    </row>
    <row r="98" customFormat="false" ht="15.75" hidden="false" customHeight="true" outlineLevel="0" collapsed="false">
      <c r="A98" s="135"/>
      <c r="B98" s="138"/>
      <c r="C98" s="138"/>
      <c r="D98" s="138"/>
      <c r="E98" s="139"/>
      <c r="F98" s="138"/>
      <c r="G98" s="138"/>
      <c r="H98" s="138"/>
      <c r="I98" s="138"/>
      <c r="J98" s="138"/>
      <c r="K98" s="138"/>
      <c r="L98" s="138"/>
      <c r="M98" s="138"/>
      <c r="N98" s="138"/>
    </row>
    <row r="99" customFormat="false" ht="15.75" hidden="false" customHeight="true" outlineLevel="0" collapsed="false">
      <c r="A99" s="135"/>
      <c r="B99" s="138"/>
      <c r="C99" s="138"/>
      <c r="D99" s="138"/>
      <c r="E99" s="139"/>
      <c r="F99" s="138"/>
      <c r="G99" s="138"/>
      <c r="H99" s="138"/>
      <c r="I99" s="138"/>
      <c r="J99" s="138"/>
      <c r="K99" s="138"/>
      <c r="L99" s="138"/>
      <c r="M99" s="138"/>
      <c r="N99" s="138"/>
    </row>
    <row r="100" customFormat="false" ht="15.75" hidden="false" customHeight="true" outlineLevel="0" collapsed="false">
      <c r="A100" s="135"/>
      <c r="B100" s="138"/>
      <c r="C100" s="138"/>
      <c r="D100" s="138"/>
      <c r="E100" s="139"/>
      <c r="F100" s="138"/>
      <c r="G100" s="138"/>
      <c r="H100" s="138"/>
      <c r="I100" s="138"/>
      <c r="J100" s="138"/>
      <c r="K100" s="138"/>
      <c r="L100" s="138"/>
      <c r="M100" s="138"/>
      <c r="N100" s="138"/>
    </row>
    <row r="101" customFormat="false" ht="15.75" hidden="false" customHeight="true" outlineLevel="0" collapsed="false">
      <c r="A101" s="135"/>
      <c r="B101" s="138"/>
      <c r="C101" s="138"/>
      <c r="D101" s="138"/>
      <c r="E101" s="139"/>
      <c r="F101" s="138"/>
      <c r="G101" s="138"/>
      <c r="H101" s="138"/>
      <c r="I101" s="138"/>
      <c r="J101" s="138"/>
      <c r="K101" s="138"/>
      <c r="L101" s="138"/>
      <c r="M101" s="138"/>
      <c r="N101" s="138"/>
    </row>
    <row r="102" customFormat="false" ht="15.75" hidden="false" customHeight="true" outlineLevel="0" collapsed="false">
      <c r="A102" s="135"/>
      <c r="B102" s="138"/>
      <c r="C102" s="138"/>
      <c r="D102" s="138"/>
      <c r="E102" s="139"/>
      <c r="F102" s="138"/>
      <c r="G102" s="138"/>
      <c r="H102" s="138"/>
      <c r="I102" s="138"/>
      <c r="J102" s="138"/>
      <c r="K102" s="138"/>
      <c r="L102" s="138"/>
      <c r="M102" s="138"/>
      <c r="N102" s="138"/>
    </row>
    <row r="103" customFormat="false" ht="15.75" hidden="false" customHeight="true" outlineLevel="0" collapsed="false">
      <c r="A103" s="135"/>
      <c r="B103" s="138"/>
      <c r="C103" s="138"/>
      <c r="D103" s="138"/>
      <c r="E103" s="139"/>
      <c r="F103" s="138"/>
      <c r="G103" s="138"/>
      <c r="H103" s="138"/>
      <c r="I103" s="138"/>
      <c r="J103" s="138"/>
      <c r="K103" s="138"/>
      <c r="L103" s="138"/>
      <c r="M103" s="138"/>
      <c r="N103" s="138"/>
    </row>
    <row r="104" customFormat="false" ht="15.75" hidden="false" customHeight="true" outlineLevel="0" collapsed="false">
      <c r="A104" s="135"/>
      <c r="B104" s="138"/>
      <c r="C104" s="138"/>
      <c r="D104" s="138"/>
      <c r="E104" s="139"/>
      <c r="F104" s="138"/>
      <c r="G104" s="138"/>
      <c r="H104" s="138"/>
      <c r="I104" s="138"/>
      <c r="J104" s="138"/>
      <c r="K104" s="138"/>
      <c r="L104" s="138"/>
      <c r="M104" s="138"/>
      <c r="N104" s="138"/>
    </row>
    <row r="105" customFormat="false" ht="15.75" hidden="false" customHeight="true" outlineLevel="0" collapsed="false">
      <c r="A105" s="135"/>
      <c r="B105" s="138"/>
      <c r="C105" s="138"/>
      <c r="D105" s="138"/>
      <c r="E105" s="139"/>
      <c r="F105" s="138"/>
      <c r="G105" s="138"/>
      <c r="H105" s="138"/>
      <c r="I105" s="138"/>
      <c r="J105" s="138"/>
      <c r="K105" s="138"/>
      <c r="L105" s="138"/>
      <c r="M105" s="138"/>
      <c r="N105" s="138"/>
    </row>
    <row r="106" customFormat="false" ht="15.75" hidden="false" customHeight="true" outlineLevel="0" collapsed="false">
      <c r="A106" s="135"/>
      <c r="B106" s="138"/>
      <c r="C106" s="138"/>
      <c r="D106" s="138"/>
      <c r="E106" s="139"/>
      <c r="F106" s="138"/>
      <c r="G106" s="138"/>
      <c r="H106" s="138"/>
      <c r="I106" s="138"/>
      <c r="J106" s="138"/>
      <c r="K106" s="138"/>
      <c r="L106" s="138"/>
      <c r="M106" s="138"/>
      <c r="N106" s="138"/>
    </row>
    <row r="107" customFormat="false" ht="15.75" hidden="false" customHeight="true" outlineLevel="0" collapsed="false">
      <c r="A107" s="135"/>
      <c r="B107" s="138"/>
      <c r="C107" s="138"/>
      <c r="D107" s="138"/>
      <c r="E107" s="139"/>
      <c r="F107" s="138"/>
      <c r="G107" s="138"/>
      <c r="H107" s="138"/>
      <c r="I107" s="138"/>
      <c r="J107" s="138"/>
      <c r="K107" s="138"/>
      <c r="L107" s="138"/>
      <c r="M107" s="138"/>
      <c r="N107" s="138"/>
    </row>
    <row r="108" customFormat="false" ht="15.75" hidden="false" customHeight="true" outlineLevel="0" collapsed="false">
      <c r="A108" s="135"/>
      <c r="B108" s="138"/>
      <c r="C108" s="138"/>
      <c r="D108" s="138"/>
      <c r="E108" s="139"/>
      <c r="F108" s="138"/>
      <c r="G108" s="138"/>
      <c r="H108" s="138"/>
      <c r="I108" s="138"/>
      <c r="J108" s="138"/>
      <c r="K108" s="138"/>
      <c r="L108" s="138"/>
      <c r="M108" s="138"/>
      <c r="N108" s="138"/>
    </row>
    <row r="109" customFormat="false" ht="15.75" hidden="false" customHeight="true" outlineLevel="0" collapsed="false">
      <c r="A109" s="135"/>
      <c r="B109" s="138"/>
      <c r="C109" s="138"/>
      <c r="D109" s="138"/>
      <c r="E109" s="139"/>
      <c r="F109" s="138"/>
      <c r="G109" s="138"/>
      <c r="H109" s="138"/>
      <c r="I109" s="138"/>
      <c r="J109" s="138"/>
      <c r="K109" s="138"/>
      <c r="L109" s="138"/>
      <c r="M109" s="138"/>
      <c r="N109" s="138"/>
    </row>
    <row r="110" customFormat="false" ht="15.75" hidden="false" customHeight="true" outlineLevel="0" collapsed="false">
      <c r="A110" s="135"/>
      <c r="B110" s="138"/>
      <c r="C110" s="138"/>
      <c r="D110" s="138"/>
      <c r="E110" s="139"/>
      <c r="F110" s="138"/>
      <c r="G110" s="138"/>
      <c r="H110" s="138"/>
      <c r="I110" s="138"/>
      <c r="J110" s="138"/>
      <c r="K110" s="138"/>
      <c r="L110" s="138"/>
      <c r="M110" s="138"/>
      <c r="N110" s="138"/>
    </row>
    <row r="111" customFormat="false" ht="15.75" hidden="false" customHeight="true" outlineLevel="0" collapsed="false">
      <c r="A111" s="135"/>
      <c r="B111" s="138"/>
      <c r="C111" s="138"/>
      <c r="D111" s="138"/>
      <c r="E111" s="139"/>
      <c r="F111" s="138"/>
      <c r="G111" s="138"/>
      <c r="H111" s="138"/>
      <c r="I111" s="138"/>
      <c r="J111" s="138"/>
      <c r="K111" s="138"/>
      <c r="L111" s="138"/>
      <c r="M111" s="138"/>
      <c r="N111" s="138"/>
    </row>
    <row r="112" customFormat="false" ht="15.75" hidden="false" customHeight="true" outlineLevel="0" collapsed="false">
      <c r="A112" s="135"/>
      <c r="B112" s="138"/>
      <c r="C112" s="138"/>
      <c r="D112" s="138"/>
      <c r="E112" s="139"/>
      <c r="F112" s="138"/>
      <c r="G112" s="138"/>
      <c r="H112" s="138"/>
      <c r="I112" s="138"/>
      <c r="J112" s="138"/>
      <c r="K112" s="138"/>
      <c r="L112" s="138"/>
      <c r="M112" s="138"/>
      <c r="N112" s="138"/>
    </row>
    <row r="113" customFormat="false" ht="15.75" hidden="false" customHeight="true" outlineLevel="0" collapsed="false">
      <c r="A113" s="135"/>
      <c r="B113" s="138"/>
      <c r="C113" s="138"/>
      <c r="D113" s="138"/>
      <c r="E113" s="139"/>
      <c r="F113" s="138"/>
      <c r="G113" s="138"/>
      <c r="H113" s="138"/>
      <c r="I113" s="138"/>
      <c r="J113" s="138"/>
      <c r="K113" s="138"/>
      <c r="L113" s="138"/>
      <c r="M113" s="138"/>
      <c r="N113" s="138"/>
    </row>
    <row r="114" customFormat="false" ht="15.75" hidden="false" customHeight="true" outlineLevel="0" collapsed="false">
      <c r="A114" s="135"/>
      <c r="B114" s="138"/>
      <c r="C114" s="138"/>
      <c r="D114" s="138"/>
      <c r="E114" s="139"/>
      <c r="F114" s="138"/>
      <c r="G114" s="138"/>
      <c r="H114" s="138"/>
      <c r="I114" s="138"/>
      <c r="J114" s="138"/>
      <c r="K114" s="138"/>
      <c r="L114" s="138"/>
      <c r="M114" s="138"/>
      <c r="N114" s="138"/>
    </row>
    <row r="115" customFormat="false" ht="15.75" hidden="false" customHeight="true" outlineLevel="0" collapsed="false">
      <c r="A115" s="135"/>
      <c r="B115" s="138"/>
      <c r="C115" s="138"/>
      <c r="D115" s="138"/>
      <c r="E115" s="139"/>
      <c r="F115" s="138"/>
      <c r="G115" s="138"/>
      <c r="H115" s="138"/>
      <c r="I115" s="138"/>
      <c r="J115" s="138"/>
      <c r="K115" s="138"/>
      <c r="L115" s="138"/>
      <c r="M115" s="138"/>
      <c r="N115" s="138"/>
    </row>
    <row r="116" customFormat="false" ht="15.75" hidden="false" customHeight="true" outlineLevel="0" collapsed="false">
      <c r="A116" s="135"/>
      <c r="B116" s="135"/>
      <c r="C116" s="135"/>
      <c r="D116" s="135"/>
      <c r="F116" s="135"/>
      <c r="G116" s="135"/>
      <c r="H116" s="135"/>
      <c r="I116" s="135"/>
      <c r="J116" s="135"/>
      <c r="K116" s="135"/>
      <c r="L116" s="135"/>
      <c r="M116" s="135"/>
      <c r="N116" s="135"/>
    </row>
    <row r="117" customFormat="false" ht="15.75" hidden="false" customHeight="true" outlineLevel="0" collapsed="false">
      <c r="A117" s="135"/>
      <c r="B117" s="135"/>
      <c r="C117" s="135"/>
      <c r="D117" s="135"/>
      <c r="F117" s="135"/>
      <c r="G117" s="135"/>
      <c r="H117" s="135"/>
      <c r="I117" s="135"/>
      <c r="J117" s="135"/>
      <c r="K117" s="135"/>
      <c r="L117" s="135"/>
      <c r="M117" s="135"/>
      <c r="N117" s="135"/>
    </row>
    <row r="118" customFormat="false" ht="15.75" hidden="false" customHeight="true" outlineLevel="0" collapsed="false">
      <c r="A118" s="135"/>
      <c r="B118" s="135"/>
      <c r="C118" s="135"/>
      <c r="D118" s="135"/>
      <c r="F118" s="135"/>
      <c r="G118" s="135"/>
      <c r="H118" s="135"/>
      <c r="I118" s="135"/>
      <c r="J118" s="135"/>
      <c r="K118" s="135"/>
      <c r="L118" s="135"/>
      <c r="M118" s="135"/>
      <c r="N118" s="135"/>
    </row>
    <row r="119" customFormat="false" ht="15.75" hidden="false" customHeight="true" outlineLevel="0" collapsed="false">
      <c r="A119" s="135"/>
      <c r="B119" s="135"/>
      <c r="C119" s="135"/>
      <c r="D119" s="135"/>
      <c r="F119" s="135"/>
      <c r="G119" s="135"/>
      <c r="H119" s="135"/>
      <c r="I119" s="135"/>
      <c r="J119" s="135"/>
      <c r="K119" s="135"/>
      <c r="L119" s="135"/>
      <c r="M119" s="135"/>
      <c r="N119" s="135"/>
    </row>
    <row r="120" customFormat="false" ht="15.75" hidden="false" customHeight="true" outlineLevel="0" collapsed="false">
      <c r="A120" s="135"/>
      <c r="B120" s="135"/>
      <c r="C120" s="135"/>
      <c r="D120" s="135"/>
      <c r="F120" s="135"/>
      <c r="G120" s="135"/>
      <c r="H120" s="135"/>
      <c r="I120" s="135"/>
      <c r="J120" s="135"/>
      <c r="K120" s="135"/>
      <c r="L120" s="135"/>
      <c r="M120" s="135"/>
      <c r="N120" s="135"/>
    </row>
    <row r="121" customFormat="false" ht="15.75" hidden="false" customHeight="true" outlineLevel="0" collapsed="false">
      <c r="A121" s="135"/>
      <c r="B121" s="135"/>
      <c r="C121" s="135"/>
      <c r="D121" s="135"/>
      <c r="F121" s="135"/>
      <c r="G121" s="135"/>
      <c r="H121" s="135"/>
      <c r="I121" s="135"/>
      <c r="J121" s="135"/>
      <c r="K121" s="135"/>
      <c r="L121" s="135"/>
      <c r="M121" s="135"/>
      <c r="N121" s="135"/>
    </row>
    <row r="122" customFormat="false" ht="15.75" hidden="false" customHeight="true" outlineLevel="0" collapsed="false">
      <c r="A122" s="135"/>
      <c r="B122" s="135"/>
      <c r="C122" s="135"/>
      <c r="D122" s="135"/>
      <c r="F122" s="135"/>
      <c r="G122" s="135"/>
      <c r="H122" s="135"/>
      <c r="I122" s="135"/>
      <c r="J122" s="135"/>
      <c r="K122" s="135"/>
      <c r="L122" s="135"/>
      <c r="M122" s="135"/>
      <c r="N122" s="135"/>
    </row>
    <row r="123" customFormat="false" ht="15.75" hidden="false" customHeight="true" outlineLevel="0" collapsed="false">
      <c r="A123" s="135"/>
      <c r="B123" s="135"/>
      <c r="C123" s="135"/>
      <c r="D123" s="135"/>
      <c r="F123" s="135"/>
      <c r="G123" s="135"/>
      <c r="H123" s="135"/>
      <c r="I123" s="135"/>
      <c r="J123" s="135"/>
      <c r="K123" s="135"/>
      <c r="L123" s="135"/>
      <c r="M123" s="135"/>
      <c r="N123" s="135"/>
    </row>
    <row r="124" customFormat="false" ht="15.75" hidden="false" customHeight="true" outlineLevel="0" collapsed="false">
      <c r="A124" s="135"/>
      <c r="B124" s="135"/>
      <c r="C124" s="135"/>
      <c r="D124" s="135"/>
      <c r="F124" s="135"/>
      <c r="G124" s="135"/>
      <c r="H124" s="135"/>
      <c r="I124" s="135"/>
      <c r="J124" s="135"/>
      <c r="K124" s="135"/>
      <c r="L124" s="135"/>
      <c r="M124" s="135"/>
      <c r="N124" s="135"/>
    </row>
    <row r="125" customFormat="false" ht="15.75" hidden="false" customHeight="true" outlineLevel="0" collapsed="false">
      <c r="A125" s="135"/>
      <c r="B125" s="135"/>
      <c r="C125" s="135"/>
      <c r="D125" s="135"/>
      <c r="F125" s="135"/>
      <c r="G125" s="135"/>
      <c r="H125" s="135"/>
      <c r="I125" s="135"/>
      <c r="J125" s="135"/>
      <c r="K125" s="135"/>
      <c r="L125" s="135"/>
      <c r="M125" s="135"/>
      <c r="N125" s="135"/>
    </row>
    <row r="126" customFormat="false" ht="15.75" hidden="false" customHeight="true" outlineLevel="0" collapsed="false">
      <c r="A126" s="135"/>
      <c r="B126" s="135"/>
      <c r="C126" s="135"/>
      <c r="D126" s="135"/>
      <c r="F126" s="135"/>
      <c r="G126" s="135"/>
      <c r="H126" s="135"/>
      <c r="I126" s="135"/>
      <c r="J126" s="135"/>
      <c r="K126" s="135"/>
      <c r="L126" s="135"/>
      <c r="M126" s="135"/>
      <c r="N126" s="135"/>
    </row>
    <row r="127" customFormat="false" ht="15.75" hidden="false" customHeight="true" outlineLevel="0" collapsed="false">
      <c r="A127" s="135"/>
      <c r="B127" s="135"/>
      <c r="C127" s="135"/>
      <c r="D127" s="135"/>
      <c r="F127" s="135"/>
      <c r="G127" s="135"/>
      <c r="H127" s="135"/>
      <c r="I127" s="135"/>
      <c r="J127" s="135"/>
      <c r="K127" s="135"/>
      <c r="L127" s="135"/>
      <c r="M127" s="135"/>
      <c r="N127" s="135"/>
    </row>
    <row r="128" customFormat="false" ht="15.75" hidden="false" customHeight="true" outlineLevel="0" collapsed="false">
      <c r="A128" s="135"/>
      <c r="B128" s="135"/>
      <c r="C128" s="135"/>
      <c r="D128" s="135"/>
      <c r="F128" s="135"/>
      <c r="G128" s="135"/>
      <c r="H128" s="135"/>
      <c r="I128" s="135"/>
      <c r="J128" s="135"/>
      <c r="K128" s="135"/>
      <c r="L128" s="135"/>
      <c r="M128" s="135"/>
      <c r="N128" s="135"/>
    </row>
    <row r="129" customFormat="false" ht="15.75" hidden="false" customHeight="true" outlineLevel="0" collapsed="false">
      <c r="A129" s="135"/>
      <c r="B129" s="135"/>
      <c r="C129" s="135"/>
      <c r="D129" s="135"/>
      <c r="F129" s="135"/>
      <c r="G129" s="135"/>
      <c r="H129" s="135"/>
      <c r="I129" s="135"/>
      <c r="J129" s="135"/>
      <c r="K129" s="135"/>
      <c r="L129" s="135"/>
      <c r="M129" s="135"/>
      <c r="N129" s="135"/>
    </row>
    <row r="130" customFormat="false" ht="15.75" hidden="false" customHeight="true" outlineLevel="0" collapsed="false">
      <c r="A130" s="135"/>
      <c r="B130" s="135"/>
      <c r="C130" s="135"/>
      <c r="D130" s="135"/>
      <c r="F130" s="135"/>
      <c r="G130" s="135"/>
      <c r="H130" s="135"/>
      <c r="I130" s="135"/>
      <c r="J130" s="135"/>
      <c r="K130" s="135"/>
      <c r="L130" s="135"/>
      <c r="M130" s="135"/>
      <c r="N130" s="135"/>
    </row>
    <row r="131" customFormat="false" ht="15.75" hidden="false" customHeight="true" outlineLevel="0" collapsed="false">
      <c r="A131" s="135"/>
      <c r="B131" s="135"/>
      <c r="C131" s="135"/>
      <c r="D131" s="135"/>
      <c r="F131" s="135"/>
      <c r="G131" s="135"/>
      <c r="H131" s="135"/>
      <c r="I131" s="135"/>
      <c r="J131" s="135"/>
      <c r="K131" s="135"/>
      <c r="L131" s="135"/>
      <c r="M131" s="135"/>
      <c r="N131" s="135"/>
    </row>
    <row r="132" customFormat="false" ht="15.75" hidden="false" customHeight="true" outlineLevel="0" collapsed="false">
      <c r="A132" s="135"/>
      <c r="B132" s="135"/>
      <c r="C132" s="135"/>
      <c r="D132" s="135"/>
      <c r="F132" s="135"/>
      <c r="G132" s="135"/>
      <c r="H132" s="135"/>
      <c r="I132" s="135"/>
      <c r="J132" s="135"/>
      <c r="K132" s="135"/>
      <c r="L132" s="135"/>
      <c r="M132" s="135"/>
      <c r="N132" s="135"/>
    </row>
    <row r="133" customFormat="false" ht="15.75" hidden="false" customHeight="true" outlineLevel="0" collapsed="false">
      <c r="A133" s="135"/>
      <c r="B133" s="135"/>
      <c r="C133" s="135"/>
      <c r="D133" s="135"/>
      <c r="F133" s="135"/>
      <c r="G133" s="135"/>
      <c r="H133" s="135"/>
      <c r="I133" s="135"/>
      <c r="J133" s="135"/>
      <c r="K133" s="135"/>
      <c r="L133" s="135"/>
      <c r="M133" s="135"/>
      <c r="N133" s="135"/>
    </row>
    <row r="134" customFormat="false" ht="15.75" hidden="false" customHeight="true" outlineLevel="0" collapsed="false">
      <c r="A134" s="135"/>
      <c r="B134" s="135"/>
      <c r="C134" s="135"/>
      <c r="D134" s="135"/>
      <c r="F134" s="135"/>
      <c r="G134" s="135"/>
      <c r="H134" s="135"/>
      <c r="I134" s="135"/>
      <c r="J134" s="135"/>
      <c r="K134" s="135"/>
      <c r="L134" s="135"/>
      <c r="M134" s="135"/>
      <c r="N134" s="135"/>
    </row>
    <row r="135" customFormat="false" ht="15.75" hidden="false" customHeight="true" outlineLevel="0" collapsed="false">
      <c r="A135" s="135"/>
      <c r="B135" s="135"/>
      <c r="C135" s="135"/>
      <c r="D135" s="135"/>
      <c r="F135" s="135"/>
      <c r="G135" s="135"/>
      <c r="H135" s="135"/>
      <c r="I135" s="135"/>
      <c r="J135" s="135"/>
      <c r="K135" s="135"/>
      <c r="L135" s="135"/>
      <c r="M135" s="135"/>
      <c r="N135" s="135"/>
    </row>
    <row r="136" customFormat="false" ht="15.75" hidden="false" customHeight="true" outlineLevel="0" collapsed="false">
      <c r="A136" s="135"/>
      <c r="B136" s="135"/>
      <c r="C136" s="135"/>
      <c r="D136" s="135"/>
      <c r="F136" s="135"/>
      <c r="G136" s="135"/>
      <c r="H136" s="135"/>
      <c r="I136" s="135"/>
      <c r="J136" s="135"/>
      <c r="K136" s="135"/>
      <c r="L136" s="135"/>
      <c r="M136" s="135"/>
      <c r="N136" s="135"/>
    </row>
    <row r="137" customFormat="false" ht="15.75" hidden="false" customHeight="true" outlineLevel="0" collapsed="false">
      <c r="A137" s="135"/>
      <c r="B137" s="135"/>
      <c r="C137" s="135"/>
      <c r="D137" s="135"/>
      <c r="F137" s="135"/>
      <c r="G137" s="135"/>
      <c r="H137" s="135"/>
      <c r="I137" s="135"/>
      <c r="J137" s="135"/>
      <c r="K137" s="135"/>
      <c r="L137" s="135"/>
      <c r="M137" s="135"/>
      <c r="N137" s="135"/>
    </row>
    <row r="138" customFormat="false" ht="15.75" hidden="false" customHeight="true" outlineLevel="0" collapsed="false">
      <c r="A138" s="135"/>
      <c r="B138" s="135"/>
      <c r="C138" s="135"/>
      <c r="D138" s="135"/>
      <c r="F138" s="135"/>
      <c r="G138" s="135"/>
      <c r="H138" s="135"/>
      <c r="I138" s="135"/>
      <c r="J138" s="135"/>
      <c r="K138" s="135"/>
      <c r="L138" s="135"/>
      <c r="M138" s="135"/>
      <c r="N138" s="135"/>
    </row>
    <row r="139" customFormat="false" ht="15.75" hidden="false" customHeight="true" outlineLevel="0" collapsed="false">
      <c r="A139" s="135"/>
      <c r="B139" s="135"/>
      <c r="C139" s="135"/>
      <c r="D139" s="135"/>
      <c r="F139" s="135"/>
      <c r="G139" s="135"/>
      <c r="H139" s="135"/>
      <c r="I139" s="135"/>
      <c r="J139" s="135"/>
      <c r="K139" s="135"/>
      <c r="L139" s="135"/>
      <c r="M139" s="135"/>
      <c r="N139" s="135"/>
    </row>
    <row r="140" customFormat="false" ht="15.75" hidden="false" customHeight="true" outlineLevel="0" collapsed="false">
      <c r="A140" s="135"/>
      <c r="B140" s="135"/>
      <c r="C140" s="135"/>
      <c r="D140" s="135"/>
      <c r="F140" s="135"/>
      <c r="G140" s="135"/>
      <c r="H140" s="135"/>
      <c r="I140" s="135"/>
      <c r="J140" s="135"/>
      <c r="K140" s="135"/>
      <c r="L140" s="135"/>
      <c r="M140" s="135"/>
      <c r="N140" s="135"/>
    </row>
    <row r="141" customFormat="false" ht="15.75" hidden="false" customHeight="true" outlineLevel="0" collapsed="false">
      <c r="A141" s="135"/>
      <c r="B141" s="135"/>
      <c r="C141" s="135"/>
      <c r="D141" s="135"/>
      <c r="F141" s="135"/>
      <c r="G141" s="135"/>
      <c r="H141" s="135"/>
      <c r="I141" s="135"/>
      <c r="J141" s="135"/>
      <c r="K141" s="135"/>
      <c r="L141" s="135"/>
      <c r="M141" s="135"/>
      <c r="N141" s="135"/>
    </row>
    <row r="142" customFormat="false" ht="15.75" hidden="false" customHeight="true" outlineLevel="0" collapsed="false">
      <c r="A142" s="135"/>
      <c r="B142" s="135"/>
      <c r="C142" s="135"/>
      <c r="D142" s="135"/>
      <c r="F142" s="135"/>
      <c r="G142" s="135"/>
      <c r="H142" s="135"/>
      <c r="I142" s="135"/>
      <c r="J142" s="135"/>
      <c r="K142" s="135"/>
      <c r="L142" s="135"/>
      <c r="M142" s="135"/>
      <c r="N142" s="135"/>
    </row>
    <row r="143" customFormat="false" ht="15.75" hidden="false" customHeight="true" outlineLevel="0" collapsed="false">
      <c r="A143" s="135"/>
      <c r="B143" s="135"/>
      <c r="C143" s="135"/>
      <c r="D143" s="135"/>
      <c r="F143" s="135"/>
      <c r="G143" s="135"/>
      <c r="H143" s="135"/>
      <c r="I143" s="135"/>
      <c r="J143" s="135"/>
      <c r="K143" s="135"/>
      <c r="L143" s="135"/>
      <c r="M143" s="135"/>
      <c r="N143" s="135"/>
    </row>
    <row r="144" customFormat="false" ht="15.75" hidden="false" customHeight="true" outlineLevel="0" collapsed="false">
      <c r="A144" s="135"/>
      <c r="B144" s="135"/>
      <c r="C144" s="135"/>
      <c r="D144" s="135"/>
      <c r="F144" s="135"/>
      <c r="G144" s="135"/>
      <c r="H144" s="135"/>
      <c r="I144" s="135"/>
      <c r="J144" s="135"/>
      <c r="K144" s="135"/>
      <c r="L144" s="135"/>
      <c r="M144" s="135"/>
      <c r="N144" s="135"/>
    </row>
    <row r="145" customFormat="false" ht="15.75" hidden="false" customHeight="true" outlineLevel="0" collapsed="false">
      <c r="A145" s="135"/>
      <c r="B145" s="135"/>
      <c r="C145" s="135"/>
      <c r="D145" s="135"/>
      <c r="F145" s="135"/>
      <c r="G145" s="135"/>
      <c r="H145" s="135"/>
      <c r="I145" s="135"/>
      <c r="J145" s="135"/>
      <c r="K145" s="135"/>
      <c r="L145" s="135"/>
      <c r="M145" s="135"/>
      <c r="N145" s="135"/>
    </row>
    <row r="146" customFormat="false" ht="15.75" hidden="false" customHeight="true" outlineLevel="0" collapsed="false">
      <c r="A146" s="135"/>
      <c r="B146" s="135"/>
      <c r="C146" s="135"/>
      <c r="D146" s="135"/>
      <c r="F146" s="135"/>
      <c r="G146" s="135"/>
      <c r="H146" s="135"/>
      <c r="I146" s="135"/>
      <c r="J146" s="135"/>
      <c r="K146" s="135"/>
      <c r="L146" s="135"/>
      <c r="M146" s="135"/>
      <c r="N146" s="135"/>
    </row>
    <row r="147" customFormat="false" ht="15.75" hidden="false" customHeight="true" outlineLevel="0" collapsed="false">
      <c r="A147" s="135"/>
      <c r="B147" s="135"/>
      <c r="C147" s="135"/>
      <c r="D147" s="135"/>
      <c r="F147" s="135"/>
      <c r="G147" s="135"/>
      <c r="H147" s="135"/>
      <c r="I147" s="135"/>
      <c r="J147" s="135"/>
      <c r="K147" s="135"/>
      <c r="L147" s="135"/>
      <c r="M147" s="135"/>
      <c r="N147" s="135"/>
    </row>
    <row r="148" customFormat="false" ht="15.75" hidden="false" customHeight="true" outlineLevel="0" collapsed="false">
      <c r="A148" s="135"/>
      <c r="B148" s="135"/>
      <c r="C148" s="135"/>
      <c r="D148" s="135"/>
      <c r="F148" s="135"/>
      <c r="G148" s="135"/>
      <c r="H148" s="135"/>
      <c r="I148" s="135"/>
      <c r="J148" s="135"/>
      <c r="K148" s="135"/>
      <c r="L148" s="135"/>
      <c r="M148" s="135"/>
      <c r="N148" s="135"/>
    </row>
    <row r="149" customFormat="false" ht="15.75" hidden="false" customHeight="true" outlineLevel="0" collapsed="false">
      <c r="A149" s="135"/>
      <c r="B149" s="135"/>
      <c r="C149" s="135"/>
      <c r="D149" s="135"/>
      <c r="F149" s="135"/>
      <c r="G149" s="135"/>
      <c r="H149" s="135"/>
      <c r="I149" s="135"/>
      <c r="J149" s="135"/>
      <c r="K149" s="135"/>
      <c r="L149" s="135"/>
      <c r="M149" s="135"/>
      <c r="N149" s="135"/>
    </row>
    <row r="150" customFormat="false" ht="15.75" hidden="false" customHeight="true" outlineLevel="0" collapsed="false">
      <c r="A150" s="135"/>
      <c r="B150" s="135"/>
      <c r="C150" s="135"/>
      <c r="D150" s="135"/>
      <c r="F150" s="135"/>
      <c r="G150" s="135"/>
      <c r="H150" s="135"/>
      <c r="I150" s="135"/>
      <c r="J150" s="135"/>
      <c r="K150" s="135"/>
      <c r="L150" s="135"/>
      <c r="M150" s="135"/>
      <c r="N150" s="135"/>
    </row>
    <row r="151" customFormat="false" ht="15.75" hidden="false" customHeight="true" outlineLevel="0" collapsed="false">
      <c r="A151" s="135"/>
      <c r="B151" s="135"/>
      <c r="C151" s="135"/>
      <c r="D151" s="135"/>
      <c r="F151" s="135"/>
      <c r="G151" s="135"/>
      <c r="H151" s="135"/>
      <c r="I151" s="135"/>
      <c r="J151" s="135"/>
      <c r="K151" s="135"/>
      <c r="L151" s="135"/>
      <c r="M151" s="135"/>
      <c r="N151" s="135"/>
    </row>
    <row r="152" customFormat="false" ht="15.75" hidden="false" customHeight="true" outlineLevel="0" collapsed="false">
      <c r="A152" s="135"/>
      <c r="B152" s="135"/>
      <c r="C152" s="135"/>
      <c r="D152" s="135"/>
      <c r="F152" s="135"/>
      <c r="G152" s="135"/>
      <c r="H152" s="135"/>
      <c r="I152" s="135"/>
      <c r="J152" s="135"/>
      <c r="K152" s="135"/>
      <c r="L152" s="135"/>
      <c r="M152" s="135"/>
      <c r="N152" s="135"/>
    </row>
    <row r="153" customFormat="false" ht="15.75" hidden="false" customHeight="true" outlineLevel="0" collapsed="false">
      <c r="A153" s="135"/>
      <c r="B153" s="135"/>
      <c r="C153" s="135"/>
      <c r="D153" s="135"/>
      <c r="F153" s="135"/>
      <c r="G153" s="135"/>
      <c r="H153" s="135"/>
      <c r="I153" s="135"/>
      <c r="J153" s="135"/>
      <c r="K153" s="135"/>
      <c r="L153" s="135"/>
      <c r="M153" s="135"/>
      <c r="N153" s="135"/>
    </row>
    <row r="154" customFormat="false" ht="15.75" hidden="false" customHeight="true" outlineLevel="0" collapsed="false">
      <c r="A154" s="135"/>
      <c r="B154" s="135"/>
      <c r="C154" s="135"/>
      <c r="D154" s="135"/>
      <c r="F154" s="135"/>
      <c r="G154" s="135"/>
      <c r="H154" s="135"/>
      <c r="I154" s="135"/>
      <c r="J154" s="135"/>
      <c r="K154" s="135"/>
      <c r="L154" s="135"/>
      <c r="M154" s="135"/>
      <c r="N154" s="135"/>
    </row>
    <row r="155" customFormat="false" ht="15.75" hidden="false" customHeight="true" outlineLevel="0" collapsed="false">
      <c r="A155" s="135"/>
      <c r="B155" s="135"/>
      <c r="C155" s="135"/>
      <c r="D155" s="135"/>
      <c r="F155" s="135"/>
      <c r="G155" s="135"/>
      <c r="H155" s="135"/>
      <c r="I155" s="135"/>
      <c r="J155" s="135"/>
      <c r="K155" s="135"/>
      <c r="L155" s="135"/>
      <c r="M155" s="135"/>
      <c r="N155" s="135"/>
    </row>
    <row r="156" customFormat="false" ht="15.75" hidden="false" customHeight="true" outlineLevel="0" collapsed="false">
      <c r="A156" s="135"/>
      <c r="B156" s="135"/>
      <c r="C156" s="135"/>
      <c r="D156" s="135"/>
      <c r="F156" s="135"/>
      <c r="G156" s="135"/>
      <c r="H156" s="135"/>
      <c r="I156" s="135"/>
      <c r="J156" s="135"/>
      <c r="K156" s="135"/>
      <c r="L156" s="135"/>
      <c r="M156" s="135"/>
      <c r="N156" s="135"/>
    </row>
    <row r="157" customFormat="false" ht="15.75" hidden="false" customHeight="true" outlineLevel="0" collapsed="false">
      <c r="A157" s="135"/>
      <c r="B157" s="135"/>
      <c r="C157" s="135"/>
      <c r="D157" s="135"/>
      <c r="F157" s="135"/>
      <c r="G157" s="135"/>
      <c r="H157" s="135"/>
      <c r="I157" s="135"/>
      <c r="J157" s="135"/>
      <c r="K157" s="135"/>
      <c r="L157" s="135"/>
      <c r="M157" s="135"/>
      <c r="N157" s="135"/>
    </row>
    <row r="158" customFormat="false" ht="15.75" hidden="false" customHeight="true" outlineLevel="0" collapsed="false">
      <c r="A158" s="135"/>
      <c r="B158" s="135"/>
      <c r="C158" s="135"/>
      <c r="D158" s="135"/>
      <c r="F158" s="135"/>
      <c r="G158" s="135"/>
      <c r="H158" s="135"/>
      <c r="I158" s="135"/>
      <c r="J158" s="135"/>
      <c r="K158" s="135"/>
      <c r="L158" s="135"/>
      <c r="M158" s="135"/>
      <c r="N158" s="135"/>
    </row>
    <row r="159" customFormat="false" ht="15.75" hidden="false" customHeight="true" outlineLevel="0" collapsed="false">
      <c r="A159" s="135"/>
      <c r="B159" s="135"/>
      <c r="C159" s="135"/>
      <c r="D159" s="135"/>
      <c r="F159" s="135"/>
      <c r="G159" s="135"/>
      <c r="H159" s="135"/>
      <c r="I159" s="135"/>
      <c r="J159" s="135"/>
      <c r="K159" s="135"/>
      <c r="L159" s="135"/>
      <c r="M159" s="135"/>
      <c r="N159" s="135"/>
    </row>
    <row r="160" customFormat="false" ht="15.75" hidden="false" customHeight="true" outlineLevel="0" collapsed="false">
      <c r="A160" s="135"/>
      <c r="B160" s="135"/>
      <c r="C160" s="135"/>
      <c r="D160" s="135"/>
      <c r="F160" s="135"/>
      <c r="G160" s="135"/>
      <c r="H160" s="135"/>
      <c r="I160" s="135"/>
      <c r="J160" s="135"/>
      <c r="K160" s="135"/>
      <c r="L160" s="135"/>
      <c r="M160" s="135"/>
      <c r="N160" s="135"/>
    </row>
    <row r="161" customFormat="false" ht="15.75" hidden="false" customHeight="true" outlineLevel="0" collapsed="false">
      <c r="A161" s="135"/>
      <c r="B161" s="135"/>
      <c r="C161" s="135"/>
      <c r="D161" s="135"/>
      <c r="F161" s="135"/>
      <c r="G161" s="135"/>
      <c r="H161" s="135"/>
      <c r="I161" s="135"/>
      <c r="J161" s="135"/>
      <c r="K161" s="135"/>
      <c r="L161" s="135"/>
      <c r="M161" s="135"/>
      <c r="N161" s="135"/>
    </row>
    <row r="162" customFormat="false" ht="15.75" hidden="false" customHeight="true" outlineLevel="0" collapsed="false">
      <c r="A162" s="135"/>
      <c r="B162" s="135"/>
      <c r="C162" s="135"/>
      <c r="D162" s="135"/>
      <c r="F162" s="135"/>
      <c r="G162" s="135"/>
      <c r="H162" s="135"/>
      <c r="I162" s="135"/>
      <c r="J162" s="135"/>
      <c r="K162" s="135"/>
      <c r="L162" s="135"/>
      <c r="M162" s="135"/>
      <c r="N162" s="135"/>
    </row>
    <row r="163" customFormat="false" ht="15.75" hidden="false" customHeight="true" outlineLevel="0" collapsed="false">
      <c r="A163" s="135"/>
      <c r="B163" s="135"/>
      <c r="C163" s="135"/>
      <c r="D163" s="135"/>
      <c r="F163" s="135"/>
      <c r="G163" s="135"/>
      <c r="H163" s="135"/>
      <c r="I163" s="135"/>
      <c r="J163" s="135"/>
      <c r="K163" s="135"/>
      <c r="L163" s="135"/>
      <c r="M163" s="135"/>
      <c r="N163" s="135"/>
    </row>
    <row r="164" customFormat="false" ht="15.75" hidden="false" customHeight="true" outlineLevel="0" collapsed="false">
      <c r="A164" s="135"/>
      <c r="B164" s="135"/>
      <c r="C164" s="135"/>
      <c r="D164" s="135"/>
      <c r="F164" s="135"/>
      <c r="G164" s="135"/>
      <c r="H164" s="135"/>
      <c r="I164" s="135"/>
      <c r="J164" s="135"/>
      <c r="K164" s="135"/>
      <c r="L164" s="135"/>
      <c r="M164" s="135"/>
      <c r="N164" s="135"/>
    </row>
    <row r="165" customFormat="false" ht="15.75" hidden="false" customHeight="true" outlineLevel="0" collapsed="false">
      <c r="A165" s="135"/>
      <c r="B165" s="135"/>
      <c r="C165" s="135"/>
      <c r="D165" s="135"/>
      <c r="F165" s="135"/>
      <c r="G165" s="135"/>
      <c r="H165" s="135"/>
      <c r="I165" s="135"/>
      <c r="J165" s="135"/>
      <c r="K165" s="135"/>
      <c r="L165" s="135"/>
      <c r="M165" s="135"/>
      <c r="N165" s="135"/>
    </row>
    <row r="166" customFormat="false" ht="15.75" hidden="false" customHeight="true" outlineLevel="0" collapsed="false">
      <c r="A166" s="135"/>
      <c r="B166" s="135"/>
      <c r="C166" s="135"/>
      <c r="D166" s="135"/>
      <c r="F166" s="135"/>
      <c r="G166" s="135"/>
      <c r="H166" s="135"/>
      <c r="I166" s="135"/>
      <c r="J166" s="135"/>
      <c r="K166" s="135"/>
      <c r="L166" s="135"/>
      <c r="M166" s="135"/>
      <c r="N166" s="135"/>
    </row>
    <row r="167" customFormat="false" ht="15.75" hidden="false" customHeight="true" outlineLevel="0" collapsed="false">
      <c r="A167" s="135"/>
      <c r="B167" s="135"/>
      <c r="C167" s="135"/>
      <c r="D167" s="135"/>
      <c r="F167" s="135"/>
      <c r="G167" s="135"/>
      <c r="H167" s="135"/>
      <c r="I167" s="135"/>
      <c r="J167" s="135"/>
      <c r="K167" s="135"/>
      <c r="L167" s="135"/>
      <c r="M167" s="135"/>
      <c r="N167" s="135"/>
    </row>
    <row r="168" customFormat="false" ht="15.75" hidden="false" customHeight="true" outlineLevel="0" collapsed="false">
      <c r="A168" s="135"/>
      <c r="B168" s="135"/>
      <c r="C168" s="135"/>
      <c r="D168" s="135"/>
      <c r="F168" s="135"/>
      <c r="G168" s="135"/>
      <c r="H168" s="135"/>
      <c r="I168" s="135"/>
      <c r="J168" s="135"/>
      <c r="K168" s="135"/>
      <c r="L168" s="135"/>
      <c r="M168" s="135"/>
      <c r="N168" s="135"/>
    </row>
    <row r="169" customFormat="false" ht="15.75" hidden="false" customHeight="true" outlineLevel="0" collapsed="false">
      <c r="A169" s="135"/>
      <c r="B169" s="135"/>
      <c r="C169" s="135"/>
      <c r="D169" s="135"/>
      <c r="F169" s="135"/>
      <c r="G169" s="135"/>
      <c r="H169" s="135"/>
      <c r="I169" s="135"/>
      <c r="J169" s="135"/>
      <c r="K169" s="135"/>
      <c r="L169" s="135"/>
      <c r="M169" s="135"/>
      <c r="N169" s="135"/>
    </row>
    <row r="170" customFormat="false" ht="15.75" hidden="false" customHeight="true" outlineLevel="0" collapsed="false">
      <c r="A170" s="135"/>
      <c r="B170" s="135"/>
      <c r="C170" s="135"/>
      <c r="D170" s="135"/>
      <c r="F170" s="135"/>
      <c r="G170" s="135"/>
      <c r="H170" s="135"/>
      <c r="I170" s="135"/>
      <c r="J170" s="135"/>
      <c r="K170" s="135"/>
      <c r="L170" s="135"/>
      <c r="M170" s="135"/>
      <c r="N170" s="135"/>
    </row>
    <row r="171" customFormat="false" ht="15.75" hidden="false" customHeight="true" outlineLevel="0" collapsed="false">
      <c r="A171" s="135"/>
      <c r="B171" s="135"/>
      <c r="C171" s="135"/>
      <c r="D171" s="135"/>
      <c r="F171" s="135"/>
      <c r="G171" s="135"/>
      <c r="H171" s="135"/>
      <c r="I171" s="135"/>
      <c r="J171" s="135"/>
      <c r="K171" s="135"/>
      <c r="L171" s="135"/>
      <c r="M171" s="135"/>
      <c r="N171" s="135"/>
    </row>
    <row r="172" customFormat="false" ht="15.75" hidden="false" customHeight="true" outlineLevel="0" collapsed="false">
      <c r="A172" s="135"/>
      <c r="B172" s="135"/>
      <c r="C172" s="135"/>
      <c r="D172" s="135"/>
      <c r="F172" s="135"/>
      <c r="G172" s="135"/>
      <c r="H172" s="135"/>
      <c r="I172" s="135"/>
      <c r="J172" s="135"/>
      <c r="K172" s="135"/>
      <c r="L172" s="135"/>
      <c r="M172" s="135"/>
      <c r="N172" s="135"/>
    </row>
    <row r="173" customFormat="false" ht="15.75" hidden="false" customHeight="true" outlineLevel="0" collapsed="false">
      <c r="A173" s="135"/>
      <c r="B173" s="135"/>
      <c r="C173" s="135"/>
      <c r="D173" s="135"/>
      <c r="F173" s="135"/>
      <c r="G173" s="135"/>
      <c r="H173" s="135"/>
      <c r="I173" s="135"/>
      <c r="J173" s="135"/>
      <c r="K173" s="135"/>
      <c r="L173" s="135"/>
      <c r="M173" s="135"/>
      <c r="N173" s="135"/>
    </row>
    <row r="174" customFormat="false" ht="15.75" hidden="false" customHeight="true" outlineLevel="0" collapsed="false">
      <c r="A174" s="135"/>
      <c r="B174" s="135"/>
      <c r="C174" s="135"/>
      <c r="D174" s="135"/>
      <c r="F174" s="135"/>
      <c r="G174" s="135"/>
      <c r="H174" s="135"/>
      <c r="I174" s="135"/>
      <c r="J174" s="135"/>
      <c r="K174" s="135"/>
      <c r="L174" s="135"/>
      <c r="M174" s="135"/>
      <c r="N174" s="135"/>
    </row>
    <row r="175" customFormat="false" ht="15.75" hidden="false" customHeight="true" outlineLevel="0" collapsed="false">
      <c r="A175" s="135"/>
      <c r="B175" s="135"/>
      <c r="C175" s="135"/>
      <c r="D175" s="135"/>
      <c r="F175" s="135"/>
      <c r="G175" s="135"/>
      <c r="H175" s="135"/>
      <c r="I175" s="135"/>
      <c r="J175" s="135"/>
      <c r="K175" s="135"/>
      <c r="L175" s="135"/>
      <c r="M175" s="135"/>
      <c r="N175" s="135"/>
    </row>
    <row r="176" customFormat="false" ht="15.75" hidden="false" customHeight="true" outlineLevel="0" collapsed="false">
      <c r="A176" s="135"/>
      <c r="B176" s="135"/>
      <c r="C176" s="135"/>
      <c r="D176" s="135"/>
      <c r="F176" s="135"/>
      <c r="G176" s="135"/>
      <c r="H176" s="135"/>
      <c r="I176" s="135"/>
      <c r="J176" s="135"/>
      <c r="K176" s="135"/>
      <c r="L176" s="135"/>
      <c r="M176" s="135"/>
      <c r="N176" s="135"/>
    </row>
    <row r="177" customFormat="false" ht="15.75" hidden="false" customHeight="true" outlineLevel="0" collapsed="false">
      <c r="A177" s="135"/>
      <c r="B177" s="135"/>
      <c r="C177" s="135"/>
      <c r="D177" s="135"/>
      <c r="F177" s="135"/>
      <c r="G177" s="135"/>
      <c r="H177" s="135"/>
      <c r="I177" s="135"/>
      <c r="J177" s="135"/>
      <c r="K177" s="135"/>
      <c r="L177" s="135"/>
      <c r="M177" s="135"/>
      <c r="N177" s="135"/>
    </row>
    <row r="178" customFormat="false" ht="15.75" hidden="false" customHeight="true" outlineLevel="0" collapsed="false">
      <c r="A178" s="135"/>
      <c r="B178" s="135"/>
      <c r="C178" s="135"/>
      <c r="D178" s="135"/>
      <c r="F178" s="135"/>
      <c r="G178" s="135"/>
      <c r="H178" s="135"/>
      <c r="I178" s="135"/>
      <c r="J178" s="135"/>
      <c r="K178" s="135"/>
      <c r="L178" s="135"/>
      <c r="M178" s="135"/>
      <c r="N178" s="135"/>
    </row>
    <row r="179" customFormat="false" ht="15.75" hidden="false" customHeight="true" outlineLevel="0" collapsed="false">
      <c r="A179" s="135"/>
      <c r="B179" s="135"/>
      <c r="C179" s="135"/>
      <c r="D179" s="135"/>
      <c r="F179" s="135"/>
      <c r="G179" s="135"/>
      <c r="H179" s="135"/>
      <c r="I179" s="135"/>
      <c r="J179" s="135"/>
      <c r="K179" s="135"/>
      <c r="L179" s="135"/>
      <c r="M179" s="135"/>
      <c r="N179" s="135"/>
    </row>
    <row r="180" customFormat="false" ht="15.75" hidden="false" customHeight="true" outlineLevel="0" collapsed="false">
      <c r="A180" s="135"/>
      <c r="B180" s="135"/>
      <c r="C180" s="135"/>
      <c r="D180" s="135"/>
      <c r="F180" s="135"/>
      <c r="G180" s="135"/>
      <c r="H180" s="135"/>
      <c r="I180" s="135"/>
      <c r="J180" s="135"/>
      <c r="K180" s="135"/>
      <c r="L180" s="135"/>
      <c r="M180" s="135"/>
      <c r="N180" s="135"/>
    </row>
    <row r="181" customFormat="false" ht="15.75" hidden="false" customHeight="true" outlineLevel="0" collapsed="false">
      <c r="A181" s="135"/>
      <c r="B181" s="135"/>
      <c r="C181" s="135"/>
      <c r="D181" s="135"/>
      <c r="F181" s="135"/>
      <c r="G181" s="135"/>
      <c r="H181" s="135"/>
      <c r="I181" s="135"/>
      <c r="J181" s="135"/>
      <c r="K181" s="135"/>
      <c r="L181" s="135"/>
      <c r="M181" s="135"/>
      <c r="N181" s="135"/>
    </row>
    <row r="182" customFormat="false" ht="15.75" hidden="false" customHeight="true" outlineLevel="0" collapsed="false">
      <c r="A182" s="135"/>
      <c r="B182" s="135"/>
      <c r="C182" s="135"/>
      <c r="D182" s="135"/>
      <c r="F182" s="135"/>
      <c r="G182" s="135"/>
      <c r="H182" s="135"/>
      <c r="I182" s="135"/>
      <c r="J182" s="135"/>
      <c r="K182" s="135"/>
      <c r="L182" s="135"/>
      <c r="M182" s="135"/>
      <c r="N182" s="135"/>
    </row>
    <row r="183" customFormat="false" ht="15.75" hidden="false" customHeight="true" outlineLevel="0" collapsed="false">
      <c r="A183" s="135"/>
      <c r="B183" s="135"/>
      <c r="C183" s="135"/>
      <c r="D183" s="135"/>
      <c r="F183" s="135"/>
      <c r="G183" s="135"/>
      <c r="H183" s="135"/>
      <c r="I183" s="135"/>
      <c r="J183" s="135"/>
      <c r="K183" s="135"/>
      <c r="L183" s="135"/>
      <c r="M183" s="135"/>
      <c r="N183" s="135"/>
    </row>
    <row r="184" customFormat="false" ht="15.75" hidden="false" customHeight="true" outlineLevel="0" collapsed="false">
      <c r="A184" s="135"/>
      <c r="B184" s="135"/>
      <c r="C184" s="135"/>
      <c r="D184" s="135"/>
      <c r="F184" s="135"/>
      <c r="G184" s="135"/>
      <c r="H184" s="135"/>
      <c r="I184" s="135"/>
      <c r="J184" s="135"/>
      <c r="K184" s="135"/>
      <c r="L184" s="135"/>
      <c r="M184" s="135"/>
      <c r="N184" s="135"/>
    </row>
    <row r="185" customFormat="false" ht="15.75" hidden="false" customHeight="true" outlineLevel="0" collapsed="false">
      <c r="A185" s="135"/>
      <c r="B185" s="135"/>
      <c r="C185" s="135"/>
      <c r="D185" s="135"/>
      <c r="F185" s="135"/>
      <c r="G185" s="135"/>
      <c r="H185" s="135"/>
      <c r="I185" s="135"/>
      <c r="J185" s="135"/>
      <c r="K185" s="135"/>
      <c r="L185" s="135"/>
      <c r="M185" s="135"/>
      <c r="N185" s="135"/>
    </row>
    <row r="186" customFormat="false" ht="15.75" hidden="false" customHeight="true" outlineLevel="0" collapsed="false">
      <c r="A186" s="135"/>
      <c r="B186" s="135"/>
      <c r="C186" s="135"/>
      <c r="D186" s="135"/>
      <c r="F186" s="135"/>
      <c r="G186" s="135"/>
      <c r="H186" s="135"/>
      <c r="I186" s="135"/>
      <c r="J186" s="135"/>
      <c r="K186" s="135"/>
      <c r="L186" s="135"/>
      <c r="M186" s="135"/>
      <c r="N186" s="135"/>
    </row>
    <row r="187" customFormat="false" ht="15.75" hidden="false" customHeight="true" outlineLevel="0" collapsed="false">
      <c r="A187" s="135"/>
      <c r="B187" s="135"/>
      <c r="C187" s="135"/>
      <c r="D187" s="135"/>
      <c r="F187" s="135"/>
      <c r="G187" s="135"/>
      <c r="H187" s="135"/>
      <c r="I187" s="135"/>
      <c r="J187" s="135"/>
      <c r="K187" s="135"/>
      <c r="L187" s="135"/>
      <c r="M187" s="135"/>
      <c r="N187" s="135"/>
    </row>
    <row r="188" customFormat="false" ht="15.75" hidden="false" customHeight="true" outlineLevel="0" collapsed="false">
      <c r="A188" s="135"/>
      <c r="B188" s="135"/>
      <c r="C188" s="135"/>
      <c r="D188" s="135"/>
      <c r="F188" s="135"/>
      <c r="G188" s="135"/>
      <c r="H188" s="135"/>
      <c r="I188" s="135"/>
      <c r="J188" s="135"/>
      <c r="K188" s="135"/>
      <c r="L188" s="135"/>
      <c r="M188" s="135"/>
      <c r="N188" s="135"/>
    </row>
    <row r="189" customFormat="false" ht="15.75" hidden="false" customHeight="true" outlineLevel="0" collapsed="false">
      <c r="A189" s="135"/>
      <c r="B189" s="135"/>
      <c r="C189" s="135"/>
      <c r="D189" s="135"/>
      <c r="F189" s="135"/>
      <c r="G189" s="135"/>
      <c r="H189" s="135"/>
      <c r="I189" s="135"/>
      <c r="J189" s="135"/>
      <c r="K189" s="135"/>
      <c r="L189" s="135"/>
      <c r="M189" s="135"/>
      <c r="N189" s="135"/>
    </row>
    <row r="190" customFormat="false" ht="15.75" hidden="false" customHeight="true" outlineLevel="0" collapsed="false">
      <c r="A190" s="135"/>
      <c r="B190" s="135"/>
      <c r="C190" s="135"/>
      <c r="D190" s="135"/>
      <c r="F190" s="135"/>
      <c r="G190" s="135"/>
      <c r="H190" s="135"/>
      <c r="I190" s="135"/>
      <c r="J190" s="135"/>
      <c r="K190" s="135"/>
      <c r="L190" s="135"/>
      <c r="M190" s="135"/>
      <c r="N190" s="135"/>
    </row>
    <row r="191" customFormat="false" ht="15.75" hidden="false" customHeight="true" outlineLevel="0" collapsed="false">
      <c r="A191" s="135"/>
      <c r="B191" s="135"/>
      <c r="C191" s="135"/>
      <c r="D191" s="135"/>
      <c r="F191" s="135"/>
      <c r="G191" s="135"/>
      <c r="H191" s="135"/>
      <c r="I191" s="135"/>
      <c r="J191" s="135"/>
      <c r="K191" s="135"/>
      <c r="L191" s="135"/>
      <c r="M191" s="135"/>
      <c r="N191" s="135"/>
    </row>
    <row r="192" customFormat="false" ht="15.75" hidden="false" customHeight="true" outlineLevel="0" collapsed="false">
      <c r="A192" s="135"/>
      <c r="B192" s="135"/>
      <c r="C192" s="135"/>
      <c r="D192" s="135"/>
      <c r="F192" s="135"/>
      <c r="G192" s="135"/>
      <c r="H192" s="135"/>
      <c r="I192" s="135"/>
      <c r="J192" s="135"/>
      <c r="K192" s="135"/>
      <c r="L192" s="135"/>
      <c r="M192" s="135"/>
      <c r="N192" s="135"/>
    </row>
    <row r="193" customFormat="false" ht="15.75" hidden="false" customHeight="true" outlineLevel="0" collapsed="false">
      <c r="A193" s="135"/>
      <c r="B193" s="135"/>
      <c r="C193" s="135"/>
      <c r="D193" s="135"/>
      <c r="F193" s="135"/>
      <c r="G193" s="135"/>
      <c r="H193" s="135"/>
      <c r="I193" s="135"/>
      <c r="J193" s="135"/>
      <c r="K193" s="135"/>
      <c r="L193" s="135"/>
      <c r="M193" s="135"/>
      <c r="N193" s="135"/>
    </row>
    <row r="194" customFormat="false" ht="15.75" hidden="false" customHeight="true" outlineLevel="0" collapsed="false">
      <c r="A194" s="135"/>
      <c r="B194" s="135"/>
      <c r="C194" s="135"/>
      <c r="D194" s="135"/>
      <c r="F194" s="135"/>
      <c r="G194" s="135"/>
      <c r="H194" s="135"/>
      <c r="I194" s="135"/>
      <c r="J194" s="135"/>
      <c r="K194" s="135"/>
      <c r="L194" s="135"/>
      <c r="M194" s="135"/>
      <c r="N194" s="135"/>
    </row>
    <row r="195" customFormat="false" ht="15.75" hidden="false" customHeight="true" outlineLevel="0" collapsed="false">
      <c r="A195" s="135"/>
      <c r="B195" s="135"/>
      <c r="C195" s="135"/>
      <c r="D195" s="135"/>
      <c r="F195" s="135"/>
      <c r="G195" s="135"/>
      <c r="H195" s="135"/>
      <c r="I195" s="135"/>
      <c r="J195" s="135"/>
      <c r="K195" s="135"/>
      <c r="L195" s="135"/>
      <c r="M195" s="135"/>
      <c r="N195" s="135"/>
    </row>
    <row r="196" customFormat="false" ht="15.75" hidden="false" customHeight="true" outlineLevel="0" collapsed="false">
      <c r="A196" s="135"/>
      <c r="B196" s="135"/>
      <c r="C196" s="135"/>
      <c r="D196" s="135"/>
      <c r="F196" s="135"/>
      <c r="G196" s="135"/>
      <c r="H196" s="135"/>
      <c r="I196" s="135"/>
      <c r="J196" s="135"/>
      <c r="K196" s="135"/>
      <c r="L196" s="135"/>
      <c r="M196" s="135"/>
      <c r="N196" s="135"/>
    </row>
    <row r="197" customFormat="false" ht="15.75" hidden="false" customHeight="true" outlineLevel="0" collapsed="false">
      <c r="A197" s="135"/>
      <c r="B197" s="135"/>
      <c r="C197" s="135"/>
      <c r="D197" s="135"/>
      <c r="F197" s="135"/>
      <c r="G197" s="135"/>
      <c r="H197" s="135"/>
      <c r="I197" s="135"/>
      <c r="J197" s="135"/>
      <c r="K197" s="135"/>
      <c r="L197" s="135"/>
      <c r="M197" s="135"/>
      <c r="N197" s="135"/>
    </row>
    <row r="198" customFormat="false" ht="15.75" hidden="false" customHeight="true" outlineLevel="0" collapsed="false">
      <c r="A198" s="135"/>
      <c r="B198" s="135"/>
      <c r="C198" s="135"/>
      <c r="D198" s="135"/>
      <c r="F198" s="135"/>
      <c r="G198" s="135"/>
      <c r="H198" s="135"/>
      <c r="I198" s="135"/>
      <c r="J198" s="135"/>
      <c r="K198" s="135"/>
      <c r="L198" s="135"/>
      <c r="M198" s="135"/>
      <c r="N198" s="135"/>
    </row>
    <row r="199" customFormat="false" ht="15.75" hidden="false" customHeight="true" outlineLevel="0" collapsed="false">
      <c r="A199" s="135"/>
      <c r="B199" s="135"/>
      <c r="C199" s="135"/>
      <c r="D199" s="135"/>
      <c r="F199" s="135"/>
      <c r="G199" s="135"/>
      <c r="H199" s="135"/>
      <c r="I199" s="135"/>
      <c r="J199" s="135"/>
      <c r="K199" s="135"/>
      <c r="L199" s="135"/>
      <c r="M199" s="135"/>
      <c r="N199" s="135"/>
    </row>
    <row r="200" customFormat="false" ht="15.75" hidden="false" customHeight="true" outlineLevel="0" collapsed="false">
      <c r="A200" s="135"/>
      <c r="B200" s="135"/>
      <c r="C200" s="135"/>
      <c r="D200" s="135"/>
      <c r="F200" s="135"/>
      <c r="G200" s="135"/>
      <c r="H200" s="135"/>
      <c r="I200" s="135"/>
      <c r="J200" s="135"/>
      <c r="K200" s="135"/>
      <c r="L200" s="135"/>
      <c r="M200" s="135"/>
      <c r="N200" s="135"/>
    </row>
    <row r="201" customFormat="false" ht="15.75" hidden="false" customHeight="true" outlineLevel="0" collapsed="false">
      <c r="A201" s="135"/>
      <c r="B201" s="135"/>
      <c r="C201" s="135"/>
      <c r="D201" s="135"/>
      <c r="F201" s="135"/>
      <c r="G201" s="135"/>
      <c r="H201" s="135"/>
      <c r="I201" s="135"/>
      <c r="J201" s="135"/>
      <c r="K201" s="135"/>
      <c r="L201" s="135"/>
      <c r="M201" s="135"/>
      <c r="N201" s="135"/>
    </row>
    <row r="202" customFormat="false" ht="15.75" hidden="false" customHeight="true" outlineLevel="0" collapsed="false">
      <c r="A202" s="135"/>
      <c r="B202" s="135"/>
      <c r="C202" s="135"/>
      <c r="D202" s="135"/>
      <c r="F202" s="135"/>
      <c r="G202" s="135"/>
      <c r="H202" s="135"/>
      <c r="I202" s="135"/>
      <c r="J202" s="135"/>
      <c r="K202" s="135"/>
      <c r="L202" s="135"/>
      <c r="M202" s="135"/>
      <c r="N202" s="135"/>
    </row>
    <row r="203" customFormat="false" ht="15.75" hidden="false" customHeight="true" outlineLevel="0" collapsed="false">
      <c r="A203" s="135"/>
      <c r="B203" s="135"/>
      <c r="C203" s="135"/>
      <c r="D203" s="135"/>
      <c r="F203" s="135"/>
      <c r="G203" s="135"/>
      <c r="H203" s="135"/>
      <c r="I203" s="135"/>
      <c r="J203" s="135"/>
      <c r="K203" s="135"/>
      <c r="L203" s="135"/>
      <c r="M203" s="135"/>
      <c r="N203" s="135"/>
    </row>
    <row r="204" customFormat="false" ht="15.75" hidden="false" customHeight="true" outlineLevel="0" collapsed="false">
      <c r="A204" s="135"/>
      <c r="B204" s="135"/>
      <c r="C204" s="135"/>
      <c r="D204" s="135"/>
      <c r="F204" s="135"/>
      <c r="G204" s="135"/>
      <c r="H204" s="135"/>
      <c r="I204" s="135"/>
      <c r="J204" s="135"/>
      <c r="K204" s="135"/>
      <c r="L204" s="135"/>
      <c r="M204" s="135"/>
      <c r="N204" s="135"/>
    </row>
    <row r="205" customFormat="false" ht="15.75" hidden="false" customHeight="true" outlineLevel="0" collapsed="false">
      <c r="A205" s="135"/>
      <c r="B205" s="135"/>
      <c r="C205" s="135"/>
      <c r="D205" s="135"/>
      <c r="F205" s="135"/>
      <c r="G205" s="135"/>
      <c r="H205" s="135"/>
      <c r="I205" s="135"/>
      <c r="J205" s="135"/>
      <c r="K205" s="135"/>
      <c r="L205" s="135"/>
      <c r="M205" s="135"/>
      <c r="N205" s="135"/>
    </row>
    <row r="206" customFormat="false" ht="15.75" hidden="false" customHeight="true" outlineLevel="0" collapsed="false">
      <c r="A206" s="135"/>
      <c r="B206" s="135"/>
      <c r="C206" s="135"/>
      <c r="D206" s="135"/>
      <c r="F206" s="135"/>
      <c r="G206" s="135"/>
      <c r="H206" s="135"/>
      <c r="I206" s="135"/>
      <c r="J206" s="135"/>
      <c r="K206" s="135"/>
      <c r="L206" s="135"/>
      <c r="M206" s="135"/>
      <c r="N206" s="135"/>
    </row>
    <row r="207" customFormat="false" ht="15.75" hidden="false" customHeight="true" outlineLevel="0" collapsed="false">
      <c r="A207" s="135"/>
      <c r="B207" s="135"/>
      <c r="C207" s="135"/>
      <c r="D207" s="135"/>
      <c r="F207" s="135"/>
      <c r="G207" s="135"/>
      <c r="H207" s="135"/>
      <c r="I207" s="135"/>
      <c r="J207" s="135"/>
      <c r="K207" s="135"/>
      <c r="L207" s="135"/>
      <c r="M207" s="135"/>
      <c r="N207" s="135"/>
    </row>
    <row r="208" customFormat="false" ht="15.75" hidden="false" customHeight="true" outlineLevel="0" collapsed="false">
      <c r="A208" s="135"/>
      <c r="B208" s="135"/>
      <c r="C208" s="135"/>
      <c r="D208" s="135"/>
      <c r="F208" s="135"/>
      <c r="G208" s="135"/>
      <c r="H208" s="135"/>
      <c r="I208" s="135"/>
      <c r="J208" s="135"/>
      <c r="K208" s="135"/>
      <c r="L208" s="135"/>
      <c r="M208" s="135"/>
      <c r="N208" s="135"/>
    </row>
    <row r="209" customFormat="false" ht="15.75" hidden="false" customHeight="true" outlineLevel="0" collapsed="false">
      <c r="A209" s="135"/>
      <c r="B209" s="135"/>
      <c r="C209" s="135"/>
      <c r="D209" s="135"/>
      <c r="F209" s="135"/>
      <c r="G209" s="135"/>
      <c r="H209" s="135"/>
      <c r="I209" s="135"/>
      <c r="J209" s="135"/>
      <c r="K209" s="135"/>
      <c r="L209" s="135"/>
      <c r="M209" s="135"/>
      <c r="N209" s="135"/>
    </row>
    <row r="210" customFormat="false" ht="15.75" hidden="false" customHeight="true" outlineLevel="0" collapsed="false">
      <c r="A210" s="135"/>
      <c r="B210" s="135"/>
      <c r="C210" s="135"/>
      <c r="D210" s="135"/>
      <c r="F210" s="135"/>
      <c r="G210" s="135"/>
      <c r="H210" s="135"/>
      <c r="I210" s="135"/>
      <c r="J210" s="135"/>
      <c r="K210" s="135"/>
      <c r="L210" s="135"/>
      <c r="M210" s="135"/>
      <c r="N210" s="135"/>
    </row>
    <row r="211" customFormat="false" ht="15.75" hidden="false" customHeight="true" outlineLevel="0" collapsed="false">
      <c r="A211" s="135"/>
      <c r="B211" s="135"/>
      <c r="C211" s="135"/>
      <c r="D211" s="135"/>
      <c r="F211" s="135"/>
      <c r="G211" s="135"/>
      <c r="H211" s="135"/>
      <c r="I211" s="135"/>
      <c r="J211" s="135"/>
      <c r="K211" s="135"/>
      <c r="L211" s="135"/>
      <c r="M211" s="135"/>
      <c r="N211" s="135"/>
    </row>
    <row r="212" customFormat="false" ht="15.75" hidden="false" customHeight="true" outlineLevel="0" collapsed="false">
      <c r="A212" s="135"/>
      <c r="B212" s="135"/>
      <c r="C212" s="135"/>
      <c r="D212" s="135"/>
      <c r="F212" s="135"/>
      <c r="G212" s="135"/>
      <c r="H212" s="135"/>
      <c r="I212" s="135"/>
      <c r="J212" s="135"/>
      <c r="K212" s="135"/>
      <c r="L212" s="135"/>
      <c r="M212" s="135"/>
      <c r="N212" s="135"/>
    </row>
    <row r="213" customFormat="false" ht="15.75" hidden="false" customHeight="true" outlineLevel="0" collapsed="false">
      <c r="A213" s="135"/>
      <c r="B213" s="135"/>
      <c r="C213" s="135"/>
      <c r="D213" s="135"/>
      <c r="F213" s="135"/>
      <c r="G213" s="135"/>
      <c r="H213" s="135"/>
      <c r="I213" s="135"/>
      <c r="J213" s="135"/>
      <c r="K213" s="135"/>
      <c r="L213" s="135"/>
      <c r="M213" s="135"/>
      <c r="N213" s="135"/>
    </row>
    <row r="214" customFormat="false" ht="15.75" hidden="false" customHeight="true" outlineLevel="0" collapsed="false">
      <c r="A214" s="135"/>
      <c r="B214" s="135"/>
      <c r="C214" s="135"/>
      <c r="D214" s="135"/>
      <c r="F214" s="135"/>
      <c r="G214" s="135"/>
      <c r="H214" s="135"/>
      <c r="I214" s="135"/>
      <c r="J214" s="135"/>
      <c r="K214" s="135"/>
      <c r="L214" s="135"/>
      <c r="M214" s="135"/>
      <c r="N214" s="135"/>
    </row>
    <row r="215" customFormat="false" ht="15.75" hidden="false" customHeight="true" outlineLevel="0" collapsed="false">
      <c r="A215" s="135"/>
      <c r="B215" s="135"/>
      <c r="C215" s="135"/>
      <c r="D215" s="135"/>
      <c r="F215" s="135"/>
      <c r="G215" s="135"/>
      <c r="H215" s="135"/>
      <c r="I215" s="135"/>
      <c r="J215" s="135"/>
      <c r="K215" s="135"/>
      <c r="L215" s="135"/>
      <c r="M215" s="135"/>
      <c r="N215" s="135"/>
    </row>
    <row r="216" customFormat="false" ht="15.75" hidden="false" customHeight="true" outlineLevel="0" collapsed="false">
      <c r="A216" s="135"/>
      <c r="B216" s="135"/>
      <c r="C216" s="135"/>
      <c r="D216" s="135"/>
      <c r="F216" s="135"/>
      <c r="G216" s="135"/>
      <c r="H216" s="135"/>
      <c r="I216" s="135"/>
      <c r="J216" s="135"/>
      <c r="K216" s="135"/>
      <c r="L216" s="135"/>
      <c r="M216" s="135"/>
      <c r="N216" s="135"/>
    </row>
    <row r="217" customFormat="false" ht="15.75" hidden="false" customHeight="true" outlineLevel="0" collapsed="false">
      <c r="A217" s="135"/>
      <c r="B217" s="135"/>
      <c r="C217" s="135"/>
      <c r="D217" s="135"/>
      <c r="F217" s="135"/>
      <c r="G217" s="135"/>
      <c r="H217" s="135"/>
      <c r="I217" s="135"/>
      <c r="J217" s="135"/>
      <c r="K217" s="135"/>
      <c r="L217" s="135"/>
      <c r="M217" s="135"/>
      <c r="N217" s="135"/>
    </row>
    <row r="218" customFormat="false" ht="15.75" hidden="false" customHeight="true" outlineLevel="0" collapsed="false">
      <c r="A218" s="135"/>
      <c r="B218" s="135"/>
      <c r="C218" s="135"/>
      <c r="D218" s="135"/>
      <c r="F218" s="135"/>
      <c r="G218" s="135"/>
      <c r="H218" s="135"/>
      <c r="I218" s="135"/>
      <c r="J218" s="135"/>
      <c r="K218" s="135"/>
      <c r="L218" s="135"/>
      <c r="M218" s="135"/>
      <c r="N218" s="135"/>
    </row>
    <row r="219" customFormat="false" ht="15.75" hidden="false" customHeight="true" outlineLevel="0" collapsed="false">
      <c r="A219" s="135"/>
      <c r="B219" s="135"/>
      <c r="C219" s="135"/>
      <c r="D219" s="135"/>
      <c r="F219" s="135"/>
      <c r="G219" s="135"/>
      <c r="H219" s="135"/>
      <c r="I219" s="135"/>
      <c r="J219" s="135"/>
      <c r="K219" s="135"/>
      <c r="L219" s="135"/>
      <c r="M219" s="135"/>
      <c r="N219" s="135"/>
    </row>
    <row r="220" customFormat="false" ht="15.75" hidden="false" customHeight="true" outlineLevel="0" collapsed="false">
      <c r="A220" s="135"/>
      <c r="B220" s="135"/>
      <c r="C220" s="135"/>
      <c r="D220" s="135"/>
      <c r="F220" s="135"/>
      <c r="G220" s="135"/>
      <c r="H220" s="135"/>
      <c r="I220" s="135"/>
      <c r="J220" s="135"/>
      <c r="K220" s="135"/>
      <c r="L220" s="135"/>
      <c r="M220" s="135"/>
      <c r="N220" s="135"/>
    </row>
    <row r="221" customFormat="false" ht="15.75" hidden="false" customHeight="true" outlineLevel="0" collapsed="false">
      <c r="A221" s="135"/>
      <c r="B221" s="135"/>
      <c r="C221" s="135"/>
      <c r="D221" s="135"/>
      <c r="F221" s="135"/>
      <c r="G221" s="135"/>
      <c r="H221" s="135"/>
      <c r="I221" s="135"/>
      <c r="J221" s="135"/>
      <c r="K221" s="135"/>
      <c r="L221" s="135"/>
      <c r="M221" s="135"/>
      <c r="N221" s="135"/>
    </row>
    <row r="222" customFormat="false" ht="15.75" hidden="false" customHeight="true" outlineLevel="0" collapsed="false">
      <c r="A222" s="135"/>
      <c r="B222" s="135"/>
      <c r="C222" s="135"/>
      <c r="D222" s="135"/>
      <c r="F222" s="135"/>
      <c r="G222" s="135"/>
      <c r="H222" s="135"/>
      <c r="I222" s="135"/>
      <c r="J222" s="135"/>
      <c r="K222" s="135"/>
      <c r="L222" s="135"/>
      <c r="M222" s="135"/>
      <c r="N222" s="135"/>
    </row>
    <row r="223" customFormat="false" ht="15.75" hidden="false" customHeight="true" outlineLevel="0" collapsed="false">
      <c r="A223" s="135"/>
      <c r="B223" s="135"/>
      <c r="C223" s="135"/>
      <c r="D223" s="135"/>
      <c r="F223" s="135"/>
      <c r="G223" s="135"/>
      <c r="H223" s="135"/>
      <c r="I223" s="135"/>
      <c r="J223" s="135"/>
      <c r="K223" s="135"/>
      <c r="L223" s="135"/>
      <c r="M223" s="135"/>
      <c r="N223" s="135"/>
    </row>
    <row r="224" customFormat="false" ht="15.75" hidden="false" customHeight="true" outlineLevel="0" collapsed="false">
      <c r="A224" s="135"/>
      <c r="B224" s="135"/>
      <c r="C224" s="135"/>
      <c r="D224" s="135"/>
      <c r="F224" s="135"/>
      <c r="G224" s="135"/>
      <c r="H224" s="135"/>
      <c r="I224" s="135"/>
      <c r="J224" s="135"/>
      <c r="K224" s="135"/>
      <c r="L224" s="135"/>
      <c r="M224" s="135"/>
      <c r="N224" s="135"/>
    </row>
    <row r="225" customFormat="false" ht="15.75" hidden="false" customHeight="true" outlineLevel="0" collapsed="false">
      <c r="A225" s="135"/>
      <c r="B225" s="135"/>
      <c r="C225" s="135"/>
      <c r="D225" s="135"/>
      <c r="F225" s="135"/>
      <c r="G225" s="135"/>
      <c r="H225" s="135"/>
      <c r="I225" s="135"/>
      <c r="J225" s="135"/>
      <c r="K225" s="135"/>
      <c r="L225" s="135"/>
      <c r="M225" s="135"/>
      <c r="N225" s="135"/>
    </row>
    <row r="226" customFormat="false" ht="15.75" hidden="false" customHeight="true" outlineLevel="0" collapsed="false">
      <c r="A226" s="135"/>
      <c r="B226" s="135"/>
      <c r="C226" s="135"/>
      <c r="D226" s="135"/>
      <c r="F226" s="135"/>
      <c r="G226" s="135"/>
      <c r="H226" s="135"/>
      <c r="I226" s="135"/>
      <c r="J226" s="135"/>
      <c r="K226" s="135"/>
      <c r="L226" s="135"/>
      <c r="M226" s="135"/>
      <c r="N226" s="135"/>
    </row>
    <row r="227" customFormat="false" ht="15.75" hidden="false" customHeight="true" outlineLevel="0" collapsed="false">
      <c r="A227" s="135"/>
      <c r="B227" s="135"/>
      <c r="C227" s="135"/>
      <c r="D227" s="135"/>
      <c r="F227" s="135"/>
      <c r="G227" s="135"/>
      <c r="H227" s="135"/>
      <c r="I227" s="135"/>
      <c r="J227" s="135"/>
      <c r="K227" s="135"/>
      <c r="L227" s="135"/>
      <c r="M227" s="135"/>
      <c r="N227" s="135"/>
    </row>
    <row r="228" customFormat="false" ht="15.75" hidden="false" customHeight="true" outlineLevel="0" collapsed="false">
      <c r="A228" s="135"/>
      <c r="B228" s="135"/>
      <c r="C228" s="135"/>
      <c r="D228" s="135"/>
      <c r="F228" s="135"/>
      <c r="G228" s="135"/>
      <c r="H228" s="135"/>
      <c r="I228" s="135"/>
      <c r="J228" s="135"/>
      <c r="K228" s="135"/>
      <c r="L228" s="135"/>
      <c r="M228" s="135"/>
      <c r="N228" s="135"/>
    </row>
    <row r="229" customFormat="false" ht="15.75" hidden="false" customHeight="true" outlineLevel="0" collapsed="false">
      <c r="A229" s="135"/>
      <c r="B229" s="135"/>
      <c r="C229" s="135"/>
      <c r="D229" s="135"/>
      <c r="F229" s="135"/>
      <c r="G229" s="135"/>
      <c r="H229" s="135"/>
      <c r="I229" s="135"/>
      <c r="J229" s="135"/>
      <c r="K229" s="135"/>
      <c r="L229" s="135"/>
      <c r="M229" s="135"/>
      <c r="N229" s="135"/>
    </row>
    <row r="230" customFormat="false" ht="15.75" hidden="false" customHeight="true" outlineLevel="0" collapsed="false">
      <c r="A230" s="135"/>
      <c r="B230" s="135"/>
      <c r="C230" s="135"/>
      <c r="D230" s="135"/>
      <c r="F230" s="135"/>
      <c r="G230" s="135"/>
      <c r="H230" s="135"/>
      <c r="I230" s="135"/>
      <c r="J230" s="135"/>
      <c r="K230" s="135"/>
      <c r="L230" s="135"/>
      <c r="M230" s="135"/>
      <c r="N230" s="135"/>
    </row>
    <row r="231" customFormat="false" ht="15.75" hidden="false" customHeight="true" outlineLevel="0" collapsed="false">
      <c r="A231" s="135"/>
      <c r="B231" s="135"/>
      <c r="C231" s="135"/>
      <c r="D231" s="135"/>
      <c r="F231" s="135"/>
      <c r="G231" s="135"/>
      <c r="H231" s="135"/>
      <c r="I231" s="135"/>
      <c r="J231" s="135"/>
      <c r="K231" s="135"/>
      <c r="L231" s="135"/>
      <c r="M231" s="135"/>
      <c r="N231" s="135"/>
    </row>
    <row r="232" customFormat="false" ht="15.75" hidden="false" customHeight="true" outlineLevel="0" collapsed="false">
      <c r="A232" s="135"/>
      <c r="B232" s="135"/>
      <c r="C232" s="135"/>
      <c r="D232" s="135"/>
      <c r="F232" s="135"/>
      <c r="G232" s="135"/>
      <c r="H232" s="135"/>
      <c r="I232" s="135"/>
      <c r="J232" s="135"/>
      <c r="K232" s="135"/>
      <c r="L232" s="135"/>
      <c r="M232" s="135"/>
      <c r="N232" s="135"/>
    </row>
    <row r="233" customFormat="false" ht="15.75" hidden="false" customHeight="true" outlineLevel="0" collapsed="false">
      <c r="A233" s="135"/>
      <c r="B233" s="135"/>
      <c r="C233" s="135"/>
      <c r="D233" s="135"/>
      <c r="F233" s="135"/>
      <c r="G233" s="135"/>
      <c r="H233" s="135"/>
      <c r="I233" s="135"/>
      <c r="J233" s="135"/>
      <c r="K233" s="135"/>
      <c r="L233" s="135"/>
      <c r="M233" s="135"/>
      <c r="N233" s="135"/>
    </row>
    <row r="234" customFormat="false" ht="15.75" hidden="false" customHeight="true" outlineLevel="0" collapsed="false">
      <c r="A234" s="135"/>
      <c r="B234" s="135"/>
      <c r="C234" s="135"/>
      <c r="D234" s="135"/>
      <c r="F234" s="135"/>
      <c r="G234" s="135"/>
      <c r="H234" s="135"/>
      <c r="I234" s="135"/>
      <c r="J234" s="135"/>
      <c r="K234" s="135"/>
      <c r="L234" s="135"/>
      <c r="M234" s="135"/>
      <c r="N234" s="135"/>
    </row>
    <row r="235" customFormat="false" ht="15.75" hidden="false" customHeight="true" outlineLevel="0" collapsed="false">
      <c r="A235" s="135"/>
      <c r="B235" s="135"/>
      <c r="C235" s="135"/>
      <c r="D235" s="135"/>
      <c r="F235" s="135"/>
      <c r="G235" s="135"/>
      <c r="H235" s="135"/>
      <c r="I235" s="135"/>
      <c r="J235" s="135"/>
      <c r="K235" s="135"/>
      <c r="L235" s="135"/>
      <c r="M235" s="135"/>
      <c r="N235" s="135"/>
    </row>
    <row r="236" customFormat="false" ht="15.75" hidden="false" customHeight="true" outlineLevel="0" collapsed="false">
      <c r="A236" s="135"/>
      <c r="B236" s="135"/>
      <c r="C236" s="135"/>
      <c r="D236" s="135"/>
      <c r="F236" s="135"/>
      <c r="G236" s="135"/>
      <c r="H236" s="135"/>
      <c r="I236" s="135"/>
      <c r="J236" s="135"/>
      <c r="K236" s="135"/>
      <c r="L236" s="135"/>
      <c r="M236" s="135"/>
      <c r="N236" s="135"/>
    </row>
    <row r="237" customFormat="false" ht="15.75" hidden="false" customHeight="true" outlineLevel="0" collapsed="false">
      <c r="A237" s="135"/>
      <c r="B237" s="135"/>
      <c r="C237" s="135"/>
      <c r="D237" s="135"/>
      <c r="F237" s="135"/>
      <c r="G237" s="135"/>
      <c r="H237" s="135"/>
      <c r="I237" s="135"/>
      <c r="J237" s="135"/>
      <c r="K237" s="135"/>
      <c r="L237" s="135"/>
      <c r="M237" s="135"/>
      <c r="N237" s="135"/>
    </row>
    <row r="238" customFormat="false" ht="15.75" hidden="false" customHeight="true" outlineLevel="0" collapsed="false">
      <c r="A238" s="135"/>
      <c r="B238" s="135"/>
      <c r="C238" s="135"/>
      <c r="D238" s="135"/>
      <c r="F238" s="135"/>
      <c r="G238" s="135"/>
      <c r="H238" s="135"/>
      <c r="I238" s="135"/>
      <c r="J238" s="135"/>
      <c r="K238" s="135"/>
      <c r="L238" s="135"/>
      <c r="M238" s="135"/>
      <c r="N238" s="135"/>
    </row>
    <row r="239" customFormat="false" ht="15.75" hidden="false" customHeight="true" outlineLevel="0" collapsed="false">
      <c r="A239" s="135"/>
      <c r="B239" s="135"/>
      <c r="C239" s="135"/>
      <c r="D239" s="135"/>
      <c r="F239" s="135"/>
      <c r="G239" s="135"/>
      <c r="H239" s="135"/>
      <c r="I239" s="135"/>
      <c r="J239" s="135"/>
      <c r="K239" s="135"/>
      <c r="L239" s="135"/>
      <c r="M239" s="135"/>
      <c r="N239" s="135"/>
    </row>
    <row r="240" customFormat="false" ht="15.75" hidden="false" customHeight="true" outlineLevel="0" collapsed="false">
      <c r="A240" s="135"/>
      <c r="B240" s="135"/>
      <c r="C240" s="135"/>
      <c r="D240" s="135"/>
      <c r="F240" s="135"/>
      <c r="G240" s="135"/>
      <c r="H240" s="135"/>
      <c r="I240" s="135"/>
      <c r="J240" s="135"/>
      <c r="K240" s="135"/>
      <c r="L240" s="135"/>
      <c r="M240" s="135"/>
      <c r="N240" s="135"/>
    </row>
    <row r="241" customFormat="false" ht="15.75" hidden="false" customHeight="true" outlineLevel="0" collapsed="false">
      <c r="A241" s="135"/>
      <c r="B241" s="135"/>
      <c r="C241" s="135"/>
      <c r="D241" s="135"/>
      <c r="F241" s="135"/>
      <c r="G241" s="135"/>
      <c r="H241" s="135"/>
      <c r="I241" s="135"/>
      <c r="J241" s="135"/>
      <c r="K241" s="135"/>
      <c r="L241" s="135"/>
      <c r="M241" s="135"/>
      <c r="N241" s="135"/>
    </row>
    <row r="242" customFormat="false" ht="15.75" hidden="false" customHeight="true" outlineLevel="0" collapsed="false">
      <c r="A242" s="135"/>
      <c r="B242" s="135"/>
      <c r="C242" s="135"/>
      <c r="D242" s="135"/>
      <c r="F242" s="135"/>
      <c r="G242" s="135"/>
      <c r="H242" s="135"/>
      <c r="I242" s="135"/>
      <c r="J242" s="135"/>
      <c r="K242" s="135"/>
      <c r="L242" s="135"/>
      <c r="M242" s="135"/>
      <c r="N242" s="135"/>
    </row>
    <row r="243" customFormat="false" ht="15.75" hidden="false" customHeight="true" outlineLevel="0" collapsed="false">
      <c r="A243" s="135"/>
      <c r="B243" s="135"/>
      <c r="C243" s="135"/>
      <c r="D243" s="135"/>
      <c r="F243" s="135"/>
      <c r="G243" s="135"/>
      <c r="H243" s="135"/>
      <c r="I243" s="135"/>
      <c r="J243" s="135"/>
      <c r="K243" s="135"/>
      <c r="L243" s="135"/>
      <c r="M243" s="135"/>
      <c r="N243" s="135"/>
    </row>
    <row r="244" customFormat="false" ht="15.75" hidden="false" customHeight="true" outlineLevel="0" collapsed="false">
      <c r="A244" s="135"/>
      <c r="B244" s="135"/>
      <c r="C244" s="135"/>
      <c r="D244" s="135"/>
      <c r="F244" s="135"/>
      <c r="G244" s="135"/>
      <c r="H244" s="135"/>
      <c r="I244" s="135"/>
      <c r="J244" s="135"/>
      <c r="K244" s="135"/>
      <c r="L244" s="135"/>
      <c r="M244" s="135"/>
      <c r="N244" s="135"/>
    </row>
    <row r="245" customFormat="false" ht="15.75" hidden="false" customHeight="true" outlineLevel="0" collapsed="false">
      <c r="A245" s="135"/>
      <c r="B245" s="135"/>
      <c r="C245" s="135"/>
      <c r="D245" s="135"/>
      <c r="F245" s="135"/>
      <c r="G245" s="135"/>
      <c r="H245" s="135"/>
      <c r="I245" s="135"/>
      <c r="J245" s="135"/>
      <c r="K245" s="135"/>
      <c r="L245" s="135"/>
      <c r="M245" s="135"/>
      <c r="N245" s="135"/>
    </row>
    <row r="246" customFormat="false" ht="15.75" hidden="false" customHeight="true" outlineLevel="0" collapsed="false">
      <c r="A246" s="135"/>
      <c r="B246" s="135"/>
      <c r="C246" s="135"/>
      <c r="D246" s="135"/>
      <c r="F246" s="135"/>
      <c r="G246" s="135"/>
      <c r="H246" s="135"/>
      <c r="I246" s="135"/>
      <c r="J246" s="135"/>
      <c r="K246" s="135"/>
      <c r="L246" s="135"/>
      <c r="M246" s="135"/>
      <c r="N246" s="135"/>
    </row>
    <row r="247" customFormat="false" ht="15.75" hidden="false" customHeight="true" outlineLevel="0" collapsed="false">
      <c r="A247" s="135"/>
      <c r="B247" s="135"/>
      <c r="C247" s="135"/>
      <c r="D247" s="135"/>
      <c r="F247" s="135"/>
      <c r="G247" s="135"/>
      <c r="H247" s="135"/>
      <c r="I247" s="135"/>
      <c r="J247" s="135"/>
      <c r="K247" s="135"/>
      <c r="L247" s="135"/>
      <c r="M247" s="135"/>
      <c r="N247" s="135"/>
    </row>
    <row r="248" customFormat="false" ht="15.75" hidden="false" customHeight="true" outlineLevel="0" collapsed="false">
      <c r="A248" s="135"/>
      <c r="B248" s="135"/>
      <c r="C248" s="135"/>
      <c r="D248" s="135"/>
      <c r="F248" s="135"/>
      <c r="G248" s="135"/>
      <c r="H248" s="135"/>
      <c r="I248" s="135"/>
      <c r="J248" s="135"/>
      <c r="K248" s="135"/>
      <c r="L248" s="135"/>
      <c r="M248" s="135"/>
      <c r="N248" s="135"/>
    </row>
    <row r="249" customFormat="false" ht="15.75" hidden="false" customHeight="true" outlineLevel="0" collapsed="false">
      <c r="A249" s="135"/>
      <c r="B249" s="135"/>
      <c r="C249" s="135"/>
      <c r="D249" s="135"/>
      <c r="F249" s="135"/>
      <c r="G249" s="135"/>
      <c r="H249" s="135"/>
      <c r="I249" s="135"/>
      <c r="J249" s="135"/>
      <c r="K249" s="135"/>
      <c r="L249" s="135"/>
      <c r="M249" s="135"/>
      <c r="N249" s="135"/>
    </row>
    <row r="250" customFormat="false" ht="15.75" hidden="false" customHeight="true" outlineLevel="0" collapsed="false">
      <c r="A250" s="135"/>
      <c r="B250" s="135"/>
      <c r="C250" s="135"/>
      <c r="D250" s="135"/>
      <c r="F250" s="135"/>
      <c r="G250" s="135"/>
      <c r="H250" s="135"/>
      <c r="I250" s="135"/>
      <c r="J250" s="135"/>
      <c r="K250" s="135"/>
      <c r="L250" s="135"/>
      <c r="M250" s="135"/>
      <c r="N250" s="135"/>
    </row>
    <row r="251" customFormat="false" ht="15.75" hidden="false" customHeight="true" outlineLevel="0" collapsed="false">
      <c r="A251" s="135"/>
      <c r="B251" s="135"/>
      <c r="C251" s="135"/>
      <c r="D251" s="135"/>
      <c r="F251" s="135"/>
      <c r="G251" s="135"/>
      <c r="H251" s="135"/>
      <c r="I251" s="135"/>
      <c r="J251" s="135"/>
      <c r="K251" s="135"/>
      <c r="L251" s="135"/>
      <c r="M251" s="135"/>
      <c r="N251" s="135"/>
    </row>
    <row r="252" customFormat="false" ht="15.75" hidden="false" customHeight="true" outlineLevel="0" collapsed="false">
      <c r="A252" s="135"/>
      <c r="B252" s="135"/>
      <c r="C252" s="135"/>
      <c r="D252" s="135"/>
      <c r="F252" s="135"/>
      <c r="G252" s="135"/>
      <c r="H252" s="135"/>
      <c r="I252" s="135"/>
      <c r="J252" s="135"/>
      <c r="K252" s="135"/>
      <c r="L252" s="135"/>
      <c r="M252" s="135"/>
      <c r="N252" s="135"/>
    </row>
    <row r="253" customFormat="false" ht="15.75" hidden="false" customHeight="true" outlineLevel="0" collapsed="false">
      <c r="A253" s="135"/>
      <c r="B253" s="135"/>
      <c r="C253" s="135"/>
      <c r="D253" s="135"/>
      <c r="F253" s="135"/>
      <c r="G253" s="135"/>
      <c r="H253" s="135"/>
      <c r="I253" s="135"/>
      <c r="J253" s="135"/>
      <c r="K253" s="135"/>
      <c r="L253" s="135"/>
      <c r="M253" s="135"/>
      <c r="N253" s="135"/>
    </row>
    <row r="254" customFormat="false" ht="15.75" hidden="false" customHeight="true" outlineLevel="0" collapsed="false">
      <c r="A254" s="135"/>
      <c r="B254" s="135"/>
      <c r="C254" s="135"/>
      <c r="D254" s="135"/>
      <c r="F254" s="135"/>
      <c r="G254" s="135"/>
      <c r="H254" s="135"/>
      <c r="I254" s="135"/>
      <c r="J254" s="135"/>
      <c r="K254" s="135"/>
      <c r="L254" s="135"/>
      <c r="M254" s="135"/>
      <c r="N254" s="135"/>
    </row>
    <row r="255" customFormat="false" ht="15.75" hidden="false" customHeight="true" outlineLevel="0" collapsed="false">
      <c r="A255" s="135"/>
      <c r="B255" s="135"/>
      <c r="C255" s="135"/>
      <c r="D255" s="135"/>
      <c r="F255" s="135"/>
      <c r="G255" s="135"/>
      <c r="H255" s="135"/>
      <c r="I255" s="135"/>
      <c r="J255" s="135"/>
      <c r="K255" s="135"/>
      <c r="L255" s="135"/>
      <c r="M255" s="135"/>
      <c r="N255" s="135"/>
    </row>
    <row r="256" customFormat="false" ht="15.75" hidden="false" customHeight="true" outlineLevel="0" collapsed="false">
      <c r="A256" s="135"/>
      <c r="B256" s="135"/>
      <c r="C256" s="135"/>
      <c r="D256" s="135"/>
      <c r="F256" s="135"/>
      <c r="G256" s="135"/>
      <c r="H256" s="135"/>
      <c r="I256" s="135"/>
      <c r="J256" s="135"/>
      <c r="K256" s="135"/>
      <c r="L256" s="135"/>
      <c r="M256" s="135"/>
      <c r="N256" s="135"/>
    </row>
    <row r="257" customFormat="false" ht="15.75" hidden="false" customHeight="true" outlineLevel="0" collapsed="false">
      <c r="A257" s="135"/>
      <c r="B257" s="135"/>
      <c r="C257" s="135"/>
      <c r="D257" s="135"/>
      <c r="F257" s="135"/>
      <c r="G257" s="135"/>
      <c r="H257" s="135"/>
      <c r="I257" s="135"/>
      <c r="J257" s="135"/>
      <c r="K257" s="135"/>
      <c r="L257" s="135"/>
      <c r="M257" s="135"/>
      <c r="N257" s="135"/>
    </row>
    <row r="258" customFormat="false" ht="15.75" hidden="false" customHeight="true" outlineLevel="0" collapsed="false">
      <c r="A258" s="135"/>
      <c r="B258" s="135"/>
      <c r="C258" s="135"/>
      <c r="D258" s="135"/>
      <c r="F258" s="135"/>
      <c r="G258" s="135"/>
      <c r="H258" s="135"/>
      <c r="I258" s="135"/>
      <c r="J258" s="135"/>
      <c r="K258" s="135"/>
      <c r="L258" s="135"/>
      <c r="M258" s="135"/>
      <c r="N258" s="135"/>
    </row>
    <row r="259" customFormat="false" ht="15.75" hidden="false" customHeight="true" outlineLevel="0" collapsed="false">
      <c r="A259" s="135"/>
      <c r="B259" s="135"/>
      <c r="C259" s="135"/>
      <c r="D259" s="135"/>
      <c r="F259" s="135"/>
      <c r="G259" s="135"/>
      <c r="H259" s="135"/>
      <c r="I259" s="135"/>
      <c r="J259" s="135"/>
      <c r="K259" s="135"/>
      <c r="L259" s="135"/>
      <c r="M259" s="135"/>
      <c r="N259" s="135"/>
    </row>
    <row r="260" customFormat="false" ht="15.75" hidden="false" customHeight="true" outlineLevel="0" collapsed="false">
      <c r="A260" s="135"/>
      <c r="B260" s="135"/>
      <c r="C260" s="135"/>
      <c r="D260" s="135"/>
      <c r="F260" s="135"/>
      <c r="G260" s="135"/>
      <c r="H260" s="135"/>
      <c r="I260" s="135"/>
      <c r="J260" s="135"/>
      <c r="K260" s="135"/>
      <c r="L260" s="135"/>
      <c r="M260" s="135"/>
      <c r="N260" s="135"/>
    </row>
    <row r="261" customFormat="false" ht="15.75" hidden="false" customHeight="true" outlineLevel="0" collapsed="false">
      <c r="A261" s="135"/>
      <c r="B261" s="135"/>
      <c r="C261" s="135"/>
      <c r="D261" s="135"/>
      <c r="F261" s="135"/>
      <c r="G261" s="135"/>
      <c r="H261" s="135"/>
      <c r="I261" s="135"/>
      <c r="J261" s="135"/>
      <c r="K261" s="135"/>
      <c r="L261" s="135"/>
      <c r="M261" s="135"/>
      <c r="N261" s="135"/>
    </row>
    <row r="262" customFormat="false" ht="15.75" hidden="false" customHeight="true" outlineLevel="0" collapsed="false">
      <c r="A262" s="135"/>
      <c r="B262" s="135"/>
      <c r="C262" s="135"/>
      <c r="D262" s="135"/>
      <c r="F262" s="135"/>
      <c r="G262" s="135"/>
      <c r="H262" s="135"/>
      <c r="I262" s="135"/>
      <c r="J262" s="135"/>
      <c r="K262" s="135"/>
      <c r="L262" s="135"/>
      <c r="M262" s="135"/>
      <c r="N262" s="135"/>
    </row>
    <row r="263" customFormat="false" ht="15.75" hidden="false" customHeight="true" outlineLevel="0" collapsed="false">
      <c r="A263" s="135"/>
      <c r="B263" s="135"/>
      <c r="C263" s="135"/>
      <c r="D263" s="135"/>
      <c r="F263" s="135"/>
      <c r="G263" s="135"/>
      <c r="H263" s="135"/>
      <c r="I263" s="135"/>
      <c r="J263" s="135"/>
      <c r="K263" s="135"/>
      <c r="L263" s="135"/>
      <c r="M263" s="135"/>
      <c r="N263" s="135"/>
    </row>
    <row r="264" customFormat="false" ht="15.75" hidden="false" customHeight="true" outlineLevel="0" collapsed="false">
      <c r="A264" s="135"/>
      <c r="B264" s="135"/>
      <c r="C264" s="135"/>
      <c r="D264" s="135"/>
      <c r="F264" s="135"/>
      <c r="G264" s="135"/>
      <c r="H264" s="135"/>
      <c r="I264" s="135"/>
      <c r="J264" s="135"/>
      <c r="K264" s="135"/>
      <c r="L264" s="135"/>
      <c r="M264" s="135"/>
      <c r="N264" s="135"/>
    </row>
    <row r="265" customFormat="false" ht="15.75" hidden="false" customHeight="true" outlineLevel="0" collapsed="false">
      <c r="A265" s="135"/>
      <c r="B265" s="135"/>
      <c r="C265" s="135"/>
      <c r="D265" s="135"/>
      <c r="F265" s="135"/>
      <c r="G265" s="135"/>
      <c r="H265" s="135"/>
      <c r="I265" s="135"/>
      <c r="J265" s="135"/>
      <c r="K265" s="135"/>
      <c r="L265" s="135"/>
      <c r="M265" s="135"/>
      <c r="N265" s="135"/>
    </row>
    <row r="266" customFormat="false" ht="15.75" hidden="false" customHeight="true" outlineLevel="0" collapsed="false">
      <c r="A266" s="135"/>
      <c r="B266" s="135"/>
      <c r="C266" s="135"/>
      <c r="D266" s="135"/>
      <c r="F266" s="135"/>
      <c r="G266" s="135"/>
      <c r="H266" s="135"/>
      <c r="I266" s="135"/>
      <c r="J266" s="135"/>
      <c r="K266" s="135"/>
      <c r="L266" s="135"/>
      <c r="M266" s="135"/>
      <c r="N266" s="135"/>
    </row>
    <row r="267" customFormat="false" ht="15.75" hidden="false" customHeight="true" outlineLevel="0" collapsed="false">
      <c r="A267" s="135"/>
      <c r="B267" s="135"/>
      <c r="C267" s="135"/>
      <c r="D267" s="135"/>
      <c r="F267" s="135"/>
      <c r="G267" s="135"/>
      <c r="H267" s="135"/>
      <c r="I267" s="135"/>
      <c r="J267" s="135"/>
      <c r="K267" s="135"/>
      <c r="L267" s="135"/>
      <c r="M267" s="135"/>
      <c r="N267" s="135"/>
    </row>
    <row r="268" customFormat="false" ht="15.75" hidden="false" customHeight="true" outlineLevel="0" collapsed="false">
      <c r="A268" s="135"/>
      <c r="B268" s="135"/>
      <c r="C268" s="135"/>
      <c r="D268" s="135"/>
      <c r="F268" s="135"/>
      <c r="G268" s="135"/>
      <c r="H268" s="135"/>
      <c r="I268" s="135"/>
      <c r="J268" s="135"/>
      <c r="K268" s="135"/>
      <c r="L268" s="135"/>
      <c r="M268" s="135"/>
      <c r="N268" s="135"/>
    </row>
    <row r="269" customFormat="false" ht="15.75" hidden="false" customHeight="true" outlineLevel="0" collapsed="false">
      <c r="A269" s="135"/>
      <c r="B269" s="135"/>
      <c r="C269" s="135"/>
      <c r="D269" s="135"/>
      <c r="F269" s="135"/>
      <c r="G269" s="135"/>
      <c r="H269" s="135"/>
      <c r="I269" s="135"/>
      <c r="J269" s="135"/>
      <c r="K269" s="135"/>
      <c r="L269" s="135"/>
      <c r="M269" s="135"/>
      <c r="N269" s="135"/>
    </row>
    <row r="270" customFormat="false" ht="15.75" hidden="false" customHeight="true" outlineLevel="0" collapsed="false">
      <c r="A270" s="135"/>
      <c r="B270" s="135"/>
      <c r="C270" s="135"/>
      <c r="D270" s="135"/>
      <c r="F270" s="135"/>
      <c r="G270" s="135"/>
      <c r="H270" s="135"/>
      <c r="I270" s="135"/>
      <c r="J270" s="135"/>
      <c r="K270" s="135"/>
      <c r="L270" s="135"/>
      <c r="M270" s="135"/>
      <c r="N270" s="135"/>
    </row>
    <row r="271" customFormat="false" ht="15.75" hidden="false" customHeight="true" outlineLevel="0" collapsed="false">
      <c r="A271" s="135"/>
      <c r="B271" s="135"/>
      <c r="C271" s="135"/>
      <c r="D271" s="135"/>
      <c r="F271" s="135"/>
      <c r="G271" s="135"/>
      <c r="H271" s="135"/>
      <c r="I271" s="135"/>
      <c r="J271" s="135"/>
      <c r="K271" s="135"/>
      <c r="L271" s="135"/>
      <c r="M271" s="135"/>
      <c r="N271" s="135"/>
    </row>
    <row r="272" customFormat="false" ht="15.75" hidden="false" customHeight="true" outlineLevel="0" collapsed="false">
      <c r="A272" s="135"/>
      <c r="B272" s="135"/>
      <c r="C272" s="135"/>
      <c r="D272" s="135"/>
      <c r="F272" s="135"/>
      <c r="G272" s="135"/>
      <c r="H272" s="135"/>
      <c r="I272" s="135"/>
      <c r="J272" s="135"/>
      <c r="K272" s="135"/>
      <c r="L272" s="135"/>
      <c r="M272" s="135"/>
      <c r="N272" s="135"/>
    </row>
    <row r="273" customFormat="false" ht="15.75" hidden="false" customHeight="true" outlineLevel="0" collapsed="false">
      <c r="A273" s="135"/>
      <c r="B273" s="135"/>
      <c r="C273" s="135"/>
      <c r="D273" s="135"/>
      <c r="F273" s="135"/>
      <c r="G273" s="135"/>
      <c r="H273" s="135"/>
      <c r="I273" s="135"/>
      <c r="J273" s="135"/>
      <c r="K273" s="135"/>
      <c r="L273" s="135"/>
      <c r="M273" s="135"/>
      <c r="N273" s="135"/>
    </row>
    <row r="274" customFormat="false" ht="15.75" hidden="false" customHeight="true" outlineLevel="0" collapsed="false">
      <c r="A274" s="135"/>
      <c r="B274" s="135"/>
      <c r="C274" s="135"/>
      <c r="D274" s="135"/>
      <c r="F274" s="135"/>
      <c r="G274" s="135"/>
      <c r="H274" s="135"/>
      <c r="I274" s="135"/>
      <c r="J274" s="135"/>
      <c r="K274" s="135"/>
      <c r="L274" s="135"/>
      <c r="M274" s="135"/>
      <c r="N274" s="135"/>
    </row>
    <row r="275" customFormat="false" ht="15.75" hidden="false" customHeight="true" outlineLevel="0" collapsed="false">
      <c r="A275" s="135"/>
      <c r="B275" s="135"/>
      <c r="C275" s="135"/>
      <c r="D275" s="135"/>
      <c r="F275" s="135"/>
      <c r="G275" s="135"/>
      <c r="H275" s="135"/>
      <c r="I275" s="135"/>
      <c r="J275" s="135"/>
      <c r="K275" s="135"/>
      <c r="L275" s="135"/>
      <c r="M275" s="135"/>
      <c r="N275" s="135"/>
    </row>
    <row r="276" customFormat="false" ht="15.75" hidden="false" customHeight="true" outlineLevel="0" collapsed="false">
      <c r="A276" s="135"/>
      <c r="B276" s="135"/>
      <c r="C276" s="135"/>
      <c r="D276" s="135"/>
      <c r="F276" s="135"/>
      <c r="G276" s="135"/>
      <c r="H276" s="135"/>
      <c r="I276" s="135"/>
      <c r="J276" s="135"/>
      <c r="K276" s="135"/>
      <c r="L276" s="135"/>
      <c r="M276" s="135"/>
      <c r="N276" s="135"/>
    </row>
    <row r="277" customFormat="false" ht="15.75" hidden="false" customHeight="true" outlineLevel="0" collapsed="false">
      <c r="A277" s="135"/>
      <c r="B277" s="135"/>
      <c r="C277" s="135"/>
      <c r="D277" s="135"/>
      <c r="F277" s="135"/>
      <c r="G277" s="135"/>
      <c r="H277" s="135"/>
      <c r="I277" s="135"/>
      <c r="J277" s="135"/>
      <c r="K277" s="135"/>
      <c r="L277" s="135"/>
      <c r="M277" s="135"/>
      <c r="N277" s="135"/>
    </row>
    <row r="278" customFormat="false" ht="15.75" hidden="false" customHeight="true" outlineLevel="0" collapsed="false">
      <c r="A278" s="135"/>
      <c r="B278" s="135"/>
      <c r="C278" s="135"/>
      <c r="D278" s="135"/>
      <c r="F278" s="135"/>
      <c r="G278" s="135"/>
      <c r="H278" s="135"/>
      <c r="I278" s="135"/>
      <c r="J278" s="135"/>
      <c r="K278" s="135"/>
      <c r="L278" s="135"/>
      <c r="M278" s="135"/>
      <c r="N278" s="135"/>
    </row>
    <row r="279" customFormat="false" ht="15.75" hidden="false" customHeight="true" outlineLevel="0" collapsed="false">
      <c r="A279" s="135"/>
      <c r="B279" s="135"/>
      <c r="C279" s="135"/>
      <c r="D279" s="135"/>
      <c r="F279" s="135"/>
      <c r="G279" s="135"/>
      <c r="H279" s="135"/>
      <c r="I279" s="135"/>
      <c r="J279" s="135"/>
      <c r="K279" s="135"/>
      <c r="L279" s="135"/>
      <c r="M279" s="135"/>
      <c r="N279" s="135"/>
    </row>
    <row r="280" customFormat="false" ht="15.75" hidden="false" customHeight="true" outlineLevel="0" collapsed="false">
      <c r="A280" s="135"/>
      <c r="B280" s="135"/>
      <c r="C280" s="135"/>
      <c r="D280" s="135"/>
      <c r="F280" s="135"/>
      <c r="G280" s="135"/>
      <c r="H280" s="135"/>
      <c r="I280" s="135"/>
      <c r="J280" s="135"/>
      <c r="K280" s="135"/>
      <c r="L280" s="135"/>
      <c r="M280" s="135"/>
      <c r="N280" s="135"/>
    </row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87"/>
    <pageSetUpPr fitToPage="false"/>
  </sheetPr>
  <dimension ref="A1:S985"/>
  <sheetViews>
    <sheetView showFormulas="false" showGridLines="false" showRowColHeaders="true" showZeros="true" rightToLeft="false" tabSelected="false" showOutlineSymbols="true" defaultGridColor="true" view="normal" topLeftCell="A1" colorId="64" zoomScale="98" zoomScaleNormal="98" zoomScalePageLayoutView="100" workbookViewId="0">
      <pane xSplit="0" ySplit="3" topLeftCell="A4" activePane="bottomLeft" state="frozen"/>
      <selection pane="topLeft" activeCell="A1" activeCellId="0" sqref="A1"/>
      <selection pane="bottomLeft" activeCell="H1" activeCellId="0" sqref="H1"/>
    </sheetView>
  </sheetViews>
  <sheetFormatPr defaultColWidth="11.18359375" defaultRowHeight="15" zeroHeight="false" outlineLevelRow="0" outlineLevelCol="0"/>
  <cols>
    <col collapsed="false" customWidth="true" hidden="false" outlineLevel="0" max="1" min="1" style="140" width="8"/>
    <col collapsed="false" customWidth="true" hidden="false" outlineLevel="0" max="2" min="2" style="0" width="9.91"/>
    <col collapsed="false" customWidth="true" hidden="false" outlineLevel="0" max="3" min="3" style="0" width="22.09"/>
    <col collapsed="false" customWidth="true" hidden="false" outlineLevel="0" max="4" min="4" style="141" width="15.09"/>
    <col collapsed="false" customWidth="true" hidden="false" outlineLevel="0" max="5" min="5" style="141" width="15.18"/>
    <col collapsed="false" customWidth="true" hidden="false" outlineLevel="0" max="6" min="6" style="141" width="15.91"/>
    <col collapsed="false" customWidth="true" hidden="false" outlineLevel="0" max="7" min="7" style="142" width="16.82"/>
    <col collapsed="false" customWidth="true" hidden="true" outlineLevel="0" max="14" min="8" style="141" width="10.54"/>
    <col collapsed="false" customWidth="true" hidden="true" outlineLevel="0" max="16" min="15" style="141" width="14"/>
    <col collapsed="false" customWidth="true" hidden="false" outlineLevel="0" max="19" min="17" style="0" width="13.73"/>
    <col collapsed="false" customWidth="true" hidden="false" outlineLevel="0" max="20" min="20" style="0" width="13"/>
    <col collapsed="false" customWidth="true" hidden="false" outlineLevel="0" max="26" min="21" style="0" width="11.45"/>
  </cols>
  <sheetData>
    <row r="1" customFormat="false" ht="27" hidden="false" customHeight="true" outlineLevel="0" collapsed="false">
      <c r="A1" s="143"/>
      <c r="B1" s="68" t="s">
        <v>108</v>
      </c>
      <c r="C1" s="70"/>
      <c r="D1" s="70"/>
      <c r="E1" s="70"/>
      <c r="F1" s="70"/>
      <c r="G1" s="144"/>
      <c r="H1" s="72"/>
      <c r="I1" s="72"/>
      <c r="J1" s="72"/>
      <c r="K1" s="72"/>
      <c r="L1" s="72"/>
      <c r="M1" s="72"/>
      <c r="N1" s="145"/>
      <c r="O1" s="146"/>
      <c r="P1" s="147"/>
    </row>
    <row r="2" customFormat="false" ht="15.75" hidden="false" customHeight="true" outlineLevel="0" collapsed="false">
      <c r="D2" s="148"/>
      <c r="E2" s="149"/>
      <c r="F2" s="149"/>
      <c r="G2" s="78" t="s">
        <v>41</v>
      </c>
    </row>
    <row r="3" s="75" customFormat="true" ht="15.75" hidden="false" customHeight="true" outlineLevel="0" collapsed="false">
      <c r="A3" s="150"/>
      <c r="B3" s="151"/>
      <c r="C3" s="151"/>
      <c r="D3" s="152" t="n">
        <f aca="false">'Hướng dẫn'!J6-3</f>
        <v>2023</v>
      </c>
      <c r="E3" s="152"/>
      <c r="F3" s="152" t="n">
        <f aca="false">D3+1</f>
        <v>2024</v>
      </c>
      <c r="G3" s="152" t="n">
        <f aca="false">F3+1</f>
        <v>2025</v>
      </c>
      <c r="H3" s="152" t="n">
        <f aca="false">G3+1</f>
        <v>2026</v>
      </c>
      <c r="I3" s="152" t="n">
        <f aca="false">H3+1</f>
        <v>2027</v>
      </c>
      <c r="J3" s="152" t="n">
        <f aca="false">I3+1</f>
        <v>2028</v>
      </c>
      <c r="K3" s="152" t="n">
        <f aca="false">J3+1</f>
        <v>2029</v>
      </c>
      <c r="L3" s="152" t="n">
        <f aca="false">K3+1</f>
        <v>2030</v>
      </c>
      <c r="M3" s="153" t="s">
        <v>109</v>
      </c>
      <c r="N3" s="154"/>
      <c r="O3" s="154"/>
      <c r="P3" s="154"/>
      <c r="Q3" s="150"/>
    </row>
    <row r="4" s="75" customFormat="true" ht="15.75" hidden="false" customHeight="true" outlineLevel="0" collapsed="false">
      <c r="A4" s="155" t="s">
        <v>110</v>
      </c>
      <c r="B4" s="156"/>
      <c r="C4" s="156"/>
      <c r="D4" s="157" t="s">
        <v>111</v>
      </c>
      <c r="E4" s="157" t="s">
        <v>112</v>
      </c>
      <c r="F4" s="97"/>
      <c r="G4" s="96"/>
      <c r="H4" s="97"/>
      <c r="I4" s="97"/>
      <c r="J4" s="97"/>
      <c r="K4" s="97"/>
      <c r="L4" s="97"/>
      <c r="M4" s="97"/>
      <c r="N4" s="97"/>
      <c r="O4" s="97"/>
      <c r="P4" s="97"/>
    </row>
    <row r="5" s="75" customFormat="true" ht="15.75" hidden="false" customHeight="true" outlineLevel="0" collapsed="false">
      <c r="A5" s="155"/>
      <c r="B5" s="156" t="s">
        <v>113</v>
      </c>
      <c r="C5" s="156"/>
      <c r="D5" s="96"/>
      <c r="E5" s="96"/>
      <c r="F5" s="96"/>
      <c r="G5" s="96"/>
      <c r="H5" s="97"/>
      <c r="I5" s="97"/>
      <c r="J5" s="97"/>
      <c r="K5" s="97"/>
      <c r="L5" s="97"/>
      <c r="M5" s="97"/>
      <c r="N5" s="97"/>
      <c r="O5" s="97"/>
      <c r="P5" s="97"/>
    </row>
    <row r="6" s="75" customFormat="true" ht="15.75" hidden="false" customHeight="true" outlineLevel="0" collapsed="false">
      <c r="A6" s="155"/>
      <c r="B6" s="156"/>
      <c r="C6" s="156" t="s">
        <v>114</v>
      </c>
      <c r="D6" s="88" t="n">
        <v>910000</v>
      </c>
      <c r="E6" s="96" t="n">
        <v>43988.8000000008</v>
      </c>
      <c r="F6" s="96" t="n">
        <v>1735532.55</v>
      </c>
      <c r="G6" s="96" t="n">
        <v>2933481.76549999</v>
      </c>
      <c r="H6" s="132" t="n">
        <f aca="false">'Cash Flow Statement'!F36</f>
        <v>35546329.4140094</v>
      </c>
      <c r="I6" s="132" t="n">
        <f aca="false">'Cash Flow Statement'!G36</f>
        <v>22631263.7120003</v>
      </c>
      <c r="J6" s="132" t="n">
        <f aca="false">'Cash Flow Statement'!H36</f>
        <v>16331815.9734387</v>
      </c>
      <c r="K6" s="132" t="n">
        <f aca="false">'Cash Flow Statement'!I36</f>
        <v>11367772.1161802</v>
      </c>
      <c r="L6" s="132" t="n">
        <f aca="false">'Cash Flow Statement'!J36</f>
        <v>11935047.6839519</v>
      </c>
      <c r="M6" s="97"/>
      <c r="N6" s="97"/>
      <c r="O6" s="97"/>
      <c r="P6" s="97"/>
    </row>
    <row r="7" s="75" customFormat="true" ht="15.75" hidden="false" customHeight="true" outlineLevel="0" collapsed="false">
      <c r="A7" s="155"/>
      <c r="B7" s="156"/>
      <c r="C7" s="155" t="s">
        <v>115</v>
      </c>
      <c r="D7" s="158" t="n">
        <v>910000</v>
      </c>
      <c r="E7" s="158" t="n">
        <v>43988.8000000008</v>
      </c>
      <c r="F7" s="158" t="n">
        <v>1735532.55</v>
      </c>
      <c r="G7" s="158" t="n">
        <v>2933481.76549999</v>
      </c>
      <c r="H7" s="159" t="n">
        <f aca="false">SUBTOTAL(9,H6)</f>
        <v>35546329.4140094</v>
      </c>
      <c r="I7" s="159" t="n">
        <f aca="false">SUBTOTAL(9,I6)</f>
        <v>22631263.7120003</v>
      </c>
      <c r="J7" s="159" t="n">
        <f aca="false">SUBTOTAL(9,J6)</f>
        <v>16331815.9734387</v>
      </c>
      <c r="K7" s="159" t="n">
        <f aca="false">SUBTOTAL(9,K6)</f>
        <v>11367772.1161802</v>
      </c>
      <c r="L7" s="159" t="n">
        <f aca="false">SUBTOTAL(9,L6)</f>
        <v>11935047.6839519</v>
      </c>
      <c r="M7" s="127"/>
      <c r="N7" s="127"/>
      <c r="O7" s="127"/>
      <c r="P7" s="127"/>
    </row>
    <row r="8" s="75" customFormat="true" ht="15.75" hidden="false" customHeight="true" outlineLevel="0" collapsed="false">
      <c r="A8" s="155"/>
      <c r="B8" s="156" t="s">
        <v>116</v>
      </c>
      <c r="C8" s="156"/>
      <c r="D8" s="96"/>
      <c r="E8" s="96"/>
      <c r="F8" s="96"/>
      <c r="G8" s="96"/>
      <c r="H8" s="97"/>
      <c r="I8" s="97"/>
      <c r="J8" s="97"/>
      <c r="K8" s="97"/>
      <c r="L8" s="97"/>
      <c r="M8" s="97"/>
      <c r="N8" s="97"/>
      <c r="O8" s="97"/>
      <c r="P8" s="97"/>
    </row>
    <row r="9" s="75" customFormat="true" ht="15.75" hidden="false" customHeight="true" outlineLevel="0" collapsed="false">
      <c r="A9" s="155"/>
      <c r="B9" s="156"/>
      <c r="C9" s="156" t="s">
        <v>116</v>
      </c>
      <c r="D9" s="88" t="n">
        <v>1785000</v>
      </c>
      <c r="E9" s="88" t="n">
        <v>2499000</v>
      </c>
      <c r="F9" s="88" t="n">
        <v>2998800</v>
      </c>
      <c r="G9" s="88" t="n">
        <v>3748500</v>
      </c>
      <c r="H9" s="90" t="n">
        <f aca="false">Drivers!F95</f>
        <v>4745934.04040822</v>
      </c>
      <c r="I9" s="90" t="n">
        <f aca="false">Drivers!G95</f>
        <v>5994105.10168572</v>
      </c>
      <c r="J9" s="90" t="n">
        <f aca="false">Drivers!H95</f>
        <v>9322716.28962655</v>
      </c>
      <c r="K9" s="90" t="n">
        <f aca="false">Drivers!I95</f>
        <v>11064149.3125862</v>
      </c>
      <c r="L9" s="90" t="n">
        <f aca="false">Drivers!J95</f>
        <v>12787439.4759941</v>
      </c>
      <c r="M9" s="91"/>
      <c r="N9" s="91"/>
      <c r="O9" s="91"/>
      <c r="P9" s="91"/>
    </row>
    <row r="10" s="75" customFormat="true" ht="15.75" hidden="false" customHeight="true" outlineLevel="0" collapsed="false">
      <c r="A10" s="155"/>
      <c r="B10" s="156"/>
      <c r="C10" s="155" t="s">
        <v>117</v>
      </c>
      <c r="D10" s="158" t="n">
        <v>1785000</v>
      </c>
      <c r="E10" s="158" t="n">
        <v>2499000</v>
      </c>
      <c r="F10" s="158" t="n">
        <v>2998800</v>
      </c>
      <c r="G10" s="158" t="n">
        <v>3748500</v>
      </c>
      <c r="H10" s="159" t="n">
        <f aca="false">SUBTOTAL(9, H9)</f>
        <v>4745934.04040822</v>
      </c>
      <c r="I10" s="159" t="n">
        <f aca="false">SUBTOTAL(9, I9)</f>
        <v>5994105.10168572</v>
      </c>
      <c r="J10" s="159" t="n">
        <f aca="false">SUBTOTAL(9, J9)</f>
        <v>9322716.28962655</v>
      </c>
      <c r="K10" s="159" t="n">
        <f aca="false">SUBTOTAL(9, K9)</f>
        <v>11064149.3125862</v>
      </c>
      <c r="L10" s="159" t="n">
        <f aca="false">SUBTOTAL(9, L9)</f>
        <v>12787439.4759941</v>
      </c>
      <c r="M10" s="127"/>
      <c r="N10" s="127"/>
      <c r="O10" s="127"/>
      <c r="P10" s="127"/>
    </row>
    <row r="11" s="75" customFormat="true" ht="15.75" hidden="false" customHeight="true" outlineLevel="0" collapsed="false">
      <c r="A11" s="155"/>
      <c r="B11" s="156" t="s">
        <v>118</v>
      </c>
      <c r="C11" s="156"/>
      <c r="D11" s="96"/>
      <c r="E11" s="96"/>
      <c r="F11" s="96"/>
      <c r="G11" s="96"/>
      <c r="H11" s="97"/>
      <c r="I11" s="97"/>
      <c r="J11" s="97"/>
      <c r="K11" s="97"/>
      <c r="L11" s="97"/>
      <c r="M11" s="97"/>
      <c r="N11" s="97"/>
      <c r="O11" s="97"/>
      <c r="P11" s="97"/>
      <c r="Q11" s="73"/>
    </row>
    <row r="12" s="75" customFormat="true" ht="15.75" hidden="false" customHeight="true" outlineLevel="0" collapsed="false">
      <c r="A12" s="155"/>
      <c r="B12" s="156"/>
      <c r="C12" s="156" t="s">
        <v>119</v>
      </c>
      <c r="D12" s="88" t="n">
        <v>1050000</v>
      </c>
      <c r="E12" s="88" t="n">
        <v>1260000</v>
      </c>
      <c r="F12" s="88" t="n">
        <v>1537200</v>
      </c>
      <c r="G12" s="88" t="n">
        <v>1767780</v>
      </c>
      <c r="H12" s="89" t="n">
        <f aca="false">Drivers!F97</f>
        <v>3140078.64608022</v>
      </c>
      <c r="I12" s="89" t="n">
        <f aca="false">Drivers!G97</f>
        <v>4806283.95020536</v>
      </c>
      <c r="J12" s="89" t="n">
        <f aca="false">Drivers!H97</f>
        <v>7864228.18603618</v>
      </c>
      <c r="K12" s="89" t="n">
        <f aca="false">Drivers!I97</f>
        <v>11638712.267544</v>
      </c>
      <c r="L12" s="89" t="n">
        <f aca="false">Drivers!J97</f>
        <v>13998719.0175129</v>
      </c>
      <c r="M12" s="94"/>
      <c r="N12" s="94"/>
      <c r="O12" s="94"/>
      <c r="P12" s="94"/>
    </row>
    <row r="13" s="75" customFormat="true" ht="15.75" hidden="false" customHeight="true" outlineLevel="0" collapsed="false">
      <c r="A13" s="155"/>
      <c r="B13" s="156"/>
      <c r="C13" s="155" t="s">
        <v>120</v>
      </c>
      <c r="D13" s="158" t="n">
        <v>1050000</v>
      </c>
      <c r="E13" s="158" t="n">
        <v>1260000</v>
      </c>
      <c r="F13" s="158" t="n">
        <v>1537200</v>
      </c>
      <c r="G13" s="158" t="n">
        <v>1767780</v>
      </c>
      <c r="H13" s="159" t="n">
        <f aca="false">SUBTOTAL(9, H12)</f>
        <v>3140078.64608022</v>
      </c>
      <c r="I13" s="159" t="n">
        <f aca="false">SUBTOTAL(9, I12)</f>
        <v>4806283.95020536</v>
      </c>
      <c r="J13" s="159" t="n">
        <f aca="false">SUBTOTAL(9, J12)</f>
        <v>7864228.18603618</v>
      </c>
      <c r="K13" s="159" t="n">
        <f aca="false">SUBTOTAL(9, K12)</f>
        <v>11638712.267544</v>
      </c>
      <c r="L13" s="159" t="n">
        <f aca="false">SUBTOTAL(9, L12)</f>
        <v>13998719.0175129</v>
      </c>
      <c r="M13" s="127"/>
      <c r="N13" s="127"/>
      <c r="O13" s="127"/>
      <c r="P13" s="127"/>
    </row>
    <row r="14" s="75" customFormat="true" ht="15.75" hidden="false" customHeight="true" outlineLevel="0" collapsed="false">
      <c r="A14" s="155"/>
      <c r="B14" s="156" t="s">
        <v>121</v>
      </c>
      <c r="C14" s="156"/>
      <c r="D14" s="96"/>
      <c r="E14" s="96"/>
      <c r="F14" s="96"/>
      <c r="G14" s="96"/>
      <c r="H14" s="97"/>
      <c r="I14" s="97"/>
      <c r="J14" s="97"/>
      <c r="K14" s="97"/>
      <c r="L14" s="97"/>
      <c r="M14" s="97"/>
      <c r="N14" s="97"/>
      <c r="O14" s="97"/>
      <c r="P14" s="97"/>
    </row>
    <row r="15" s="75" customFormat="true" ht="15.75" hidden="true" customHeight="true" outlineLevel="0" collapsed="false">
      <c r="A15" s="155"/>
      <c r="B15" s="156"/>
      <c r="C15" s="156" t="s">
        <v>122</v>
      </c>
      <c r="D15" s="88" t="n">
        <v>0</v>
      </c>
      <c r="E15" s="88" t="n">
        <v>0</v>
      </c>
      <c r="F15" s="88" t="n">
        <v>0</v>
      </c>
      <c r="G15" s="88" t="n">
        <v>0</v>
      </c>
      <c r="H15" s="90" t="n">
        <v>0</v>
      </c>
      <c r="I15" s="90" t="n">
        <v>0</v>
      </c>
      <c r="J15" s="90" t="n">
        <v>0</v>
      </c>
      <c r="K15" s="90" t="n">
        <v>0</v>
      </c>
      <c r="L15" s="90" t="n">
        <v>0</v>
      </c>
      <c r="M15" s="91"/>
      <c r="N15" s="91"/>
      <c r="O15" s="91"/>
      <c r="P15" s="91"/>
    </row>
    <row r="16" s="75" customFormat="true" ht="15.75" hidden="false" customHeight="true" outlineLevel="0" collapsed="false">
      <c r="A16" s="155"/>
      <c r="B16" s="156"/>
      <c r="C16" s="156" t="s">
        <v>123</v>
      </c>
      <c r="D16" s="88" t="n">
        <v>890000</v>
      </c>
      <c r="E16" s="88" t="n">
        <v>1068000</v>
      </c>
      <c r="F16" s="88" t="n">
        <v>1495200</v>
      </c>
      <c r="G16" s="88" t="n">
        <v>1794240</v>
      </c>
      <c r="H16" s="89" t="n">
        <f aca="false">Drivers!F99*$G$16/$G$20</f>
        <v>2204363.71592291</v>
      </c>
      <c r="I16" s="89" t="n">
        <f aca="false">Drivers!G99*$G$16/$G$20</f>
        <v>2760590.42641924</v>
      </c>
      <c r="J16" s="89" t="n">
        <f aca="false">Drivers!H99*$G$16/$G$20</f>
        <v>3822064.3245571</v>
      </c>
      <c r="K16" s="89" t="n">
        <f aca="false">Drivers!I99*$G$16/$G$20</f>
        <v>4902289.00247463</v>
      </c>
      <c r="L16" s="89" t="n">
        <f aca="false">Drivers!J99*$G$16/$G$20</f>
        <v>5896336.70038031</v>
      </c>
      <c r="M16" s="94"/>
      <c r="N16" s="94"/>
      <c r="O16" s="94"/>
      <c r="P16" s="94"/>
    </row>
    <row r="17" s="75" customFormat="true" ht="15.75" hidden="true" customHeight="true" outlineLevel="0" collapsed="false">
      <c r="A17" s="155"/>
      <c r="B17" s="156"/>
      <c r="C17" s="156" t="s">
        <v>124</v>
      </c>
      <c r="D17" s="88" t="s">
        <v>125</v>
      </c>
      <c r="E17" s="88" t="s">
        <v>125</v>
      </c>
      <c r="F17" s="88" t="s">
        <v>125</v>
      </c>
      <c r="G17" s="88" t="s">
        <v>125</v>
      </c>
      <c r="H17" s="90" t="n">
        <v>0</v>
      </c>
      <c r="I17" s="90" t="n">
        <v>0</v>
      </c>
      <c r="J17" s="90" t="n">
        <v>0</v>
      </c>
      <c r="K17" s="90" t="n">
        <v>0</v>
      </c>
      <c r="L17" s="90" t="n">
        <v>0</v>
      </c>
      <c r="M17" s="91"/>
      <c r="N17" s="91"/>
      <c r="O17" s="91"/>
      <c r="P17" s="91"/>
    </row>
    <row r="18" s="75" customFormat="true" ht="15.75" hidden="true" customHeight="true" outlineLevel="0" collapsed="false">
      <c r="A18" s="155"/>
      <c r="B18" s="156"/>
      <c r="C18" s="156" t="s">
        <v>126</v>
      </c>
      <c r="D18" s="88" t="s">
        <v>125</v>
      </c>
      <c r="E18" s="88" t="s">
        <v>125</v>
      </c>
      <c r="F18" s="88" t="s">
        <v>125</v>
      </c>
      <c r="G18" s="88" t="s">
        <v>125</v>
      </c>
      <c r="H18" s="90" t="n">
        <v>0</v>
      </c>
      <c r="I18" s="90" t="n">
        <v>0</v>
      </c>
      <c r="J18" s="90" t="n">
        <v>0</v>
      </c>
      <c r="K18" s="90" t="n">
        <v>0</v>
      </c>
      <c r="L18" s="90" t="n">
        <v>0</v>
      </c>
      <c r="M18" s="91"/>
      <c r="N18" s="91"/>
      <c r="O18" s="91"/>
      <c r="P18" s="91"/>
    </row>
    <row r="19" s="75" customFormat="true" ht="15.75" hidden="false" customHeight="true" outlineLevel="0" collapsed="false">
      <c r="A19" s="155"/>
      <c r="B19" s="156"/>
      <c r="C19" s="156" t="s">
        <v>121</v>
      </c>
      <c r="D19" s="88" t="n">
        <v>150000</v>
      </c>
      <c r="E19" s="88" t="n">
        <v>165000</v>
      </c>
      <c r="F19" s="88" t="n">
        <v>214500</v>
      </c>
      <c r="G19" s="88" t="n">
        <v>278850</v>
      </c>
      <c r="H19" s="90" t="n">
        <f aca="false">Drivers!F99*$G$19/$G$20</f>
        <v>342588.963675486</v>
      </c>
      <c r="I19" s="90" t="n">
        <f aca="false">Drivers!G99*$G$19/$G$20</f>
        <v>429034.376898857</v>
      </c>
      <c r="J19" s="90" t="n">
        <f aca="false">Drivers!H99*$G$19/$G$20</f>
        <v>594002.272217065</v>
      </c>
      <c r="K19" s="90" t="n">
        <f aca="false">Drivers!I99*$G$19/$G$20</f>
        <v>761884.301063431</v>
      </c>
      <c r="L19" s="90" t="n">
        <f aca="false">Drivers!J99*$G$19/$G$20</f>
        <v>916373.221475972</v>
      </c>
      <c r="M19" s="91"/>
      <c r="N19" s="91"/>
      <c r="O19" s="91"/>
      <c r="P19" s="91"/>
    </row>
    <row r="20" s="75" customFormat="true" ht="24.75" hidden="false" customHeight="true" outlineLevel="0" collapsed="false">
      <c r="A20" s="155"/>
      <c r="B20" s="156"/>
      <c r="C20" s="160" t="s">
        <v>127</v>
      </c>
      <c r="D20" s="158" t="n">
        <v>1040000</v>
      </c>
      <c r="E20" s="158" t="n">
        <v>1233000</v>
      </c>
      <c r="F20" s="158" t="n">
        <v>1709700</v>
      </c>
      <c r="G20" s="158" t="n">
        <v>2073090</v>
      </c>
      <c r="H20" s="159" t="n">
        <f aca="false">SUBTOTAL(9,H15:H19)</f>
        <v>2546952.6795984</v>
      </c>
      <c r="I20" s="159" t="n">
        <f aca="false">SUBTOTAL(9,I15:I19)</f>
        <v>3189624.8033181</v>
      </c>
      <c r="J20" s="159" t="n">
        <f aca="false">SUBTOTAL(9,J15:J19)</f>
        <v>4416066.59677417</v>
      </c>
      <c r="K20" s="159" t="n">
        <f aca="false">SUBTOTAL(9,K15:K19)</f>
        <v>5664173.30353806</v>
      </c>
      <c r="L20" s="159" t="n">
        <f aca="false">SUBTOTAL(9,L15:L19)</f>
        <v>6812709.92185628</v>
      </c>
      <c r="M20" s="127"/>
      <c r="N20" s="127"/>
      <c r="O20" s="127"/>
      <c r="P20" s="127"/>
    </row>
    <row r="21" s="75" customFormat="true" ht="15.75" hidden="false" customHeight="true" outlineLevel="0" collapsed="false">
      <c r="A21" s="155"/>
      <c r="B21" s="156"/>
      <c r="C21" s="156"/>
      <c r="D21" s="96"/>
      <c r="E21" s="96"/>
      <c r="F21" s="96"/>
      <c r="G21" s="96"/>
      <c r="H21" s="97"/>
      <c r="I21" s="97"/>
      <c r="J21" s="97"/>
      <c r="K21" s="97"/>
      <c r="L21" s="97"/>
      <c r="M21" s="97"/>
      <c r="N21" s="97"/>
      <c r="O21" s="97"/>
      <c r="P21" s="97"/>
    </row>
    <row r="22" s="107" customFormat="true" ht="15.75" hidden="false" customHeight="true" outlineLevel="0" collapsed="false">
      <c r="A22" s="155"/>
      <c r="B22" s="155" t="s">
        <v>128</v>
      </c>
      <c r="C22" s="155"/>
      <c r="D22" s="119" t="n">
        <v>4785000</v>
      </c>
      <c r="E22" s="119" t="n">
        <v>5035988.8</v>
      </c>
      <c r="F22" s="119" t="n">
        <v>7981232.55</v>
      </c>
      <c r="G22" s="119" t="n">
        <v>10522851.7655</v>
      </c>
      <c r="H22" s="101" t="n">
        <f aca="false">SUBTOTAL(9,H5:H21)</f>
        <v>45979294.7800963</v>
      </c>
      <c r="I22" s="101" t="n">
        <f aca="false">SUBTOTAL(9,I5:I21)</f>
        <v>36621277.5672095</v>
      </c>
      <c r="J22" s="101" t="n">
        <f aca="false">SUBTOTAL(9,J5:J21)</f>
        <v>37934827.0458756</v>
      </c>
      <c r="K22" s="101" t="n">
        <f aca="false">SUBTOTAL(9,K5:K21)</f>
        <v>39734806.9998484</v>
      </c>
      <c r="L22" s="101" t="n">
        <f aca="false">SUBTOTAL(9,L5:L21)</f>
        <v>45533916.0993151</v>
      </c>
      <c r="M22" s="102"/>
      <c r="N22" s="102"/>
      <c r="O22" s="102"/>
      <c r="P22" s="102"/>
    </row>
    <row r="23" s="75" customFormat="true" ht="15.75" hidden="false" customHeight="true" outlineLevel="0" collapsed="false">
      <c r="A23" s="107"/>
      <c r="C23" s="161"/>
      <c r="D23" s="162" t="n">
        <v>0</v>
      </c>
      <c r="E23" s="162" t="n">
        <v>0</v>
      </c>
      <c r="F23" s="162" t="n">
        <v>0</v>
      </c>
      <c r="G23" s="162" t="n">
        <v>0</v>
      </c>
      <c r="H23" s="163"/>
      <c r="I23" s="163"/>
      <c r="J23" s="163"/>
      <c r="K23" s="163"/>
      <c r="L23" s="163"/>
      <c r="M23" s="163"/>
      <c r="N23" s="163"/>
      <c r="O23" s="163"/>
      <c r="P23" s="163"/>
    </row>
    <row r="24" s="75" customFormat="true" ht="15.75" hidden="false" customHeight="true" outlineLevel="0" collapsed="false">
      <c r="A24" s="155" t="s">
        <v>129</v>
      </c>
      <c r="B24" s="156"/>
      <c r="C24" s="156"/>
      <c r="D24" s="96"/>
      <c r="E24" s="96"/>
      <c r="F24" s="96"/>
      <c r="G24" s="96"/>
      <c r="H24" s="97"/>
      <c r="I24" s="97"/>
      <c r="J24" s="97"/>
      <c r="K24" s="97"/>
      <c r="L24" s="97"/>
      <c r="M24" s="97"/>
      <c r="N24" s="97"/>
      <c r="O24" s="97"/>
      <c r="P24" s="97"/>
    </row>
    <row r="25" s="75" customFormat="true" ht="15.75" hidden="false" customHeight="true" outlineLevel="0" collapsed="false">
      <c r="A25" s="155"/>
      <c r="B25" s="156" t="s">
        <v>130</v>
      </c>
      <c r="C25" s="156"/>
      <c r="D25" s="96"/>
      <c r="E25" s="96"/>
      <c r="F25" s="96"/>
      <c r="G25" s="96"/>
      <c r="H25" s="97"/>
      <c r="I25" s="97"/>
      <c r="J25" s="97"/>
      <c r="K25" s="97"/>
      <c r="L25" s="97"/>
      <c r="M25" s="97"/>
      <c r="N25" s="97"/>
      <c r="O25" s="97"/>
      <c r="P25" s="97"/>
    </row>
    <row r="26" s="75" customFormat="true" ht="15.75" hidden="false" customHeight="true" outlineLevel="0" collapsed="false">
      <c r="A26" s="155"/>
      <c r="B26" s="156"/>
      <c r="C26" s="156" t="s">
        <v>131</v>
      </c>
      <c r="D26" s="96" t="n">
        <v>2850000</v>
      </c>
      <c r="E26" s="96" t="n">
        <v>4282200</v>
      </c>
      <c r="F26" s="96" t="n">
        <v>6657480</v>
      </c>
      <c r="G26" s="96" t="n">
        <v>9789432</v>
      </c>
      <c r="H26" s="132" t="n">
        <f aca="false">G26+'Income Statement'!E71</f>
        <v>13531526.4</v>
      </c>
      <c r="I26" s="132" t="n">
        <f aca="false">H26+'Income Statement'!F71</f>
        <v>18801792.407759</v>
      </c>
      <c r="J26" s="132" t="n">
        <f aca="false">I26+'Income Statement'!G71</f>
        <v>30291826.7819884</v>
      </c>
      <c r="K26" s="132" t="n">
        <f aca="false">J26+'Income Statement'!H71</f>
        <v>43371645.1310564</v>
      </c>
      <c r="L26" s="132" t="n">
        <f aca="false">K26+'Income Statement'!I71</f>
        <v>58150715.4711859</v>
      </c>
      <c r="M26" s="97"/>
      <c r="N26" s="97"/>
      <c r="O26" s="97"/>
      <c r="P26" s="97"/>
    </row>
    <row r="27" s="75" customFormat="true" ht="15.75" hidden="true" customHeight="true" outlineLevel="0" collapsed="false">
      <c r="A27" s="155"/>
      <c r="B27" s="156"/>
      <c r="C27" s="156" t="s">
        <v>132</v>
      </c>
      <c r="D27" s="96" t="n">
        <v>0</v>
      </c>
      <c r="E27" s="96" t="n">
        <v>0</v>
      </c>
      <c r="F27" s="96" t="n">
        <v>0</v>
      </c>
      <c r="G27" s="96" t="n">
        <v>0</v>
      </c>
      <c r="H27" s="132" t="n">
        <f aca="false">G27+'Income Statement'!E72</f>
        <v>0</v>
      </c>
      <c r="I27" s="132" t="n">
        <f aca="false">H27+'Income Statement'!F72</f>
        <v>0</v>
      </c>
      <c r="J27" s="132" t="n">
        <f aca="false">I27+'Income Statement'!G72</f>
        <v>0</v>
      </c>
      <c r="K27" s="132" t="n">
        <f aca="false">J27+'Income Statement'!H72</f>
        <v>0</v>
      </c>
      <c r="L27" s="132" t="n">
        <f aca="false">K27+'Income Statement'!I72</f>
        <v>0</v>
      </c>
      <c r="M27" s="97"/>
      <c r="N27" s="97"/>
      <c r="O27" s="97"/>
      <c r="P27" s="97"/>
    </row>
    <row r="28" s="75" customFormat="true" ht="15.75" hidden="false" customHeight="true" outlineLevel="0" collapsed="false">
      <c r="A28" s="155"/>
      <c r="B28" s="156" t="s">
        <v>129</v>
      </c>
      <c r="C28" s="156"/>
      <c r="D28" s="96"/>
      <c r="E28" s="96"/>
      <c r="F28" s="96"/>
      <c r="G28" s="96"/>
      <c r="H28" s="97"/>
      <c r="I28" s="97"/>
      <c r="J28" s="97"/>
      <c r="K28" s="97"/>
      <c r="L28" s="97"/>
      <c r="M28" s="97"/>
      <c r="N28" s="97"/>
      <c r="O28" s="97"/>
      <c r="P28" s="97"/>
    </row>
    <row r="29" s="75" customFormat="true" ht="15.75" hidden="false" customHeight="true" outlineLevel="0" collapsed="false">
      <c r="A29" s="155"/>
      <c r="B29" s="156"/>
      <c r="C29" s="156" t="s">
        <v>133</v>
      </c>
      <c r="D29" s="88" t="n">
        <v>985000</v>
      </c>
      <c r="E29" s="88" t="n">
        <v>985000</v>
      </c>
      <c r="F29" s="88" t="n">
        <v>1020000</v>
      </c>
      <c r="G29" s="88" t="n">
        <v>1020000</v>
      </c>
      <c r="H29" s="90" t="n">
        <f aca="false">G29</f>
        <v>1020000</v>
      </c>
      <c r="I29" s="90" t="n">
        <f aca="false">H29</f>
        <v>1020000</v>
      </c>
      <c r="J29" s="90" t="n">
        <f aca="false">I29</f>
        <v>1020000</v>
      </c>
      <c r="K29" s="90" t="n">
        <f aca="false">J29</f>
        <v>1020000</v>
      </c>
      <c r="L29" s="90" t="n">
        <f aca="false">K29</f>
        <v>1020000</v>
      </c>
      <c r="M29" s="91"/>
      <c r="N29" s="91"/>
      <c r="O29" s="91"/>
      <c r="P29" s="91"/>
    </row>
    <row r="30" s="75" customFormat="true" ht="15.75" hidden="false" customHeight="true" outlineLevel="0" collapsed="false">
      <c r="A30" s="155"/>
      <c r="B30" s="156"/>
      <c r="C30" s="156" t="s">
        <v>134</v>
      </c>
      <c r="D30" s="88" t="n">
        <v>10220000</v>
      </c>
      <c r="E30" s="88" t="n">
        <v>13797000</v>
      </c>
      <c r="F30" s="88" t="n">
        <v>19315800</v>
      </c>
      <c r="G30" s="88" t="n">
        <v>21633696</v>
      </c>
      <c r="H30" s="89" t="n">
        <f aca="false">G30+Drivers!F85</f>
        <v>34368459.397992</v>
      </c>
      <c r="I30" s="89" t="n">
        <f aca="false">H30+Drivers!G85</f>
        <v>86199862.4519111</v>
      </c>
      <c r="J30" s="89" t="n">
        <f aca="false">I30+Drivers!H85</f>
        <v>99448062.2422336</v>
      </c>
      <c r="K30" s="89" t="n">
        <f aca="false">J30+Drivers!I85</f>
        <v>113608495.501079</v>
      </c>
      <c r="L30" s="89" t="n">
        <f aca="false">K30+Drivers!J85</f>
        <v>130640270.305719</v>
      </c>
      <c r="M30" s="94"/>
      <c r="N30" s="94"/>
      <c r="O30" s="94"/>
      <c r="P30" s="94"/>
    </row>
    <row r="31" s="75" customFormat="true" ht="15.75" hidden="false" customHeight="true" outlineLevel="0" collapsed="false">
      <c r="A31" s="155"/>
      <c r="B31" s="156"/>
      <c r="C31" s="156" t="s">
        <v>135</v>
      </c>
      <c r="D31" s="88" t="n">
        <v>3580000</v>
      </c>
      <c r="E31" s="88" t="n">
        <v>5012000</v>
      </c>
      <c r="F31" s="88" t="n">
        <v>5763800</v>
      </c>
      <c r="G31" s="88" t="n">
        <v>8530424</v>
      </c>
      <c r="H31" s="89" t="n">
        <f aca="false">G31</f>
        <v>8530424</v>
      </c>
      <c r="I31" s="89" t="n">
        <f aca="false">H31</f>
        <v>8530424</v>
      </c>
      <c r="J31" s="89" t="n">
        <f aca="false">I31</f>
        <v>8530424</v>
      </c>
      <c r="K31" s="89" t="n">
        <f aca="false">J31</f>
        <v>8530424</v>
      </c>
      <c r="L31" s="89" t="n">
        <f aca="false">K31</f>
        <v>8530424</v>
      </c>
      <c r="M31" s="94"/>
      <c r="N31" s="94"/>
      <c r="O31" s="94"/>
      <c r="P31" s="94"/>
    </row>
    <row r="32" s="75" customFormat="true" ht="15.75" hidden="false" customHeight="true" outlineLevel="0" collapsed="false">
      <c r="A32" s="155"/>
      <c r="B32" s="155" t="s">
        <v>136</v>
      </c>
      <c r="C32" s="156"/>
      <c r="D32" s="158" t="n">
        <v>11935000</v>
      </c>
      <c r="E32" s="158" t="n">
        <v>15511800</v>
      </c>
      <c r="F32" s="158" t="n">
        <v>19442120</v>
      </c>
      <c r="G32" s="158" t="n">
        <v>21394688</v>
      </c>
      <c r="H32" s="159" t="n">
        <f aca="false">SUM(H29:H31)-H26-H27</f>
        <v>30387356.997992</v>
      </c>
      <c r="I32" s="159" t="n">
        <f aca="false">SUM(I29:I31)-I26-I27</f>
        <v>76948494.0441521</v>
      </c>
      <c r="J32" s="159" t="n">
        <f aca="false">SUM(J29:J31)-J26-J27</f>
        <v>78706659.4602453</v>
      </c>
      <c r="K32" s="159" t="n">
        <f aca="false">SUM(K29:K31)-K26-K27</f>
        <v>79787274.3700223</v>
      </c>
      <c r="L32" s="159" t="n">
        <f aca="false">SUM(L29:L31)-L26-L27</f>
        <v>82039978.8345336</v>
      </c>
      <c r="M32" s="127"/>
      <c r="N32" s="127"/>
      <c r="O32" s="127"/>
      <c r="P32" s="127"/>
    </row>
    <row r="33" s="75" customFormat="true" ht="15.75" hidden="false" customHeight="true" outlineLevel="0" collapsed="false">
      <c r="A33" s="107"/>
      <c r="D33" s="96"/>
      <c r="E33" s="96"/>
      <c r="F33" s="96"/>
      <c r="G33" s="96"/>
      <c r="H33" s="97"/>
      <c r="I33" s="97"/>
      <c r="J33" s="97"/>
      <c r="K33" s="97"/>
      <c r="L33" s="97"/>
      <c r="M33" s="97"/>
      <c r="N33" s="97"/>
      <c r="O33" s="97"/>
      <c r="P33" s="97"/>
    </row>
    <row r="34" s="75" customFormat="true" ht="15.75" hidden="false" customHeight="true" outlineLevel="0" collapsed="false">
      <c r="A34" s="164" t="s">
        <v>137</v>
      </c>
      <c r="B34" s="165"/>
      <c r="C34" s="165"/>
      <c r="D34" s="166" t="n">
        <v>16720000</v>
      </c>
      <c r="E34" s="166" t="n">
        <v>20547788.8</v>
      </c>
      <c r="F34" s="166" t="n">
        <v>27423352.55</v>
      </c>
      <c r="G34" s="166" t="n">
        <v>31917539.7655</v>
      </c>
      <c r="H34" s="167" t="n">
        <f aca="false">H22+H32</f>
        <v>76366651.7780883</v>
      </c>
      <c r="I34" s="167" t="n">
        <f aca="false">I22+I32</f>
        <v>113569771.611362</v>
      </c>
      <c r="J34" s="167" t="n">
        <f aca="false">J22+J32</f>
        <v>116641486.506121</v>
      </c>
      <c r="K34" s="167" t="n">
        <f aca="false">K22+K32</f>
        <v>119522081.369871</v>
      </c>
      <c r="L34" s="167" t="n">
        <f aca="false">L22+L32</f>
        <v>127573894.933849</v>
      </c>
      <c r="M34" s="168"/>
      <c r="N34" s="168"/>
      <c r="O34" s="168"/>
      <c r="P34" s="168"/>
      <c r="Q34" s="107"/>
    </row>
    <row r="35" s="75" customFormat="true" ht="15.75" hidden="false" customHeight="true" outlineLevel="0" collapsed="false">
      <c r="A35" s="107"/>
      <c r="C35" s="161"/>
      <c r="D35" s="162" t="n">
        <v>0</v>
      </c>
      <c r="E35" s="162" t="n">
        <v>0</v>
      </c>
      <c r="F35" s="162" t="n">
        <v>0</v>
      </c>
      <c r="G35" s="162" t="n">
        <v>0</v>
      </c>
      <c r="H35" s="163"/>
      <c r="I35" s="163"/>
      <c r="J35" s="163"/>
      <c r="K35" s="163"/>
      <c r="L35" s="163"/>
      <c r="M35" s="163"/>
      <c r="N35" s="163"/>
      <c r="O35" s="163"/>
      <c r="P35" s="163"/>
    </row>
    <row r="36" s="75" customFormat="true" ht="15.75" hidden="false" customHeight="true" outlineLevel="0" collapsed="false">
      <c r="A36" s="169"/>
      <c r="B36" s="170"/>
      <c r="C36" s="171"/>
      <c r="D36" s="172"/>
      <c r="E36" s="172"/>
      <c r="F36" s="172"/>
      <c r="G36" s="172"/>
      <c r="H36" s="173"/>
      <c r="I36" s="173"/>
      <c r="J36" s="173"/>
      <c r="K36" s="173"/>
      <c r="L36" s="173"/>
      <c r="M36" s="163"/>
      <c r="N36" s="163"/>
      <c r="O36" s="163"/>
      <c r="P36" s="163"/>
    </row>
    <row r="37" s="75" customFormat="true" ht="15.75" hidden="false" customHeight="true" outlineLevel="0" collapsed="false">
      <c r="A37" s="155" t="s">
        <v>138</v>
      </c>
      <c r="B37" s="156"/>
      <c r="C37" s="156"/>
      <c r="D37" s="96"/>
      <c r="E37" s="96"/>
      <c r="F37" s="96"/>
      <c r="G37" s="96"/>
      <c r="H37" s="97"/>
      <c r="I37" s="97"/>
      <c r="J37" s="97"/>
      <c r="K37" s="97"/>
      <c r="L37" s="97"/>
      <c r="M37" s="97"/>
      <c r="N37" s="97"/>
      <c r="O37" s="97"/>
      <c r="P37" s="97"/>
    </row>
    <row r="38" s="75" customFormat="true" ht="15.75" hidden="false" customHeight="true" outlineLevel="0" collapsed="false">
      <c r="A38" s="155" t="s">
        <v>139</v>
      </c>
      <c r="B38" s="156"/>
      <c r="C38" s="156"/>
      <c r="D38" s="96"/>
      <c r="E38" s="96"/>
      <c r="F38" s="96"/>
      <c r="G38" s="96"/>
      <c r="H38" s="97"/>
      <c r="I38" s="97"/>
      <c r="J38" s="97"/>
      <c r="K38" s="97"/>
      <c r="L38" s="97"/>
      <c r="M38" s="97"/>
      <c r="N38" s="97"/>
      <c r="O38" s="97"/>
      <c r="P38" s="97"/>
    </row>
    <row r="39" s="75" customFormat="true" ht="15.75" hidden="false" customHeight="true" outlineLevel="0" collapsed="false">
      <c r="A39" s="155"/>
      <c r="B39" s="156" t="s">
        <v>140</v>
      </c>
      <c r="C39" s="156"/>
      <c r="D39" s="96"/>
      <c r="E39" s="96"/>
      <c r="F39" s="96"/>
      <c r="G39" s="96"/>
      <c r="H39" s="97"/>
      <c r="I39" s="97"/>
      <c r="J39" s="97"/>
      <c r="K39" s="97"/>
      <c r="L39" s="97"/>
      <c r="M39" s="97"/>
      <c r="N39" s="97"/>
      <c r="O39" s="97"/>
      <c r="P39" s="97"/>
    </row>
    <row r="40" s="75" customFormat="true" ht="15.75" hidden="false" customHeight="true" outlineLevel="0" collapsed="false">
      <c r="A40" s="155"/>
      <c r="B40" s="156"/>
      <c r="C40" s="156" t="s">
        <v>141</v>
      </c>
      <c r="D40" s="88" t="n">
        <v>120000</v>
      </c>
      <c r="E40" s="88" t="n">
        <v>156000</v>
      </c>
      <c r="F40" s="88" t="n">
        <v>202800</v>
      </c>
      <c r="G40" s="88" t="n">
        <v>263640</v>
      </c>
      <c r="H40" s="90" t="n">
        <f aca="false">Drivers!F101</f>
        <v>474593.404040822</v>
      </c>
      <c r="I40" s="90" t="n">
        <f aca="false">Drivers!G101</f>
        <v>719292.612202287</v>
      </c>
      <c r="J40" s="90" t="n">
        <f aca="false">Drivers!H101</f>
        <v>1331816.61280379</v>
      </c>
      <c r="K40" s="90" t="n">
        <f aca="false">Drivers!I101</f>
        <v>1659622.39688793</v>
      </c>
      <c r="L40" s="90" t="n">
        <f aca="false">Drivers!J101</f>
        <v>2019069.39094643</v>
      </c>
      <c r="M40" s="91"/>
      <c r="N40" s="91"/>
      <c r="O40" s="91"/>
      <c r="P40" s="91"/>
    </row>
    <row r="41" s="75" customFormat="true" ht="15.75" hidden="false" customHeight="true" outlineLevel="0" collapsed="false">
      <c r="A41" s="155"/>
      <c r="B41" s="156"/>
      <c r="C41" s="155" t="s">
        <v>142</v>
      </c>
      <c r="D41" s="158" t="n">
        <v>120000</v>
      </c>
      <c r="E41" s="158" t="n">
        <v>156000</v>
      </c>
      <c r="F41" s="158" t="n">
        <v>202800</v>
      </c>
      <c r="G41" s="158" t="n">
        <v>263640</v>
      </c>
      <c r="H41" s="159" t="n">
        <f aca="false">SUBTOTAL(9, H40)</f>
        <v>474593.404040822</v>
      </c>
      <c r="I41" s="159" t="n">
        <f aca="false">SUBTOTAL(9, I40)</f>
        <v>719292.612202287</v>
      </c>
      <c r="J41" s="159" t="n">
        <f aca="false">SUBTOTAL(9, J40)</f>
        <v>1331816.61280379</v>
      </c>
      <c r="K41" s="159" t="n">
        <f aca="false">SUBTOTAL(9, K40)</f>
        <v>1659622.39688793</v>
      </c>
      <c r="L41" s="159" t="n">
        <f aca="false">SUBTOTAL(9, L40)</f>
        <v>2019069.39094643</v>
      </c>
      <c r="M41" s="127"/>
      <c r="N41" s="127"/>
      <c r="O41" s="127"/>
      <c r="P41" s="127"/>
    </row>
    <row r="42" s="75" customFormat="true" ht="15.75" hidden="true" customHeight="true" outlineLevel="0" collapsed="false">
      <c r="A42" s="107"/>
      <c r="B42" s="75" t="s">
        <v>143</v>
      </c>
      <c r="D42" s="96"/>
      <c r="E42" s="96"/>
      <c r="F42" s="96"/>
      <c r="G42" s="96"/>
      <c r="H42" s="97"/>
      <c r="I42" s="97"/>
      <c r="J42" s="97"/>
      <c r="K42" s="97"/>
      <c r="L42" s="97"/>
      <c r="M42" s="97"/>
      <c r="N42" s="97"/>
      <c r="O42" s="97"/>
      <c r="P42" s="97"/>
    </row>
    <row r="43" s="75" customFormat="true" ht="12" hidden="true" customHeight="true" outlineLevel="0" collapsed="false">
      <c r="A43" s="107"/>
      <c r="C43" s="75" t="s">
        <v>144</v>
      </c>
      <c r="D43" s="88" t="n">
        <v>0</v>
      </c>
      <c r="E43" s="88" t="n">
        <v>0</v>
      </c>
      <c r="F43" s="88" t="n">
        <v>0</v>
      </c>
      <c r="G43" s="88" t="n">
        <v>0</v>
      </c>
      <c r="H43" s="89" t="n">
        <v>0</v>
      </c>
      <c r="I43" s="89" t="n">
        <v>0</v>
      </c>
      <c r="J43" s="89" t="n">
        <v>0</v>
      </c>
      <c r="K43" s="89" t="n">
        <v>0</v>
      </c>
      <c r="L43" s="89" t="n">
        <v>0</v>
      </c>
      <c r="M43" s="94"/>
      <c r="N43" s="94"/>
      <c r="O43" s="94"/>
      <c r="P43" s="94"/>
    </row>
    <row r="44" s="75" customFormat="true" ht="12" hidden="true" customHeight="true" outlineLevel="0" collapsed="false">
      <c r="A44" s="107"/>
      <c r="C44" s="75" t="s">
        <v>145</v>
      </c>
      <c r="D44" s="88" t="n">
        <v>0</v>
      </c>
      <c r="E44" s="88" t="n">
        <v>0</v>
      </c>
      <c r="F44" s="88" t="n">
        <v>0</v>
      </c>
      <c r="G44" s="88" t="n">
        <v>0</v>
      </c>
      <c r="H44" s="89" t="n">
        <v>0</v>
      </c>
      <c r="I44" s="89" t="n">
        <v>0</v>
      </c>
      <c r="J44" s="89" t="n">
        <v>0</v>
      </c>
      <c r="K44" s="89" t="n">
        <v>0</v>
      </c>
      <c r="L44" s="89" t="n">
        <v>0</v>
      </c>
      <c r="M44" s="94"/>
      <c r="N44" s="94"/>
      <c r="O44" s="94"/>
      <c r="P44" s="94"/>
    </row>
    <row r="45" s="75" customFormat="true" ht="12" hidden="true" customHeight="true" outlineLevel="0" collapsed="false">
      <c r="A45" s="107"/>
      <c r="C45" s="107" t="s">
        <v>146</v>
      </c>
      <c r="D45" s="158" t="n">
        <v>0</v>
      </c>
      <c r="E45" s="158" t="n">
        <v>0</v>
      </c>
      <c r="F45" s="158" t="n">
        <v>0</v>
      </c>
      <c r="G45" s="158" t="n">
        <v>0</v>
      </c>
      <c r="H45" s="159" t="n">
        <f aca="false">SUBTOTAL(9,H43:H44)</f>
        <v>0</v>
      </c>
      <c r="I45" s="159" t="n">
        <f aca="false">SUBTOTAL(9,I43:I44)</f>
        <v>0</v>
      </c>
      <c r="J45" s="159" t="n">
        <f aca="false">SUBTOTAL(9,J43:J44)</f>
        <v>0</v>
      </c>
      <c r="K45" s="159" t="n">
        <f aca="false">SUBTOTAL(9,K43:K44)</f>
        <v>0</v>
      </c>
      <c r="L45" s="159" t="n">
        <f aca="false">SUBTOTAL(9,L43:L44)</f>
        <v>0</v>
      </c>
      <c r="M45" s="127"/>
      <c r="N45" s="127"/>
      <c r="O45" s="127"/>
      <c r="P45" s="127"/>
    </row>
    <row r="46" s="75" customFormat="true" ht="15.75" hidden="false" customHeight="true" outlineLevel="0" collapsed="false">
      <c r="A46" s="107"/>
      <c r="B46" s="156" t="s">
        <v>147</v>
      </c>
      <c r="C46" s="156"/>
      <c r="D46" s="96"/>
      <c r="E46" s="96"/>
      <c r="F46" s="96"/>
      <c r="G46" s="96"/>
      <c r="H46" s="97"/>
      <c r="I46" s="97"/>
      <c r="J46" s="97"/>
      <c r="K46" s="97"/>
      <c r="L46" s="97"/>
      <c r="M46" s="97"/>
      <c r="N46" s="97"/>
      <c r="O46" s="97"/>
      <c r="P46" s="97"/>
    </row>
    <row r="47" s="75" customFormat="true" ht="15.75" hidden="false" customHeight="true" outlineLevel="0" collapsed="false">
      <c r="A47" s="107"/>
      <c r="B47" s="156"/>
      <c r="C47" s="156" t="s">
        <v>148</v>
      </c>
      <c r="D47" s="88" t="n">
        <v>100000</v>
      </c>
      <c r="E47" s="88" t="n">
        <v>90000</v>
      </c>
      <c r="F47" s="88" t="n">
        <v>108000</v>
      </c>
      <c r="G47" s="88" t="n">
        <v>102600</v>
      </c>
      <c r="H47" s="90" t="n">
        <f aca="false">Drivers!F111</f>
        <v>102600</v>
      </c>
      <c r="I47" s="90" t="n">
        <f aca="false">Drivers!G111</f>
        <v>102600</v>
      </c>
      <c r="J47" s="90" t="n">
        <f aca="false">Drivers!H111</f>
        <v>102600</v>
      </c>
      <c r="K47" s="90" t="n">
        <f aca="false">Drivers!I111</f>
        <v>102600</v>
      </c>
      <c r="L47" s="90" t="n">
        <f aca="false">Drivers!J111</f>
        <v>102600</v>
      </c>
      <c r="M47" s="91"/>
      <c r="N47" s="91"/>
      <c r="O47" s="91"/>
      <c r="P47" s="91"/>
    </row>
    <row r="48" s="75" customFormat="true" ht="15.75" hidden="false" customHeight="true" outlineLevel="0" collapsed="false">
      <c r="A48" s="107"/>
      <c r="C48" s="155" t="s">
        <v>149</v>
      </c>
      <c r="D48" s="158" t="n">
        <v>100000</v>
      </c>
      <c r="E48" s="158" t="n">
        <v>90000</v>
      </c>
      <c r="F48" s="158" t="n">
        <v>108000</v>
      </c>
      <c r="G48" s="158" t="n">
        <v>102600</v>
      </c>
      <c r="H48" s="159" t="n">
        <f aca="false">SUBTOTAL(9,H47:H47)</f>
        <v>102600</v>
      </c>
      <c r="I48" s="159" t="n">
        <f aca="false">SUBTOTAL(9,I47:I47)</f>
        <v>102600</v>
      </c>
      <c r="J48" s="159" t="n">
        <f aca="false">SUBTOTAL(9,J47:J47)</f>
        <v>102600</v>
      </c>
      <c r="K48" s="159" t="n">
        <f aca="false">SUBTOTAL(9,K47:K47)</f>
        <v>102600</v>
      </c>
      <c r="L48" s="159" t="n">
        <f aca="false">SUBTOTAL(9,L47:L47)</f>
        <v>102600</v>
      </c>
      <c r="M48" s="127"/>
      <c r="N48" s="127"/>
      <c r="O48" s="127"/>
      <c r="P48" s="127"/>
    </row>
    <row r="49" s="75" customFormat="true" ht="15.75" hidden="true" customHeight="true" outlineLevel="0" collapsed="false">
      <c r="A49" s="107"/>
      <c r="B49" s="75" t="s">
        <v>150</v>
      </c>
      <c r="D49" s="96"/>
      <c r="E49" s="96"/>
      <c r="F49" s="96"/>
      <c r="G49" s="96"/>
      <c r="H49" s="97"/>
      <c r="I49" s="97"/>
      <c r="J49" s="97"/>
      <c r="K49" s="97"/>
      <c r="L49" s="97"/>
      <c r="M49" s="97"/>
      <c r="N49" s="97"/>
      <c r="O49" s="97"/>
      <c r="P49" s="97"/>
    </row>
    <row r="50" s="75" customFormat="true" ht="15.75" hidden="true" customHeight="true" outlineLevel="0" collapsed="false">
      <c r="A50" s="107"/>
      <c r="C50" s="75" t="s">
        <v>151</v>
      </c>
      <c r="D50" s="88" t="n">
        <v>0</v>
      </c>
      <c r="E50" s="88" t="n">
        <v>0</v>
      </c>
      <c r="F50" s="88" t="n">
        <v>0</v>
      </c>
      <c r="G50" s="88" t="n">
        <v>0</v>
      </c>
      <c r="H50" s="90" t="n">
        <v>0</v>
      </c>
      <c r="I50" s="90" t="n">
        <v>0</v>
      </c>
      <c r="J50" s="90" t="n">
        <v>0</v>
      </c>
      <c r="K50" s="90" t="n">
        <v>0</v>
      </c>
      <c r="L50" s="90" t="n">
        <v>0</v>
      </c>
      <c r="M50" s="91"/>
      <c r="N50" s="91"/>
      <c r="O50" s="91"/>
      <c r="P50" s="91"/>
    </row>
    <row r="51" s="75" customFormat="true" ht="15.75" hidden="true" customHeight="true" outlineLevel="0" collapsed="false">
      <c r="A51" s="107"/>
      <c r="C51" s="107" t="s">
        <v>152</v>
      </c>
      <c r="D51" s="158" t="n">
        <v>0</v>
      </c>
      <c r="E51" s="158" t="n">
        <v>0</v>
      </c>
      <c r="F51" s="158" t="n">
        <v>0</v>
      </c>
      <c r="G51" s="158" t="n">
        <v>0</v>
      </c>
      <c r="H51" s="159" t="n">
        <f aca="false">SUBTOTAL(9, H50)</f>
        <v>0</v>
      </c>
      <c r="I51" s="159" t="n">
        <f aca="false">SUBTOTAL(9, I50)</f>
        <v>0</v>
      </c>
      <c r="J51" s="159" t="n">
        <f aca="false">SUBTOTAL(9, J50)</f>
        <v>0</v>
      </c>
      <c r="K51" s="159" t="n">
        <f aca="false">SUBTOTAL(9, K50)</f>
        <v>0</v>
      </c>
      <c r="L51" s="159" t="n">
        <f aca="false">SUBTOTAL(9, L50)</f>
        <v>0</v>
      </c>
      <c r="M51" s="127"/>
      <c r="N51" s="127"/>
      <c r="O51" s="127"/>
      <c r="P51" s="127"/>
    </row>
    <row r="52" s="75" customFormat="true" ht="15.75" hidden="false" customHeight="true" outlineLevel="0" collapsed="false">
      <c r="A52" s="107"/>
      <c r="B52" s="156" t="s">
        <v>153</v>
      </c>
      <c r="D52" s="96"/>
      <c r="E52" s="96"/>
      <c r="F52" s="96"/>
      <c r="G52" s="96"/>
      <c r="H52" s="97"/>
      <c r="I52" s="97"/>
      <c r="J52" s="97"/>
      <c r="K52" s="97"/>
      <c r="L52" s="97"/>
      <c r="M52" s="97"/>
      <c r="N52" s="97"/>
      <c r="O52" s="97"/>
      <c r="P52" s="97"/>
    </row>
    <row r="53" s="75" customFormat="true" ht="15.75" hidden="true" customHeight="true" outlineLevel="0" collapsed="false">
      <c r="A53" s="107"/>
      <c r="C53" s="75" t="s">
        <v>154</v>
      </c>
      <c r="D53" s="88" t="n">
        <v>0</v>
      </c>
      <c r="E53" s="88" t="n">
        <v>0</v>
      </c>
      <c r="F53" s="88" t="n">
        <v>0</v>
      </c>
      <c r="G53" s="88" t="n">
        <v>0</v>
      </c>
      <c r="H53" s="90" t="n">
        <v>0</v>
      </c>
      <c r="I53" s="90" t="n">
        <v>0</v>
      </c>
      <c r="J53" s="90" t="n">
        <v>0</v>
      </c>
      <c r="K53" s="90" t="n">
        <v>0</v>
      </c>
      <c r="L53" s="90" t="n">
        <v>0</v>
      </c>
      <c r="M53" s="91"/>
      <c r="N53" s="91"/>
      <c r="O53" s="91"/>
      <c r="P53" s="91"/>
    </row>
    <row r="54" s="75" customFormat="true" ht="15.75" hidden="true" customHeight="true" outlineLevel="0" collapsed="false">
      <c r="A54" s="107"/>
      <c r="C54" s="75" t="s">
        <v>155</v>
      </c>
      <c r="D54" s="88" t="n">
        <v>0</v>
      </c>
      <c r="E54" s="88" t="n">
        <v>0</v>
      </c>
      <c r="F54" s="88" t="n">
        <v>0</v>
      </c>
      <c r="G54" s="88" t="n">
        <v>0</v>
      </c>
      <c r="H54" s="90" t="n">
        <v>0</v>
      </c>
      <c r="I54" s="90" t="n">
        <v>0</v>
      </c>
      <c r="J54" s="90" t="n">
        <v>0</v>
      </c>
      <c r="K54" s="90" t="n">
        <v>0</v>
      </c>
      <c r="L54" s="90" t="n">
        <v>0</v>
      </c>
      <c r="M54" s="91"/>
      <c r="N54" s="91"/>
      <c r="O54" s="91"/>
      <c r="P54" s="91"/>
    </row>
    <row r="55" s="75" customFormat="true" ht="15.75" hidden="false" customHeight="true" outlineLevel="0" collapsed="false">
      <c r="A55" s="107"/>
      <c r="C55" s="156" t="s">
        <v>153</v>
      </c>
      <c r="D55" s="88" t="n">
        <v>36000</v>
      </c>
      <c r="E55" s="88" t="n">
        <v>46800</v>
      </c>
      <c r="F55" s="88" t="n">
        <v>60840</v>
      </c>
      <c r="G55" s="88" t="n">
        <v>79092</v>
      </c>
      <c r="H55" s="90" t="n">
        <f aca="false">Drivers!F103</f>
        <v>127347.63397992</v>
      </c>
      <c r="I55" s="90" t="n">
        <f aca="false">Drivers!G103</f>
        <v>159481.240165905</v>
      </c>
      <c r="J55" s="90" t="n">
        <f aca="false">Drivers!H103</f>
        <v>220803.329838708</v>
      </c>
      <c r="K55" s="90" t="n">
        <f aca="false">Drivers!I103</f>
        <v>283208.665176903</v>
      </c>
      <c r="L55" s="90" t="n">
        <f aca="false">Drivers!J103</f>
        <v>340635.496092814</v>
      </c>
      <c r="M55" s="91"/>
      <c r="N55" s="91"/>
      <c r="O55" s="91"/>
      <c r="P55" s="91"/>
    </row>
    <row r="56" s="75" customFormat="true" ht="24.75" hidden="false" customHeight="true" outlineLevel="0" collapsed="false">
      <c r="A56" s="107"/>
      <c r="C56" s="160" t="s">
        <v>156</v>
      </c>
      <c r="D56" s="158" t="n">
        <v>36000</v>
      </c>
      <c r="E56" s="158" t="n">
        <v>46800</v>
      </c>
      <c r="F56" s="158" t="n">
        <v>60840</v>
      </c>
      <c r="G56" s="158" t="n">
        <v>79092</v>
      </c>
      <c r="H56" s="159" t="n">
        <f aca="false">SUBTOTAL(9,H53:H55)</f>
        <v>127347.63397992</v>
      </c>
      <c r="I56" s="159" t="n">
        <f aca="false">SUBTOTAL(9,I53:I55)</f>
        <v>159481.240165905</v>
      </c>
      <c r="J56" s="159" t="n">
        <f aca="false">SUBTOTAL(9,J53:J55)</f>
        <v>220803.329838708</v>
      </c>
      <c r="K56" s="159" t="n">
        <f aca="false">SUBTOTAL(9,K53:K55)</f>
        <v>283208.665176903</v>
      </c>
      <c r="L56" s="159" t="n">
        <f aca="false">SUBTOTAL(9,L53:L55)</f>
        <v>340635.496092814</v>
      </c>
      <c r="M56" s="127"/>
      <c r="N56" s="127"/>
      <c r="O56" s="127"/>
      <c r="P56" s="127"/>
    </row>
    <row r="57" s="75" customFormat="true" ht="15.75" hidden="false" customHeight="true" outlineLevel="0" collapsed="false">
      <c r="A57" s="107"/>
      <c r="D57" s="96"/>
      <c r="E57" s="96"/>
      <c r="F57" s="96"/>
      <c r="G57" s="96"/>
      <c r="H57" s="97"/>
      <c r="I57" s="97"/>
      <c r="J57" s="97"/>
      <c r="K57" s="97"/>
      <c r="L57" s="97"/>
      <c r="M57" s="97"/>
      <c r="N57" s="97"/>
      <c r="O57" s="97"/>
      <c r="P57" s="97"/>
    </row>
    <row r="58" s="107" customFormat="true" ht="15.75" hidden="false" customHeight="true" outlineLevel="0" collapsed="false">
      <c r="B58" s="155" t="s">
        <v>157</v>
      </c>
      <c r="D58" s="119" t="n">
        <v>256000</v>
      </c>
      <c r="E58" s="119" t="n">
        <v>292800</v>
      </c>
      <c r="F58" s="119" t="n">
        <v>371640</v>
      </c>
      <c r="G58" s="119" t="n">
        <v>445332</v>
      </c>
      <c r="H58" s="101" t="n">
        <f aca="false">SUBTOTAL(9,H40:H56)</f>
        <v>704541.038020742</v>
      </c>
      <c r="I58" s="101" t="n">
        <f aca="false">SUBTOTAL(9,I40:I56)</f>
        <v>981373.852368192</v>
      </c>
      <c r="J58" s="101" t="n">
        <f aca="false">SUBTOTAL(9,J40:J56)</f>
        <v>1655219.9426425</v>
      </c>
      <c r="K58" s="101" t="n">
        <f aca="false">SUBTOTAL(9,K40:K56)</f>
        <v>2045431.06206483</v>
      </c>
      <c r="L58" s="101" t="n">
        <f aca="false">SUBTOTAL(9,L40:L56)</f>
        <v>2462304.88703925</v>
      </c>
      <c r="M58" s="102"/>
      <c r="N58" s="102"/>
      <c r="O58" s="102"/>
      <c r="P58" s="102"/>
    </row>
    <row r="59" s="75" customFormat="true" ht="15.75" hidden="false" customHeight="true" outlineLevel="0" collapsed="false">
      <c r="A59" s="107"/>
      <c r="C59" s="161"/>
      <c r="D59" s="162" t="n">
        <v>0</v>
      </c>
      <c r="E59" s="162" t="n">
        <v>0</v>
      </c>
      <c r="F59" s="162" t="n">
        <v>0</v>
      </c>
      <c r="G59" s="162" t="n">
        <v>0</v>
      </c>
      <c r="H59" s="163"/>
      <c r="I59" s="163"/>
      <c r="J59" s="163"/>
      <c r="K59" s="163"/>
      <c r="L59" s="163"/>
      <c r="M59" s="163"/>
      <c r="N59" s="163"/>
      <c r="O59" s="163"/>
      <c r="P59" s="163"/>
    </row>
    <row r="60" s="75" customFormat="true" ht="15.75" hidden="false" customHeight="true" outlineLevel="0" collapsed="false">
      <c r="A60" s="155" t="s">
        <v>158</v>
      </c>
      <c r="B60" s="156"/>
      <c r="C60" s="156"/>
      <c r="D60" s="96"/>
      <c r="E60" s="96"/>
      <c r="F60" s="96"/>
      <c r="G60" s="96"/>
      <c r="H60" s="97"/>
      <c r="I60" s="97"/>
      <c r="J60" s="97"/>
      <c r="K60" s="97"/>
      <c r="L60" s="97"/>
      <c r="M60" s="97"/>
      <c r="N60" s="97"/>
      <c r="O60" s="97"/>
      <c r="P60" s="97"/>
    </row>
    <row r="61" s="75" customFormat="true" ht="15.75" hidden="false" customHeight="true" outlineLevel="0" collapsed="false">
      <c r="A61" s="155"/>
      <c r="B61" s="156"/>
      <c r="C61" s="156" t="s">
        <v>159</v>
      </c>
      <c r="D61" s="96" t="n">
        <v>1200000</v>
      </c>
      <c r="E61" s="96" t="n">
        <v>1200000</v>
      </c>
      <c r="F61" s="174" t="n">
        <v>1500000</v>
      </c>
      <c r="G61" s="96" t="n">
        <v>1500000</v>
      </c>
      <c r="H61" s="132" t="n">
        <f aca="false">Drivers!F117</f>
        <v>1500000</v>
      </c>
      <c r="I61" s="132" t="n">
        <f aca="false">Drivers!G117</f>
        <v>32598841.8323515</v>
      </c>
      <c r="J61" s="132" t="n">
        <f aca="false">Drivers!H117</f>
        <v>32598841.8323515</v>
      </c>
      <c r="K61" s="132" t="n">
        <f aca="false">Drivers!I117</f>
        <v>26379073.4658812</v>
      </c>
      <c r="L61" s="132" t="n">
        <f aca="false">Drivers!J117</f>
        <v>20159305.0994109</v>
      </c>
      <c r="M61" s="97"/>
      <c r="N61" s="97"/>
      <c r="O61" s="97"/>
      <c r="P61" s="97"/>
    </row>
    <row r="62" s="75" customFormat="true" ht="12" hidden="true" customHeight="true" outlineLevel="0" collapsed="false">
      <c r="A62" s="107"/>
      <c r="C62" s="75" t="s">
        <v>160</v>
      </c>
      <c r="D62" s="96" t="n">
        <v>0</v>
      </c>
      <c r="E62" s="96" t="n">
        <v>0</v>
      </c>
      <c r="F62" s="96" t="n">
        <v>0</v>
      </c>
      <c r="G62" s="96" t="n">
        <v>0</v>
      </c>
      <c r="H62" s="132" t="n">
        <v>0</v>
      </c>
      <c r="I62" s="132" t="n">
        <v>0</v>
      </c>
      <c r="J62" s="132" t="n">
        <v>0</v>
      </c>
      <c r="K62" s="132" t="n">
        <v>0</v>
      </c>
      <c r="L62" s="132" t="n">
        <v>0</v>
      </c>
      <c r="M62" s="97"/>
      <c r="N62" s="97"/>
      <c r="O62" s="97"/>
      <c r="P62" s="97"/>
    </row>
    <row r="63" s="75" customFormat="true" ht="15.75" hidden="false" customHeight="true" outlineLevel="0" collapsed="false">
      <c r="A63" s="107"/>
      <c r="B63" s="156"/>
      <c r="C63" s="156" t="s">
        <v>161</v>
      </c>
      <c r="D63" s="96" t="n">
        <v>0</v>
      </c>
      <c r="E63" s="96" t="n">
        <v>0</v>
      </c>
      <c r="F63" s="96" t="n">
        <v>0</v>
      </c>
      <c r="G63" s="96" t="n">
        <v>0</v>
      </c>
      <c r="H63" s="131" t="n">
        <v>0</v>
      </c>
      <c r="I63" s="131" t="n">
        <v>0</v>
      </c>
      <c r="J63" s="131" t="n">
        <v>0</v>
      </c>
      <c r="K63" s="131" t="n">
        <v>0</v>
      </c>
      <c r="L63" s="131" t="n">
        <v>0</v>
      </c>
      <c r="M63" s="96"/>
      <c r="N63" s="96"/>
      <c r="O63" s="96"/>
      <c r="P63" s="96"/>
    </row>
    <row r="64" s="107" customFormat="true" ht="15.75" hidden="false" customHeight="true" outlineLevel="0" collapsed="false">
      <c r="B64" s="155" t="s">
        <v>162</v>
      </c>
      <c r="C64" s="155"/>
      <c r="D64" s="119" t="n">
        <v>1200000</v>
      </c>
      <c r="E64" s="119" t="n">
        <v>1200000</v>
      </c>
      <c r="F64" s="119" t="n">
        <v>1500000</v>
      </c>
      <c r="G64" s="119" t="n">
        <v>1500000</v>
      </c>
      <c r="H64" s="101" t="n">
        <f aca="false">SUBTOTAL(9,H61:H63)</f>
        <v>1500000</v>
      </c>
      <c r="I64" s="101" t="n">
        <f aca="false">SUBTOTAL(9,I61:I63)</f>
        <v>32598841.8323515</v>
      </c>
      <c r="J64" s="101" t="n">
        <f aca="false">SUBTOTAL(9,J61:J63)</f>
        <v>32598841.8323515</v>
      </c>
      <c r="K64" s="101" t="n">
        <f aca="false">SUBTOTAL(9,K61:K63)</f>
        <v>26379073.4658812</v>
      </c>
      <c r="L64" s="101" t="n">
        <f aca="false">SUBTOTAL(9,L61:L63)</f>
        <v>20159305.0994109</v>
      </c>
      <c r="M64" s="102"/>
      <c r="N64" s="102"/>
      <c r="O64" s="102"/>
      <c r="P64" s="102"/>
    </row>
    <row r="65" s="75" customFormat="true" ht="15.75" hidden="false" customHeight="true" outlineLevel="0" collapsed="false">
      <c r="A65" s="107"/>
      <c r="D65" s="96"/>
      <c r="E65" s="96"/>
      <c r="F65" s="96"/>
      <c r="G65" s="96"/>
      <c r="H65" s="97"/>
      <c r="I65" s="97"/>
      <c r="J65" s="97"/>
      <c r="K65" s="97"/>
      <c r="L65" s="97"/>
      <c r="M65" s="97"/>
      <c r="N65" s="97"/>
      <c r="O65" s="97"/>
      <c r="P65" s="97"/>
    </row>
    <row r="66" s="176" customFormat="true" ht="15.75" hidden="false" customHeight="true" outlineLevel="0" collapsed="false">
      <c r="A66" s="175" t="s">
        <v>163</v>
      </c>
      <c r="D66" s="177" t="n">
        <v>1456000</v>
      </c>
      <c r="E66" s="177" t="n">
        <v>1492800</v>
      </c>
      <c r="F66" s="177" t="n">
        <v>1871640</v>
      </c>
      <c r="G66" s="177" t="n">
        <v>1945332</v>
      </c>
      <c r="H66" s="178" t="n">
        <f aca="false">H58+H64</f>
        <v>2204541.03802074</v>
      </c>
      <c r="I66" s="178" t="n">
        <f aca="false">I58+I64</f>
        <v>33580215.6847197</v>
      </c>
      <c r="J66" s="178" t="n">
        <f aca="false">J58+J64</f>
        <v>34254061.774994</v>
      </c>
      <c r="K66" s="178" t="n">
        <f aca="false">K58+K64</f>
        <v>28424504.527946</v>
      </c>
      <c r="L66" s="178" t="n">
        <f aca="false">L58+L64</f>
        <v>22621609.9864501</v>
      </c>
      <c r="M66" s="168"/>
      <c r="N66" s="168"/>
      <c r="O66" s="168"/>
      <c r="P66" s="168"/>
      <c r="Q66" s="107"/>
    </row>
    <row r="67" s="75" customFormat="true" ht="15.75" hidden="false" customHeight="true" outlineLevel="0" collapsed="false">
      <c r="A67" s="107"/>
      <c r="C67" s="161"/>
      <c r="D67" s="162" t="n">
        <v>0</v>
      </c>
      <c r="E67" s="162" t="n">
        <v>0</v>
      </c>
      <c r="F67" s="162" t="n">
        <v>0</v>
      </c>
      <c r="G67" s="162" t="n">
        <v>0</v>
      </c>
      <c r="H67" s="163"/>
      <c r="I67" s="163"/>
      <c r="J67" s="163"/>
      <c r="K67" s="163"/>
      <c r="L67" s="163"/>
      <c r="M67" s="163"/>
      <c r="N67" s="163"/>
      <c r="O67" s="163"/>
      <c r="P67" s="163"/>
    </row>
    <row r="68" s="75" customFormat="true" ht="15.75" hidden="false" customHeight="true" outlineLevel="0" collapsed="false">
      <c r="A68" s="155" t="s">
        <v>164</v>
      </c>
      <c r="D68" s="96"/>
      <c r="E68" s="96"/>
      <c r="F68" s="96"/>
      <c r="G68" s="96"/>
      <c r="H68" s="97"/>
      <c r="I68" s="97"/>
      <c r="J68" s="97"/>
      <c r="K68" s="97"/>
      <c r="L68" s="97"/>
      <c r="M68" s="97"/>
      <c r="N68" s="97"/>
      <c r="O68" s="97"/>
      <c r="P68" s="97"/>
    </row>
    <row r="69" s="75" customFormat="true" ht="12" hidden="true" customHeight="true" outlineLevel="0" collapsed="false">
      <c r="A69" s="107"/>
      <c r="C69" s="75" t="s">
        <v>165</v>
      </c>
      <c r="D69" s="88" t="n">
        <v>0</v>
      </c>
      <c r="E69" s="88" t="n">
        <v>0</v>
      </c>
      <c r="F69" s="88" t="n">
        <v>0</v>
      </c>
      <c r="G69" s="88" t="n">
        <v>0</v>
      </c>
      <c r="H69" s="90" t="n">
        <v>0</v>
      </c>
      <c r="I69" s="90" t="n">
        <v>0</v>
      </c>
      <c r="J69" s="90" t="n">
        <v>0</v>
      </c>
      <c r="K69" s="90" t="n">
        <v>0</v>
      </c>
      <c r="L69" s="90" t="n">
        <v>0</v>
      </c>
      <c r="M69" s="91"/>
      <c r="N69" s="91"/>
      <c r="O69" s="91"/>
      <c r="P69" s="91"/>
    </row>
    <row r="70" s="75" customFormat="true" ht="12" hidden="false" customHeight="true" outlineLevel="0" collapsed="false">
      <c r="A70" s="107"/>
      <c r="C70" s="156" t="s">
        <v>166</v>
      </c>
      <c r="D70" s="174" t="n">
        <v>17044000</v>
      </c>
      <c r="E70" s="174" t="n">
        <v>17044000</v>
      </c>
      <c r="F70" s="174" t="n">
        <v>25144000</v>
      </c>
      <c r="G70" s="174" t="n">
        <v>32144000</v>
      </c>
      <c r="H70" s="90" t="n">
        <f aca="false">G70+G72</f>
        <v>32144000</v>
      </c>
      <c r="I70" s="90" t="n">
        <f aca="false">H70+H72</f>
        <v>69754763.0979458</v>
      </c>
      <c r="J70" s="90" t="n">
        <f aca="false">I70+I72</f>
        <v>69754763.0979458</v>
      </c>
      <c r="K70" s="90" t="n">
        <f aca="false">J70+J72</f>
        <v>69754763.0979458</v>
      </c>
      <c r="L70" s="90" t="n">
        <f aca="false">K70+K72</f>
        <v>69754763.0979458</v>
      </c>
      <c r="M70" s="91"/>
      <c r="N70" s="91"/>
      <c r="O70" s="91"/>
      <c r="P70" s="91"/>
      <c r="Q70" s="179"/>
    </row>
    <row r="71" s="75" customFormat="true" ht="15.75" hidden="true" customHeight="true" outlineLevel="0" collapsed="false">
      <c r="A71" s="107"/>
      <c r="C71" s="75" t="s">
        <v>167</v>
      </c>
      <c r="D71" s="88" t="n">
        <v>0</v>
      </c>
      <c r="E71" s="88" t="n">
        <v>0</v>
      </c>
      <c r="F71" s="88" t="n">
        <v>0</v>
      </c>
      <c r="G71" s="88" t="n">
        <v>0</v>
      </c>
      <c r="H71" s="90" t="n">
        <v>0</v>
      </c>
      <c r="I71" s="90" t="n">
        <v>0</v>
      </c>
      <c r="J71" s="90" t="n">
        <v>0</v>
      </c>
      <c r="K71" s="90" t="n">
        <v>0</v>
      </c>
      <c r="L71" s="90" t="n">
        <v>0</v>
      </c>
      <c r="M71" s="91"/>
      <c r="N71" s="91"/>
      <c r="O71" s="91"/>
      <c r="P71" s="91"/>
    </row>
    <row r="72" s="75" customFormat="true" ht="12" hidden="false" customHeight="true" outlineLevel="0" collapsed="false">
      <c r="A72" s="107"/>
      <c r="C72" s="180" t="s">
        <v>168</v>
      </c>
      <c r="D72" s="181" t="n">
        <v>0</v>
      </c>
      <c r="E72" s="181" t="n">
        <v>8100000</v>
      </c>
      <c r="F72" s="174" t="n">
        <v>7000000</v>
      </c>
      <c r="G72" s="174" t="n">
        <v>0</v>
      </c>
      <c r="H72" s="89" t="n">
        <f aca="false">Drivers!F121</f>
        <v>37610763.0979458</v>
      </c>
      <c r="I72" s="89" t="n">
        <f aca="false">Drivers!G121</f>
        <v>0</v>
      </c>
      <c r="J72" s="89" t="n">
        <f aca="false">Drivers!H121</f>
        <v>0</v>
      </c>
      <c r="K72" s="89" t="n">
        <f aca="false">Drivers!I121</f>
        <v>0</v>
      </c>
      <c r="L72" s="89" t="n">
        <f aca="false">Drivers!J121</f>
        <v>0</v>
      </c>
      <c r="M72" s="94"/>
      <c r="N72" s="94"/>
      <c r="O72" s="94"/>
      <c r="P72" s="94"/>
      <c r="Q72" s="103"/>
      <c r="R72" s="103"/>
      <c r="S72" s="103"/>
    </row>
    <row r="73" s="75" customFormat="true" ht="15.75" hidden="true" customHeight="true" outlineLevel="0" collapsed="false">
      <c r="A73" s="107"/>
      <c r="C73" s="75" t="s">
        <v>169</v>
      </c>
      <c r="D73" s="88" t="n">
        <v>0</v>
      </c>
      <c r="E73" s="88" t="n">
        <v>0</v>
      </c>
      <c r="F73" s="88" t="n">
        <v>0</v>
      </c>
      <c r="G73" s="88" t="n">
        <v>0</v>
      </c>
      <c r="H73" s="90" t="n">
        <v>0</v>
      </c>
      <c r="I73" s="90" t="n">
        <v>0</v>
      </c>
      <c r="J73" s="90" t="n">
        <v>0</v>
      </c>
      <c r="K73" s="90" t="n">
        <v>0</v>
      </c>
      <c r="L73" s="90" t="n">
        <v>0</v>
      </c>
      <c r="M73" s="91"/>
      <c r="N73" s="91"/>
      <c r="O73" s="91"/>
      <c r="P73" s="91"/>
    </row>
    <row r="74" s="75" customFormat="true" ht="15.75" hidden="true" customHeight="true" outlineLevel="0" collapsed="false">
      <c r="A74" s="107"/>
      <c r="C74" s="75" t="s">
        <v>170</v>
      </c>
      <c r="D74" s="88" t="n">
        <v>0</v>
      </c>
      <c r="E74" s="88" t="n">
        <v>0</v>
      </c>
      <c r="F74" s="88" t="n">
        <v>0</v>
      </c>
      <c r="G74" s="88" t="n">
        <v>0</v>
      </c>
      <c r="H74" s="90" t="n">
        <v>0</v>
      </c>
      <c r="I74" s="90" t="n">
        <v>0</v>
      </c>
      <c r="J74" s="90" t="n">
        <v>0</v>
      </c>
      <c r="K74" s="90" t="n">
        <v>0</v>
      </c>
      <c r="L74" s="90" t="n">
        <v>0</v>
      </c>
      <c r="M74" s="91"/>
      <c r="N74" s="91"/>
      <c r="O74" s="91"/>
      <c r="P74" s="91"/>
    </row>
    <row r="75" s="75" customFormat="true" ht="15.75" hidden="false" customHeight="true" outlineLevel="0" collapsed="false">
      <c r="A75" s="107"/>
      <c r="C75" s="156" t="s">
        <v>171</v>
      </c>
      <c r="D75" s="174" t="n">
        <v>-1780000</v>
      </c>
      <c r="E75" s="96" t="n">
        <v>-6089011.2</v>
      </c>
      <c r="F75" s="96" t="n">
        <v>-6592287.45</v>
      </c>
      <c r="G75" s="96" t="n">
        <v>-2171792.2345</v>
      </c>
      <c r="H75" s="132" t="n">
        <f aca="false">'Income Statement'!E80+G75</f>
        <v>4407347.6421217</v>
      </c>
      <c r="I75" s="132" t="n">
        <f aca="false">'Income Statement'!F80+H75</f>
        <v>10234792.8286961</v>
      </c>
      <c r="J75" s="132" t="n">
        <f aca="false">'Income Statement'!G80+I75</f>
        <v>12632661.6331811</v>
      </c>
      <c r="K75" s="132" t="n">
        <f aca="false">'Income Statement'!H80+J75</f>
        <v>21342813.7439789</v>
      </c>
      <c r="L75" s="132" t="n">
        <f aca="false">'Income Statement'!I80+K75</f>
        <v>35197521.8494527</v>
      </c>
      <c r="M75" s="97"/>
      <c r="N75" s="97"/>
      <c r="O75" s="97"/>
      <c r="P75" s="97"/>
    </row>
    <row r="76" s="75" customFormat="true" ht="15.75" hidden="false" customHeight="true" outlineLevel="0" collapsed="false">
      <c r="A76" s="175" t="s">
        <v>172</v>
      </c>
      <c r="B76" s="176"/>
      <c r="C76" s="182"/>
      <c r="D76" s="183" t="n">
        <v>15264000</v>
      </c>
      <c r="E76" s="183" t="n">
        <v>19054988.8</v>
      </c>
      <c r="F76" s="183" t="n">
        <v>25551712.55</v>
      </c>
      <c r="G76" s="183" t="n">
        <v>29972207.7655</v>
      </c>
      <c r="H76" s="101" t="n">
        <f aca="false">SUM(H69:H75)</f>
        <v>74162110.7400675</v>
      </c>
      <c r="I76" s="101" t="n">
        <f aca="false">SUM(I69:I75)</f>
        <v>79989555.9266419</v>
      </c>
      <c r="J76" s="101" t="n">
        <f aca="false">SUM(J69:J75)</f>
        <v>82387424.7311269</v>
      </c>
      <c r="K76" s="101" t="n">
        <f aca="false">SUM(K69:K75)</f>
        <v>91097576.8419248</v>
      </c>
      <c r="L76" s="101" t="n">
        <f aca="false">SUM(L69:L75)</f>
        <v>104952284.947399</v>
      </c>
      <c r="M76" s="102"/>
      <c r="N76" s="102"/>
      <c r="O76" s="102"/>
      <c r="P76" s="102"/>
    </row>
    <row r="77" s="75" customFormat="true" ht="15.75" hidden="false" customHeight="true" outlineLevel="0" collapsed="false">
      <c r="A77" s="155"/>
      <c r="B77" s="156"/>
      <c r="C77" s="156"/>
      <c r="D77" s="96"/>
      <c r="E77" s="96"/>
      <c r="F77" s="96"/>
      <c r="G77" s="96"/>
      <c r="H77" s="97"/>
      <c r="I77" s="97"/>
      <c r="J77" s="97"/>
      <c r="K77" s="97"/>
      <c r="L77" s="97"/>
      <c r="M77" s="97"/>
      <c r="N77" s="97"/>
      <c r="O77" s="97"/>
      <c r="P77" s="97"/>
    </row>
    <row r="78" s="75" customFormat="true" ht="15.75" hidden="false" customHeight="true" outlineLevel="0" collapsed="false">
      <c r="A78" s="184" t="s">
        <v>173</v>
      </c>
      <c r="B78" s="185"/>
      <c r="C78" s="185"/>
      <c r="D78" s="166" t="n">
        <v>16720000</v>
      </c>
      <c r="E78" s="166" t="n">
        <v>20547788.8</v>
      </c>
      <c r="F78" s="166" t="n">
        <v>27423352.55</v>
      </c>
      <c r="G78" s="166" t="n">
        <v>31917539.7655</v>
      </c>
      <c r="H78" s="167" t="n">
        <f aca="false">H66+H76</f>
        <v>76366651.7780883</v>
      </c>
      <c r="I78" s="167" t="n">
        <f aca="false">I66+I76</f>
        <v>113569771.611362</v>
      </c>
      <c r="J78" s="167" t="n">
        <f aca="false">J66+J76</f>
        <v>116641486.506121</v>
      </c>
      <c r="K78" s="167" t="n">
        <f aca="false">K66+K76</f>
        <v>119522081.369871</v>
      </c>
      <c r="L78" s="167" t="n">
        <f aca="false">L66+L76</f>
        <v>127573894.933849</v>
      </c>
      <c r="M78" s="168"/>
      <c r="N78" s="168"/>
      <c r="O78" s="168"/>
      <c r="P78" s="168"/>
    </row>
    <row r="79" s="75" customFormat="true" ht="15.75" hidden="false" customHeight="true" outlineLevel="0" collapsed="false">
      <c r="A79" s="107"/>
      <c r="C79" s="161"/>
      <c r="D79" s="162"/>
      <c r="E79" s="162"/>
      <c r="F79" s="162"/>
      <c r="G79" s="162"/>
      <c r="H79" s="163"/>
      <c r="I79" s="163"/>
      <c r="J79" s="163"/>
      <c r="K79" s="163"/>
      <c r="L79" s="163"/>
      <c r="M79" s="163"/>
      <c r="N79" s="163"/>
      <c r="O79" s="163"/>
      <c r="P79" s="163"/>
    </row>
    <row r="80" customFormat="false" ht="15.75" hidden="false" customHeight="true" outlineLevel="0" collapsed="false">
      <c r="A80" s="186" t="s">
        <v>174</v>
      </c>
      <c r="D80" s="187"/>
      <c r="E80" s="188" t="n">
        <f aca="false">ROUND(E34-E78,0)</f>
        <v>0</v>
      </c>
      <c r="F80" s="188" t="n">
        <f aca="false">ROUND(F34-F78,0)</f>
        <v>0</v>
      </c>
      <c r="G80" s="189" t="n">
        <f aca="false">ROUND(G34-G78,0)</f>
        <v>0</v>
      </c>
      <c r="H80" s="189" t="n">
        <f aca="false">ROUND(H34-H78,0)</f>
        <v>0</v>
      </c>
      <c r="I80" s="189" t="n">
        <f aca="false">ROUND(I34-I78,0)</f>
        <v>0</v>
      </c>
      <c r="J80" s="189" t="n">
        <f aca="false">ROUND(J34-J78,0)</f>
        <v>0</v>
      </c>
      <c r="K80" s="189" t="n">
        <f aca="false">ROUND(K34-K78,0)</f>
        <v>0</v>
      </c>
      <c r="L80" s="189" t="n">
        <f aca="false">ROUND(L34-L78,0)</f>
        <v>0</v>
      </c>
    </row>
    <row r="81" customFormat="false" ht="15.75" hidden="false" customHeight="true" outlineLevel="0" collapsed="false">
      <c r="D81" s="187"/>
      <c r="E81" s="142"/>
      <c r="F81" s="142"/>
    </row>
    <row r="82" customFormat="false" ht="15.75" hidden="false" customHeight="true" outlineLevel="0" collapsed="false">
      <c r="D82" s="187"/>
      <c r="E82" s="142"/>
      <c r="F82" s="142"/>
    </row>
    <row r="83" customFormat="false" ht="15.75" hidden="false" customHeight="true" outlineLevel="0" collapsed="false">
      <c r="D83" s="187"/>
      <c r="E83" s="142"/>
      <c r="F83" s="142"/>
    </row>
    <row r="84" customFormat="false" ht="15.75" hidden="false" customHeight="true" outlineLevel="0" collapsed="false">
      <c r="D84" s="142"/>
      <c r="E84" s="142"/>
      <c r="F84" s="142"/>
    </row>
    <row r="85" customFormat="false" ht="15.75" hidden="false" customHeight="true" outlineLevel="0" collapsed="false">
      <c r="D85" s="142"/>
      <c r="E85" s="142"/>
      <c r="F85" s="142"/>
    </row>
    <row r="86" customFormat="false" ht="15.75" hidden="false" customHeight="true" outlineLevel="0" collapsed="false">
      <c r="D86" s="142"/>
      <c r="E86" s="142"/>
      <c r="F86" s="142"/>
    </row>
    <row r="87" customFormat="false" ht="15.75" hidden="false" customHeight="true" outlineLevel="0" collapsed="false">
      <c r="D87" s="142"/>
      <c r="E87" s="142"/>
      <c r="F87" s="142"/>
    </row>
    <row r="88" customFormat="false" ht="15.75" hidden="false" customHeight="true" outlineLevel="0" collapsed="false">
      <c r="D88" s="142"/>
      <c r="E88" s="142"/>
      <c r="F88" s="142"/>
    </row>
    <row r="89" customFormat="false" ht="15.75" hidden="false" customHeight="true" outlineLevel="0" collapsed="false">
      <c r="D89" s="142"/>
      <c r="E89" s="142"/>
      <c r="F89" s="142"/>
    </row>
    <row r="90" customFormat="false" ht="15.75" hidden="false" customHeight="true" outlineLevel="0" collapsed="false">
      <c r="D90" s="142"/>
      <c r="E90" s="142"/>
      <c r="F90" s="142"/>
    </row>
    <row r="91" customFormat="false" ht="15.75" hidden="false" customHeight="true" outlineLevel="0" collapsed="false">
      <c r="D91" s="142"/>
      <c r="E91" s="142"/>
      <c r="F91" s="142"/>
    </row>
    <row r="92" customFormat="false" ht="15.75" hidden="false" customHeight="true" outlineLevel="0" collapsed="false">
      <c r="D92" s="142"/>
      <c r="E92" s="142"/>
      <c r="F92" s="142"/>
    </row>
    <row r="93" customFormat="false" ht="15.75" hidden="false" customHeight="true" outlineLevel="0" collapsed="false">
      <c r="D93" s="142"/>
      <c r="E93" s="142"/>
      <c r="F93" s="142"/>
    </row>
    <row r="94" customFormat="false" ht="15.75" hidden="false" customHeight="true" outlineLevel="0" collapsed="false">
      <c r="D94" s="142"/>
      <c r="E94" s="142"/>
      <c r="F94" s="142"/>
    </row>
    <row r="95" customFormat="false" ht="15.75" hidden="false" customHeight="true" outlineLevel="0" collapsed="false">
      <c r="D95" s="142"/>
      <c r="E95" s="142"/>
      <c r="F95" s="142"/>
    </row>
    <row r="96" customFormat="false" ht="15.75" hidden="false" customHeight="true" outlineLevel="0" collapsed="false">
      <c r="D96" s="142"/>
      <c r="E96" s="142"/>
      <c r="F96" s="142"/>
    </row>
    <row r="97" customFormat="false" ht="15.75" hidden="false" customHeight="true" outlineLevel="0" collapsed="false">
      <c r="D97" s="142"/>
      <c r="E97" s="142"/>
      <c r="F97" s="142"/>
    </row>
    <row r="98" customFormat="false" ht="15.75" hidden="false" customHeight="true" outlineLevel="0" collapsed="false">
      <c r="D98" s="142"/>
      <c r="E98" s="142"/>
      <c r="F98" s="142"/>
    </row>
    <row r="99" customFormat="false" ht="15.75" hidden="false" customHeight="true" outlineLevel="0" collapsed="false">
      <c r="D99" s="142"/>
      <c r="E99" s="142"/>
      <c r="F99" s="142"/>
    </row>
    <row r="100" customFormat="false" ht="15.75" hidden="false" customHeight="true" outlineLevel="0" collapsed="false">
      <c r="D100" s="142"/>
      <c r="E100" s="142"/>
      <c r="F100" s="142"/>
    </row>
    <row r="101" customFormat="false" ht="15.75" hidden="false" customHeight="true" outlineLevel="0" collapsed="false">
      <c r="D101" s="142"/>
      <c r="E101" s="142"/>
      <c r="F101" s="142"/>
    </row>
    <row r="102" customFormat="false" ht="15.75" hidden="false" customHeight="true" outlineLevel="0" collapsed="false">
      <c r="D102" s="142"/>
      <c r="E102" s="142"/>
      <c r="F102" s="142"/>
    </row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</sheetData>
  <mergeCells count="1">
    <mergeCell ref="D3:E3"/>
  </mergeCells>
  <conditionalFormatting sqref="D35:P35 D59:P59 D79:P79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87"/>
    <pageSetUpPr fitToPage="false"/>
  </sheetPr>
  <dimension ref="A1:N994"/>
  <sheetViews>
    <sheetView showFormulas="false" showGridLines="false" showRowColHeaders="true" showZeros="true" rightToLeft="false" tabSelected="false" showOutlineSymbols="true" defaultGridColor="true" view="normal" topLeftCell="A1" colorId="64" zoomScale="93" zoomScaleNormal="93" zoomScalePageLayoutView="100" workbookViewId="0">
      <pane xSplit="0" ySplit="4" topLeftCell="A25" activePane="bottomLeft" state="frozen"/>
      <selection pane="topLeft" activeCell="A1" activeCellId="0" sqref="A1"/>
      <selection pane="bottomLeft" activeCell="B43" activeCellId="0" sqref="B43"/>
    </sheetView>
  </sheetViews>
  <sheetFormatPr defaultColWidth="11.18359375" defaultRowHeight="15" zeroHeight="false" outlineLevelRow="0" outlineLevelCol="0"/>
  <cols>
    <col collapsed="false" customWidth="true" hidden="false" outlineLevel="0" max="1" min="1" style="0" width="24.45"/>
    <col collapsed="false" customWidth="true" hidden="false" outlineLevel="0" max="2" min="2" style="0" width="33.18"/>
    <col collapsed="false" customWidth="true" hidden="false" outlineLevel="0" max="3" min="3" style="190" width="15.27"/>
    <col collapsed="false" customWidth="true" hidden="false" outlineLevel="0" max="5" min="4" style="190" width="17.27"/>
    <col collapsed="false" customWidth="true" hidden="true" outlineLevel="0" max="6" min="6" style="0" width="10.82"/>
    <col collapsed="false" customWidth="true" hidden="true" outlineLevel="0" max="13" min="7" style="0" width="9.45"/>
    <col collapsed="false" customWidth="true" hidden="true" outlineLevel="0" max="14" min="14" style="0" width="12.63"/>
    <col collapsed="false" customWidth="true" hidden="false" outlineLevel="0" max="26" min="15" style="0" width="11.45"/>
  </cols>
  <sheetData>
    <row r="1" customFormat="false" ht="25.5" hidden="false" customHeight="true" outlineLevel="0" collapsed="false">
      <c r="A1" s="191" t="s">
        <v>175</v>
      </c>
      <c r="B1" s="143"/>
      <c r="C1" s="144"/>
      <c r="D1" s="144"/>
      <c r="E1" s="144"/>
      <c r="F1" s="144"/>
      <c r="G1" s="72"/>
      <c r="H1" s="72"/>
      <c r="I1" s="72"/>
      <c r="J1" s="72"/>
      <c r="K1" s="72"/>
      <c r="L1" s="72"/>
      <c r="M1" s="72"/>
      <c r="N1" s="145"/>
    </row>
    <row r="2" customFormat="false" ht="15.75" hidden="false" customHeight="true" outlineLevel="0" collapsed="false"/>
    <row r="3" customFormat="false" ht="15.75" hidden="false" customHeight="true" outlineLevel="0" collapsed="false">
      <c r="E3" s="78" t="s">
        <v>41</v>
      </c>
    </row>
    <row r="4" s="75" customFormat="true" ht="15.75" hidden="false" customHeight="true" outlineLevel="0" collapsed="false">
      <c r="A4" s="192"/>
      <c r="B4" s="193"/>
      <c r="C4" s="194" t="n">
        <f aca="false">'Income Statement'!B4</f>
        <v>2023</v>
      </c>
      <c r="D4" s="194" t="n">
        <f aca="false">C4+1</f>
        <v>2024</v>
      </c>
      <c r="E4" s="194" t="n">
        <f aca="false">D4+1</f>
        <v>2025</v>
      </c>
      <c r="F4" s="194" t="n">
        <f aca="false">E4+1</f>
        <v>2026</v>
      </c>
      <c r="G4" s="194" t="n">
        <f aca="false">F4+1</f>
        <v>2027</v>
      </c>
      <c r="H4" s="194" t="n">
        <f aca="false">G4+1</f>
        <v>2028</v>
      </c>
      <c r="I4" s="194" t="n">
        <f aca="false">H4+1</f>
        <v>2029</v>
      </c>
      <c r="J4" s="194" t="n">
        <f aca="false">I4+1</f>
        <v>2030</v>
      </c>
      <c r="K4" s="195" t="s">
        <v>109</v>
      </c>
      <c r="L4" s="196"/>
      <c r="M4" s="196"/>
      <c r="N4" s="196"/>
    </row>
    <row r="5" s="75" customFormat="true" ht="15.75" hidden="false" customHeight="true" outlineLevel="0" collapsed="false">
      <c r="A5" s="75" t="s">
        <v>176</v>
      </c>
      <c r="C5" s="74"/>
      <c r="D5" s="74"/>
      <c r="E5" s="74"/>
    </row>
    <row r="6" s="75" customFormat="true" ht="15.75" hidden="false" customHeight="true" outlineLevel="0" collapsed="false">
      <c r="B6" s="75" t="s">
        <v>107</v>
      </c>
      <c r="C6" s="96" t="n">
        <v>-4309011.2</v>
      </c>
      <c r="D6" s="96" t="n">
        <v>-503276.25</v>
      </c>
      <c r="E6" s="96" t="n">
        <v>4420495.2155</v>
      </c>
      <c r="F6" s="132" t="n">
        <f aca="false">'Income Statement'!E80</f>
        <v>6579139.8766217</v>
      </c>
      <c r="G6" s="132" t="n">
        <f aca="false">'Income Statement'!F80</f>
        <v>5827445.18657437</v>
      </c>
      <c r="H6" s="132" t="n">
        <f aca="false">'Income Statement'!G80</f>
        <v>2397868.80448502</v>
      </c>
      <c r="I6" s="132" t="n">
        <f aca="false">'Income Statement'!H80</f>
        <v>8710152.11079786</v>
      </c>
      <c r="J6" s="132" t="n">
        <f aca="false">'Income Statement'!I80</f>
        <v>13854708.1054738</v>
      </c>
      <c r="K6" s="97"/>
      <c r="L6" s="97"/>
      <c r="M6" s="97"/>
      <c r="N6" s="97"/>
    </row>
    <row r="7" s="75" customFormat="true" ht="15.75" hidden="false" customHeight="true" outlineLevel="0" collapsed="false">
      <c r="C7" s="96"/>
      <c r="D7" s="96"/>
      <c r="E7" s="96"/>
      <c r="F7" s="97"/>
      <c r="G7" s="97"/>
      <c r="H7" s="97"/>
      <c r="I7" s="97"/>
      <c r="J7" s="97"/>
      <c r="K7" s="97"/>
      <c r="L7" s="97"/>
      <c r="M7" s="97"/>
      <c r="N7" s="97"/>
    </row>
    <row r="8" s="75" customFormat="true" ht="15.75" hidden="false" customHeight="true" outlineLevel="0" collapsed="false">
      <c r="A8" s="197"/>
      <c r="B8" s="75" t="s">
        <v>101</v>
      </c>
      <c r="C8" s="96" t="n">
        <v>1432200</v>
      </c>
      <c r="D8" s="96" t="n">
        <v>2375280</v>
      </c>
      <c r="E8" s="96" t="n">
        <v>3131952</v>
      </c>
      <c r="F8" s="132" t="n">
        <f aca="false">'Income Statement'!E71</f>
        <v>3742094.4</v>
      </c>
      <c r="G8" s="132" t="n">
        <f aca="false">'Income Statement'!F71</f>
        <v>5270266.00775904</v>
      </c>
      <c r="H8" s="132" t="n">
        <f aca="false">'Income Statement'!G71</f>
        <v>11490034.3742293</v>
      </c>
      <c r="I8" s="132" t="n">
        <f aca="false">'Income Statement'!H71</f>
        <v>13079818.349068</v>
      </c>
      <c r="J8" s="132" t="n">
        <f aca="false">'Income Statement'!I71</f>
        <v>14779070.3401295</v>
      </c>
      <c r="K8" s="97"/>
      <c r="L8" s="97"/>
      <c r="M8" s="97"/>
      <c r="N8" s="97"/>
    </row>
    <row r="9" s="75" customFormat="true" ht="15.75" hidden="false" customHeight="true" outlineLevel="0" collapsed="false">
      <c r="C9" s="96"/>
      <c r="D9" s="96"/>
      <c r="E9" s="96"/>
      <c r="F9" s="97"/>
      <c r="G9" s="97"/>
      <c r="H9" s="97"/>
      <c r="I9" s="97"/>
      <c r="J9" s="97"/>
      <c r="K9" s="97"/>
      <c r="L9" s="97"/>
      <c r="M9" s="97"/>
      <c r="N9" s="97"/>
    </row>
    <row r="10" s="75" customFormat="true" ht="15.75" hidden="false" customHeight="true" outlineLevel="0" collapsed="false">
      <c r="A10" s="75" t="s">
        <v>177</v>
      </c>
      <c r="C10" s="96"/>
      <c r="D10" s="96"/>
      <c r="E10" s="96"/>
      <c r="F10" s="97"/>
      <c r="G10" s="97"/>
      <c r="H10" s="97"/>
      <c r="I10" s="97"/>
      <c r="J10" s="97"/>
      <c r="K10" s="97"/>
      <c r="L10" s="97"/>
      <c r="M10" s="97"/>
      <c r="N10" s="97"/>
    </row>
    <row r="11" s="75" customFormat="true" ht="15.75" hidden="false" customHeight="true" outlineLevel="0" collapsed="false">
      <c r="A11" s="197"/>
      <c r="B11" s="75" t="s">
        <v>118</v>
      </c>
      <c r="C11" s="96" t="n">
        <v>-210000</v>
      </c>
      <c r="D11" s="96" t="n">
        <v>-277200</v>
      </c>
      <c r="E11" s="96" t="n">
        <v>-230580</v>
      </c>
      <c r="F11" s="132" t="n">
        <f aca="false">'Balance Sheet'!G12-'Balance Sheet'!H12</f>
        <v>-1372298.64608022</v>
      </c>
      <c r="G11" s="132" t="n">
        <f aca="false">'Balance Sheet'!H12-'Balance Sheet'!I12</f>
        <v>-1666205.30412514</v>
      </c>
      <c r="H11" s="132" t="n">
        <f aca="false">'Balance Sheet'!I12-'Balance Sheet'!J12</f>
        <v>-3057944.23583083</v>
      </c>
      <c r="I11" s="132" t="n">
        <f aca="false">'Balance Sheet'!J12-'Balance Sheet'!K12</f>
        <v>-3774484.08150777</v>
      </c>
      <c r="J11" s="132" t="n">
        <f aca="false">'Balance Sheet'!K12-'Balance Sheet'!L12</f>
        <v>-2360006.74996895</v>
      </c>
      <c r="K11" s="97"/>
      <c r="L11" s="97"/>
      <c r="M11" s="97"/>
      <c r="N11" s="97"/>
    </row>
    <row r="12" s="75" customFormat="true" ht="15.75" hidden="false" customHeight="true" outlineLevel="0" collapsed="false">
      <c r="A12" s="197"/>
      <c r="B12" s="75" t="s">
        <v>116</v>
      </c>
      <c r="C12" s="96" t="n">
        <v>-714000</v>
      </c>
      <c r="D12" s="96" t="n">
        <v>-499800</v>
      </c>
      <c r="E12" s="96" t="n">
        <v>-749700</v>
      </c>
      <c r="F12" s="132" t="n">
        <f aca="false">'Balance Sheet'!G10-'Balance Sheet'!H10</f>
        <v>-997434.040408219</v>
      </c>
      <c r="G12" s="132" t="n">
        <f aca="false">'Balance Sheet'!H10-'Balance Sheet'!I10</f>
        <v>-1248171.0612775</v>
      </c>
      <c r="H12" s="132" t="n">
        <f aca="false">'Balance Sheet'!I10-'Balance Sheet'!J10</f>
        <v>-3328611.18794083</v>
      </c>
      <c r="I12" s="132" t="n">
        <f aca="false">'Balance Sheet'!J10-'Balance Sheet'!K10</f>
        <v>-1741433.02295965</v>
      </c>
      <c r="J12" s="132" t="n">
        <f aca="false">'Balance Sheet'!K10-'Balance Sheet'!L10</f>
        <v>-1723290.16340788</v>
      </c>
      <c r="K12" s="97"/>
      <c r="L12" s="97"/>
      <c r="M12" s="97"/>
      <c r="N12" s="97"/>
    </row>
    <row r="13" s="75" customFormat="true" ht="15.75" hidden="false" customHeight="true" outlineLevel="0" collapsed="false">
      <c r="A13" s="197"/>
      <c r="B13" s="75" t="s">
        <v>121</v>
      </c>
      <c r="C13" s="96" t="n">
        <v>-193000</v>
      </c>
      <c r="D13" s="96" t="n">
        <v>-476700</v>
      </c>
      <c r="E13" s="96" t="n">
        <v>-363390</v>
      </c>
      <c r="F13" s="132" t="n">
        <f aca="false">'Balance Sheet'!G20-'Balance Sheet'!H20</f>
        <v>-473862.6795984</v>
      </c>
      <c r="G13" s="132" t="n">
        <f aca="false">'Balance Sheet'!H20-'Balance Sheet'!I20</f>
        <v>-642672.1237197</v>
      </c>
      <c r="H13" s="132" t="n">
        <f aca="false">'Balance Sheet'!I20-'Balance Sheet'!J20</f>
        <v>-1226441.79345607</v>
      </c>
      <c r="I13" s="132" t="n">
        <f aca="false">'Balance Sheet'!J20-'Balance Sheet'!K20</f>
        <v>-1248106.70676389</v>
      </c>
      <c r="J13" s="132" t="n">
        <f aca="false">'Balance Sheet'!K20-'Balance Sheet'!L20</f>
        <v>-1148536.61831822</v>
      </c>
      <c r="K13" s="97"/>
      <c r="L13" s="97"/>
      <c r="M13" s="97"/>
      <c r="N13" s="97"/>
    </row>
    <row r="14" s="75" customFormat="true" ht="15.75" hidden="false" customHeight="true" outlineLevel="0" collapsed="false">
      <c r="A14" s="75" t="s">
        <v>178</v>
      </c>
      <c r="C14" s="96"/>
      <c r="D14" s="96"/>
      <c r="E14" s="96"/>
      <c r="F14" s="97"/>
      <c r="G14" s="97"/>
      <c r="H14" s="97"/>
      <c r="I14" s="97"/>
      <c r="J14" s="97"/>
      <c r="K14" s="97"/>
      <c r="L14" s="97"/>
      <c r="M14" s="97"/>
      <c r="N14" s="97"/>
    </row>
    <row r="15" s="75" customFormat="true" ht="15.75" hidden="false" customHeight="true" outlineLevel="0" collapsed="false">
      <c r="A15" s="197"/>
      <c r="B15" s="75" t="s">
        <v>140</v>
      </c>
      <c r="C15" s="96" t="n">
        <v>36000</v>
      </c>
      <c r="D15" s="96" t="n">
        <v>46800</v>
      </c>
      <c r="E15" s="96" t="n">
        <v>60840</v>
      </c>
      <c r="F15" s="132" t="n">
        <f aca="false">'Balance Sheet'!H41-'Balance Sheet'!G41</f>
        <v>210953.404040822</v>
      </c>
      <c r="G15" s="132" t="n">
        <f aca="false">'Balance Sheet'!I41-'Balance Sheet'!H41</f>
        <v>244699.208161465</v>
      </c>
      <c r="H15" s="132" t="n">
        <f aca="false">'Balance Sheet'!J41-'Balance Sheet'!I41</f>
        <v>612524.000601506</v>
      </c>
      <c r="I15" s="132" t="n">
        <f aca="false">'Balance Sheet'!K41-'Balance Sheet'!J41</f>
        <v>327805.784084138</v>
      </c>
      <c r="J15" s="132" t="n">
        <f aca="false">'Balance Sheet'!L41-'Balance Sheet'!K41</f>
        <v>359446.994058503</v>
      </c>
      <c r="K15" s="97"/>
      <c r="L15" s="97"/>
      <c r="M15" s="97"/>
      <c r="N15" s="97"/>
    </row>
    <row r="16" s="75" customFormat="true" ht="15.75" hidden="false" customHeight="true" outlineLevel="0" collapsed="false">
      <c r="A16" s="197"/>
      <c r="B16" s="176" t="str">
        <f aca="false">'Balance Sheet'!B46</f>
        <v>Nợ vay ngắn hạn</v>
      </c>
      <c r="C16" s="96" t="n">
        <v>-10000</v>
      </c>
      <c r="D16" s="96" t="n">
        <v>18000</v>
      </c>
      <c r="E16" s="96" t="n">
        <v>-5400</v>
      </c>
      <c r="F16" s="132" t="n">
        <f aca="false">'Balance Sheet'!H48-'Balance Sheet'!G48</f>
        <v>0</v>
      </c>
      <c r="G16" s="132" t="n">
        <f aca="false">'Balance Sheet'!I48-'Balance Sheet'!H48</f>
        <v>0</v>
      </c>
      <c r="H16" s="132" t="n">
        <f aca="false">'Balance Sheet'!J48-'Balance Sheet'!I48</f>
        <v>0</v>
      </c>
      <c r="I16" s="132" t="n">
        <f aca="false">'Balance Sheet'!K48-'Balance Sheet'!J48</f>
        <v>0</v>
      </c>
      <c r="J16" s="132" t="n">
        <f aca="false">'Balance Sheet'!L48-'Balance Sheet'!K48</f>
        <v>0</v>
      </c>
      <c r="K16" s="97"/>
      <c r="L16" s="97"/>
      <c r="M16" s="97"/>
      <c r="N16" s="97"/>
    </row>
    <row r="17" s="75" customFormat="true" ht="15.75" hidden="false" customHeight="true" outlineLevel="0" collapsed="false">
      <c r="A17" s="197"/>
      <c r="B17" s="75" t="s">
        <v>179</v>
      </c>
      <c r="C17" s="96" t="n">
        <v>10800</v>
      </c>
      <c r="D17" s="96" t="n">
        <v>14040</v>
      </c>
      <c r="E17" s="96" t="n">
        <v>18252</v>
      </c>
      <c r="F17" s="132" t="n">
        <f aca="false">('Balance Sheet'!H56-'Balance Sheet'!G56)+('Balance Sheet'!H51-'Balance Sheet'!G51)</f>
        <v>48255.63397992</v>
      </c>
      <c r="G17" s="132" t="n">
        <f aca="false">('Balance Sheet'!I56-'Balance Sheet'!H56)+('Balance Sheet'!I51-'Balance Sheet'!H51)</f>
        <v>32133.606185985</v>
      </c>
      <c r="H17" s="132" t="n">
        <f aca="false">('Balance Sheet'!J56-'Balance Sheet'!I56)+('Balance Sheet'!J51-'Balance Sheet'!I51)</f>
        <v>61322.0896728033</v>
      </c>
      <c r="I17" s="132" t="n">
        <f aca="false">('Balance Sheet'!K56-'Balance Sheet'!J56)+('Balance Sheet'!K51-'Balance Sheet'!J51)</f>
        <v>62405.3353381946</v>
      </c>
      <c r="J17" s="132" t="n">
        <f aca="false">('Balance Sheet'!L56-'Balance Sheet'!K56)+('Balance Sheet'!L51-'Balance Sheet'!K51)</f>
        <v>57426.8309159111</v>
      </c>
      <c r="K17" s="97"/>
      <c r="L17" s="97"/>
      <c r="M17" s="97"/>
      <c r="N17" s="97"/>
    </row>
    <row r="18" s="75" customFormat="true" ht="15.75" hidden="false" customHeight="true" outlineLevel="0" collapsed="false">
      <c r="C18" s="96"/>
      <c r="D18" s="96"/>
      <c r="E18" s="96"/>
      <c r="F18" s="97"/>
      <c r="G18" s="97"/>
      <c r="H18" s="97"/>
      <c r="I18" s="97"/>
      <c r="J18" s="97"/>
      <c r="K18" s="97"/>
      <c r="L18" s="97"/>
      <c r="M18" s="97"/>
      <c r="N18" s="97"/>
    </row>
    <row r="19" s="107" customFormat="true" ht="15.75" hidden="false" customHeight="true" outlineLevel="0" collapsed="false">
      <c r="A19" s="169" t="s">
        <v>180</v>
      </c>
      <c r="B19" s="169"/>
      <c r="C19" s="198" t="n">
        <v>-3957011.2</v>
      </c>
      <c r="D19" s="198" t="n">
        <v>697143.75</v>
      </c>
      <c r="E19" s="198" t="n">
        <v>6282469.2155</v>
      </c>
      <c r="F19" s="199" t="n">
        <f aca="false">SUM(F6:F18)</f>
        <v>7736847.94855561</v>
      </c>
      <c r="G19" s="199" t="n">
        <f aca="false">SUM(G6:G18)</f>
        <v>7817495.51955852</v>
      </c>
      <c r="H19" s="199" t="n">
        <f aca="false">SUM(H6:H18)</f>
        <v>6948752.05176094</v>
      </c>
      <c r="I19" s="199" t="n">
        <f aca="false">SUM(I6:I18)</f>
        <v>15416157.7680569</v>
      </c>
      <c r="J19" s="199" t="n">
        <f aca="false">SUM(J6:J18)</f>
        <v>23818818.7388826</v>
      </c>
      <c r="K19" s="123"/>
      <c r="L19" s="123"/>
      <c r="M19" s="123"/>
      <c r="N19" s="123"/>
    </row>
    <row r="20" s="75" customFormat="true" ht="15.75" hidden="false" customHeight="true" outlineLevel="0" collapsed="false">
      <c r="C20" s="96"/>
      <c r="D20" s="96"/>
      <c r="E20" s="96"/>
      <c r="F20" s="97"/>
      <c r="G20" s="97"/>
      <c r="H20" s="97"/>
      <c r="I20" s="97"/>
      <c r="J20" s="97"/>
      <c r="K20" s="97"/>
      <c r="L20" s="97"/>
      <c r="M20" s="97"/>
      <c r="N20" s="97"/>
    </row>
    <row r="21" s="75" customFormat="true" ht="15.75" hidden="false" customHeight="true" outlineLevel="0" collapsed="false">
      <c r="A21" s="75" t="s">
        <v>181</v>
      </c>
      <c r="C21" s="96"/>
      <c r="D21" s="96"/>
      <c r="E21" s="96"/>
      <c r="F21" s="97"/>
      <c r="G21" s="97"/>
      <c r="H21" s="97"/>
      <c r="I21" s="97"/>
      <c r="J21" s="97"/>
      <c r="K21" s="97"/>
      <c r="L21" s="97"/>
      <c r="M21" s="97"/>
      <c r="N21" s="97"/>
    </row>
    <row r="22" s="75" customFormat="true" ht="15.75" hidden="false" customHeight="true" outlineLevel="0" collapsed="false">
      <c r="A22" s="197"/>
      <c r="B22" s="75" t="s">
        <v>182</v>
      </c>
      <c r="C22" s="96" t="n">
        <v>-5009000</v>
      </c>
      <c r="D22" s="96" t="n">
        <v>-6305600</v>
      </c>
      <c r="E22" s="96" t="n">
        <v>-5084520</v>
      </c>
      <c r="F22" s="132" t="n">
        <f aca="false">SUM('Balance Sheet'!G29:G31)-SUM('Balance Sheet'!H29:H31)</f>
        <v>-12734763.397992</v>
      </c>
      <c r="G22" s="132" t="n">
        <f aca="false">SUM('Balance Sheet'!H29:H31)-SUM('Balance Sheet'!I29:I31)</f>
        <v>-51831403.0539191</v>
      </c>
      <c r="H22" s="132" t="n">
        <f aca="false">SUM('Balance Sheet'!I29:I31)-SUM('Balance Sheet'!J29:J31)</f>
        <v>-13248199.7903225</v>
      </c>
      <c r="I22" s="132" t="n">
        <f aca="false">SUM('Balance Sheet'!J29:J31)-SUM('Balance Sheet'!K29:K31)</f>
        <v>-14160433.2588451</v>
      </c>
      <c r="J22" s="132" t="n">
        <f aca="false">SUM('Balance Sheet'!K29:K31)-SUM('Balance Sheet'!L29:L31)</f>
        <v>-17031774.8046407</v>
      </c>
      <c r="K22" s="97"/>
      <c r="L22" s="97"/>
      <c r="M22" s="97"/>
      <c r="N22" s="97"/>
    </row>
    <row r="23" s="75" customFormat="true" ht="15.75" hidden="false" customHeight="true" outlineLevel="0" collapsed="false">
      <c r="C23" s="96"/>
      <c r="D23" s="96"/>
      <c r="E23" s="96"/>
      <c r="F23" s="97"/>
      <c r="G23" s="97"/>
      <c r="H23" s="97"/>
      <c r="I23" s="97"/>
      <c r="J23" s="97"/>
      <c r="K23" s="97"/>
      <c r="L23" s="97"/>
      <c r="M23" s="97"/>
      <c r="N23" s="97"/>
    </row>
    <row r="24" s="107" customFormat="true" ht="15.75" hidden="false" customHeight="true" outlineLevel="0" collapsed="false">
      <c r="A24" s="169" t="s">
        <v>183</v>
      </c>
      <c r="B24" s="169"/>
      <c r="C24" s="198" t="n">
        <v>-5009000</v>
      </c>
      <c r="D24" s="198" t="n">
        <v>-6305600</v>
      </c>
      <c r="E24" s="198" t="n">
        <v>-5084520</v>
      </c>
      <c r="F24" s="199" t="n">
        <f aca="false">SUM(F22:F23)</f>
        <v>-12734763.397992</v>
      </c>
      <c r="G24" s="199" t="n">
        <f aca="false">SUM(G22:G23)</f>
        <v>-51831403.0539191</v>
      </c>
      <c r="H24" s="199" t="n">
        <f aca="false">SUM(H22:H23)</f>
        <v>-13248199.7903225</v>
      </c>
      <c r="I24" s="199" t="n">
        <f aca="false">SUM(I22:I23)</f>
        <v>-14160433.2588451</v>
      </c>
      <c r="J24" s="199" t="n">
        <f aca="false">SUM(J22:J23)</f>
        <v>-17031774.8046407</v>
      </c>
      <c r="K24" s="123"/>
      <c r="L24" s="123"/>
      <c r="M24" s="123"/>
      <c r="N24" s="123"/>
    </row>
    <row r="25" s="75" customFormat="true" ht="15.75" hidden="false" customHeight="true" outlineLevel="0" collapsed="false">
      <c r="C25" s="96"/>
      <c r="D25" s="96"/>
      <c r="E25" s="96"/>
      <c r="F25" s="97"/>
      <c r="G25" s="97"/>
      <c r="H25" s="97"/>
      <c r="I25" s="97"/>
      <c r="J25" s="97"/>
      <c r="K25" s="97"/>
      <c r="L25" s="97"/>
      <c r="M25" s="97"/>
      <c r="N25" s="97"/>
    </row>
    <row r="26" s="75" customFormat="true" ht="15.75" hidden="false" customHeight="true" outlineLevel="0" collapsed="false">
      <c r="A26" s="75" t="s">
        <v>184</v>
      </c>
      <c r="C26" s="96"/>
      <c r="D26" s="96"/>
      <c r="E26" s="96"/>
      <c r="F26" s="97"/>
      <c r="G26" s="97"/>
      <c r="H26" s="97"/>
      <c r="I26" s="97"/>
      <c r="J26" s="97"/>
      <c r="K26" s="97"/>
      <c r="L26" s="97"/>
      <c r="M26" s="97"/>
      <c r="N26" s="97"/>
    </row>
    <row r="27" s="75" customFormat="true" ht="15.75" hidden="false" customHeight="true" outlineLevel="0" collapsed="false">
      <c r="A27" s="197"/>
      <c r="B27" s="75" t="s">
        <v>185</v>
      </c>
      <c r="C27" s="96" t="n">
        <v>8100000</v>
      </c>
      <c r="D27" s="96" t="n">
        <v>7000000</v>
      </c>
      <c r="E27" s="96" t="n">
        <v>0</v>
      </c>
      <c r="F27" s="132" t="n">
        <f aca="false">'Balance Sheet'!H72</f>
        <v>37610763.0979458</v>
      </c>
      <c r="G27" s="132" t="n">
        <f aca="false">'Balance Sheet'!I72</f>
        <v>0</v>
      </c>
      <c r="H27" s="132" t="n">
        <f aca="false">'Balance Sheet'!J72</f>
        <v>0</v>
      </c>
      <c r="I27" s="132" t="n">
        <f aca="false">'Balance Sheet'!K72</f>
        <v>0</v>
      </c>
      <c r="J27" s="132" t="n">
        <f aca="false">'Balance Sheet'!L72</f>
        <v>0</v>
      </c>
      <c r="K27" s="97"/>
      <c r="L27" s="97"/>
      <c r="M27" s="97"/>
      <c r="N27" s="97"/>
    </row>
    <row r="28" s="75" customFormat="true" ht="15.75" hidden="false" customHeight="true" outlineLevel="0" collapsed="false">
      <c r="A28" s="197"/>
      <c r="B28" s="75" t="s">
        <v>186</v>
      </c>
      <c r="C28" s="96" t="n">
        <v>0</v>
      </c>
      <c r="D28" s="96" t="n">
        <v>300000</v>
      </c>
      <c r="E28" s="96" t="n">
        <v>0</v>
      </c>
      <c r="F28" s="131" t="n">
        <f aca="false">('Balance Sheet'!H61-'Balance Sheet'!G61)</f>
        <v>0</v>
      </c>
      <c r="G28" s="131" t="n">
        <f aca="false">('Balance Sheet'!I61-'Balance Sheet'!H61)</f>
        <v>31098841.8323515</v>
      </c>
      <c r="H28" s="131" t="n">
        <f aca="false">('Balance Sheet'!J61-'Balance Sheet'!I61)</f>
        <v>0</v>
      </c>
      <c r="I28" s="131" t="n">
        <f aca="false">('Balance Sheet'!K61-'Balance Sheet'!J61)</f>
        <v>-6219768.36647029</v>
      </c>
      <c r="J28" s="131" t="n">
        <f aca="false">('Balance Sheet'!L61-'Balance Sheet'!K61)</f>
        <v>-6219768.36647029</v>
      </c>
      <c r="K28" s="96"/>
      <c r="L28" s="96"/>
      <c r="M28" s="96"/>
      <c r="N28" s="96"/>
    </row>
    <row r="29" s="75" customFormat="true" ht="15.75" hidden="false" customHeight="true" outlineLevel="0" collapsed="false">
      <c r="C29" s="96"/>
      <c r="D29" s="96"/>
      <c r="E29" s="96"/>
      <c r="F29" s="97"/>
      <c r="G29" s="97"/>
      <c r="H29" s="97"/>
      <c r="I29" s="97"/>
      <c r="J29" s="97"/>
      <c r="K29" s="97"/>
      <c r="L29" s="97"/>
      <c r="M29" s="97"/>
      <c r="N29" s="97"/>
    </row>
    <row r="30" s="107" customFormat="true" ht="15.75" hidden="false" customHeight="true" outlineLevel="0" collapsed="false">
      <c r="A30" s="169" t="s">
        <v>187</v>
      </c>
      <c r="B30" s="169"/>
      <c r="C30" s="198" t="n">
        <v>8100000</v>
      </c>
      <c r="D30" s="198" t="n">
        <v>7300000</v>
      </c>
      <c r="E30" s="198" t="n">
        <v>0</v>
      </c>
      <c r="F30" s="199" t="n">
        <f aca="false">SUM(F27:F29)</f>
        <v>37610763.0979458</v>
      </c>
      <c r="G30" s="199" t="n">
        <f aca="false">SUM(G27:G29)</f>
        <v>31098841.8323515</v>
      </c>
      <c r="H30" s="199" t="n">
        <f aca="false">SUM(H27:H29)</f>
        <v>0</v>
      </c>
      <c r="I30" s="199" t="n">
        <f aca="false">SUM(I27:I29)</f>
        <v>-6219768.36647029</v>
      </c>
      <c r="J30" s="199" t="n">
        <f aca="false">SUM(J27:J29)</f>
        <v>-6219768.36647029</v>
      </c>
      <c r="K30" s="123"/>
      <c r="L30" s="123"/>
      <c r="M30" s="123"/>
      <c r="N30" s="123"/>
    </row>
    <row r="31" s="75" customFormat="true" ht="15.75" hidden="false" customHeight="true" outlineLevel="0" collapsed="false">
      <c r="C31" s="96"/>
      <c r="D31" s="96"/>
      <c r="E31" s="96"/>
      <c r="F31" s="97"/>
      <c r="G31" s="97"/>
      <c r="H31" s="97"/>
      <c r="I31" s="97"/>
      <c r="J31" s="97"/>
      <c r="K31" s="97"/>
      <c r="L31" s="97"/>
      <c r="M31" s="97"/>
      <c r="N31" s="97"/>
    </row>
    <row r="32" s="75" customFormat="true" ht="15.75" hidden="false" customHeight="true" outlineLevel="0" collapsed="false">
      <c r="A32" s="107" t="s">
        <v>188</v>
      </c>
      <c r="B32" s="200"/>
      <c r="C32" s="122" t="n">
        <v>910000</v>
      </c>
      <c r="D32" s="122" t="n">
        <v>43988.8000000008</v>
      </c>
      <c r="E32" s="122" t="n">
        <v>1735532.55</v>
      </c>
      <c r="F32" s="201" t="n">
        <f aca="false">E36</f>
        <v>2933481.76549999</v>
      </c>
      <c r="G32" s="201" t="n">
        <f aca="false">F36</f>
        <v>35546329.4140094</v>
      </c>
      <c r="H32" s="201" t="n">
        <f aca="false">G36</f>
        <v>22631263.7120003</v>
      </c>
      <c r="I32" s="201" t="n">
        <f aca="false">H36</f>
        <v>16331815.9734387</v>
      </c>
      <c r="J32" s="201" t="n">
        <f aca="false">I36</f>
        <v>11367772.1161802</v>
      </c>
      <c r="K32" s="123"/>
      <c r="L32" s="123"/>
      <c r="M32" s="123"/>
      <c r="N32" s="123"/>
    </row>
    <row r="33" s="75" customFormat="true" ht="15.75" hidden="false" customHeight="true" outlineLevel="0" collapsed="false">
      <c r="A33" s="107"/>
      <c r="B33" s="200"/>
      <c r="C33" s="122"/>
      <c r="D33" s="122"/>
      <c r="E33" s="122"/>
      <c r="F33" s="123"/>
      <c r="G33" s="123"/>
      <c r="H33" s="123"/>
      <c r="I33" s="123"/>
      <c r="J33" s="123"/>
      <c r="K33" s="123"/>
      <c r="L33" s="123"/>
      <c r="M33" s="123"/>
      <c r="N33" s="123"/>
    </row>
    <row r="34" s="75" customFormat="true" ht="15.75" hidden="false" customHeight="true" outlineLevel="0" collapsed="false">
      <c r="A34" s="107" t="s">
        <v>189</v>
      </c>
      <c r="B34" s="107"/>
      <c r="C34" s="122" t="n">
        <v>-866011.199999999</v>
      </c>
      <c r="D34" s="122" t="n">
        <v>1691543.75</v>
      </c>
      <c r="E34" s="122" t="n">
        <v>1197949.21549999</v>
      </c>
      <c r="F34" s="201" t="n">
        <f aca="false">F19+F24+F30</f>
        <v>32612847.6485094</v>
      </c>
      <c r="G34" s="201" t="n">
        <f aca="false">G19+G24+G30</f>
        <v>-12915065.7020091</v>
      </c>
      <c r="H34" s="201" t="n">
        <f aca="false">H19+H24+H30</f>
        <v>-6299447.73856156</v>
      </c>
      <c r="I34" s="201" t="n">
        <f aca="false">I19+I24+I30</f>
        <v>-4964043.85725852</v>
      </c>
      <c r="J34" s="201" t="n">
        <f aca="false">J19+J24+J30</f>
        <v>567275.567771621</v>
      </c>
      <c r="K34" s="123"/>
      <c r="L34" s="123"/>
      <c r="M34" s="123"/>
      <c r="N34" s="123"/>
    </row>
    <row r="35" s="75" customFormat="true" ht="15.75" hidden="false" customHeight="true" outlineLevel="0" collapsed="false">
      <c r="A35" s="107"/>
      <c r="B35" s="107"/>
      <c r="C35" s="122"/>
      <c r="D35" s="122"/>
      <c r="E35" s="122"/>
      <c r="F35" s="123"/>
      <c r="G35" s="123"/>
      <c r="H35" s="123"/>
      <c r="I35" s="123"/>
      <c r="J35" s="123"/>
      <c r="K35" s="123"/>
      <c r="L35" s="123"/>
      <c r="M35" s="123"/>
      <c r="N35" s="123"/>
    </row>
    <row r="36" s="75" customFormat="true" ht="16.5" hidden="false" customHeight="true" outlineLevel="0" collapsed="false">
      <c r="A36" s="169" t="s">
        <v>190</v>
      </c>
      <c r="B36" s="169"/>
      <c r="C36" s="198" t="n">
        <v>43988.8000000008</v>
      </c>
      <c r="D36" s="198" t="n">
        <v>1735532.55</v>
      </c>
      <c r="E36" s="198" t="n">
        <v>2933481.76549999</v>
      </c>
      <c r="F36" s="199" t="n">
        <f aca="false">F34+F32</f>
        <v>35546329.4140094</v>
      </c>
      <c r="G36" s="199" t="n">
        <f aca="false">G34+G32</f>
        <v>22631263.7120003</v>
      </c>
      <c r="H36" s="199" t="n">
        <f aca="false">H34+H32</f>
        <v>16331815.9734387</v>
      </c>
      <c r="I36" s="199" t="n">
        <f aca="false">I34+I32</f>
        <v>11367772.1161802</v>
      </c>
      <c r="J36" s="199" t="n">
        <f aca="false">J34+J32</f>
        <v>11935047.6839519</v>
      </c>
      <c r="K36" s="123"/>
      <c r="L36" s="123"/>
      <c r="M36" s="123"/>
      <c r="N36" s="123"/>
    </row>
    <row r="37" customFormat="false" ht="15.75" hidden="false" customHeight="true" outlineLevel="0" collapsed="false">
      <c r="C37" s="142"/>
      <c r="D37" s="142"/>
      <c r="E37" s="142"/>
      <c r="F37" s="141"/>
      <c r="G37" s="141"/>
      <c r="H37" s="141"/>
      <c r="I37" s="141"/>
      <c r="J37" s="141"/>
      <c r="K37" s="141"/>
      <c r="L37" s="141"/>
      <c r="M37" s="141"/>
      <c r="N37" s="141"/>
    </row>
    <row r="38" customFormat="false" ht="15.75" hidden="false" customHeight="true" outlineLevel="0" collapsed="false">
      <c r="C38" s="142"/>
      <c r="D38" s="187"/>
      <c r="E38" s="187"/>
      <c r="F38" s="202"/>
      <c r="G38" s="202"/>
      <c r="H38" s="202"/>
      <c r="I38" s="202"/>
      <c r="J38" s="202"/>
      <c r="K38" s="202"/>
      <c r="L38" s="202"/>
      <c r="M38" s="202"/>
      <c r="N38" s="202"/>
    </row>
    <row r="39" customFormat="false" ht="16.5" hidden="false" customHeight="true" outlineLevel="0" collapsed="false">
      <c r="C39" s="142"/>
      <c r="D39" s="142"/>
      <c r="E39" s="142"/>
      <c r="F39" s="141"/>
      <c r="G39" s="141"/>
      <c r="H39" s="141"/>
      <c r="I39" s="141"/>
      <c r="J39" s="141"/>
      <c r="K39" s="141"/>
      <c r="L39" s="141"/>
      <c r="M39" s="141"/>
      <c r="N39" s="141"/>
    </row>
    <row r="40" customFormat="false" ht="15.75" hidden="false" customHeight="true" outlineLevel="0" collapsed="false">
      <c r="C40" s="142"/>
      <c r="D40" s="142"/>
      <c r="E40" s="142"/>
      <c r="F40" s="141"/>
      <c r="G40" s="141"/>
      <c r="H40" s="141"/>
      <c r="I40" s="141"/>
      <c r="J40" s="141"/>
      <c r="K40" s="141"/>
      <c r="L40" s="141"/>
      <c r="M40" s="141"/>
      <c r="N40" s="141"/>
    </row>
    <row r="41" customFormat="false" ht="15.75" hidden="false" customHeight="true" outlineLevel="0" collapsed="false">
      <c r="C41" s="142"/>
      <c r="D41" s="187"/>
      <c r="E41" s="187"/>
      <c r="F41" s="202"/>
      <c r="G41" s="202"/>
      <c r="H41" s="202"/>
      <c r="I41" s="202"/>
      <c r="J41" s="202"/>
      <c r="K41" s="202"/>
      <c r="L41" s="202"/>
      <c r="M41" s="202"/>
      <c r="N41" s="202"/>
    </row>
    <row r="42" customFormat="false" ht="15.75" hidden="false" customHeight="true" outlineLevel="0" collapsed="false">
      <c r="C42" s="142"/>
      <c r="D42" s="142"/>
      <c r="E42" s="142"/>
      <c r="F42" s="141"/>
      <c r="G42" s="141"/>
      <c r="H42" s="141"/>
      <c r="I42" s="141"/>
      <c r="J42" s="141"/>
      <c r="K42" s="141"/>
      <c r="L42" s="141"/>
      <c r="M42" s="141"/>
      <c r="N42" s="141"/>
    </row>
    <row r="43" customFormat="false" ht="15.75" hidden="false" customHeight="true" outlineLevel="0" collapsed="false">
      <c r="C43" s="142"/>
      <c r="D43" s="142"/>
      <c r="E43" s="142"/>
      <c r="F43" s="141"/>
      <c r="G43" s="141"/>
      <c r="H43" s="141"/>
      <c r="I43" s="141"/>
      <c r="J43" s="141"/>
      <c r="K43" s="141"/>
      <c r="L43" s="141"/>
      <c r="M43" s="141"/>
      <c r="N43" s="141"/>
    </row>
    <row r="44" customFormat="false" ht="15.75" hidden="false" customHeight="true" outlineLevel="0" collapsed="false">
      <c r="C44" s="142"/>
      <c r="D44" s="142"/>
      <c r="E44" s="142"/>
      <c r="F44" s="141"/>
      <c r="G44" s="141"/>
      <c r="H44" s="141"/>
      <c r="I44" s="141"/>
      <c r="J44" s="141"/>
      <c r="K44" s="141"/>
      <c r="L44" s="141"/>
      <c r="M44" s="141"/>
      <c r="N44" s="141"/>
    </row>
    <row r="45" customFormat="false" ht="15.75" hidden="false" customHeight="true" outlineLevel="0" collapsed="false">
      <c r="C45" s="142"/>
      <c r="D45" s="142"/>
      <c r="E45" s="142"/>
      <c r="F45" s="141"/>
      <c r="G45" s="141"/>
      <c r="H45" s="141"/>
      <c r="I45" s="141"/>
      <c r="J45" s="141"/>
      <c r="K45" s="141"/>
      <c r="L45" s="141"/>
      <c r="M45" s="141"/>
      <c r="N45" s="141"/>
    </row>
    <row r="46" customFormat="false" ht="15.75" hidden="false" customHeight="true" outlineLevel="0" collapsed="false">
      <c r="C46" s="142"/>
      <c r="D46" s="142"/>
      <c r="E46" s="142"/>
      <c r="F46" s="141"/>
      <c r="G46" s="141"/>
      <c r="H46" s="141"/>
      <c r="I46" s="141"/>
      <c r="J46" s="141"/>
      <c r="K46" s="141"/>
      <c r="L46" s="141"/>
      <c r="M46" s="141"/>
      <c r="N46" s="141"/>
    </row>
    <row r="47" customFormat="false" ht="15.75" hidden="false" customHeight="true" outlineLevel="0" collapsed="false">
      <c r="C47" s="142"/>
      <c r="D47" s="142"/>
      <c r="E47" s="142"/>
      <c r="F47" s="141"/>
      <c r="G47" s="141"/>
      <c r="H47" s="141"/>
      <c r="I47" s="141"/>
      <c r="J47" s="141"/>
      <c r="K47" s="141"/>
      <c r="L47" s="141"/>
      <c r="M47" s="141"/>
      <c r="N47" s="141"/>
    </row>
    <row r="48" customFormat="false" ht="15.75" hidden="false" customHeight="true" outlineLevel="0" collapsed="false">
      <c r="C48" s="142"/>
      <c r="D48" s="187"/>
      <c r="E48" s="187"/>
      <c r="F48" s="202"/>
      <c r="G48" s="202"/>
      <c r="H48" s="202"/>
      <c r="I48" s="202"/>
      <c r="J48" s="202"/>
      <c r="K48" s="202"/>
      <c r="L48" s="202"/>
      <c r="M48" s="202"/>
      <c r="N48" s="202"/>
    </row>
    <row r="49" customFormat="false" ht="15.75" hidden="false" customHeight="true" outlineLevel="0" collapsed="false">
      <c r="C49" s="142"/>
      <c r="D49" s="187"/>
      <c r="E49" s="187"/>
      <c r="F49" s="202"/>
      <c r="G49" s="202"/>
      <c r="H49" s="202"/>
      <c r="I49" s="202"/>
      <c r="J49" s="202"/>
      <c r="K49" s="202"/>
      <c r="L49" s="202"/>
      <c r="M49" s="202"/>
      <c r="N49" s="202"/>
    </row>
    <row r="50" customFormat="false" ht="15.75" hidden="false" customHeight="true" outlineLevel="0" collapsed="false">
      <c r="C50" s="142"/>
      <c r="D50" s="203"/>
      <c r="E50" s="203"/>
      <c r="F50" s="204"/>
      <c r="G50" s="204"/>
      <c r="H50" s="204"/>
      <c r="I50" s="204"/>
      <c r="J50" s="204"/>
      <c r="K50" s="204"/>
      <c r="L50" s="204"/>
      <c r="M50" s="204"/>
      <c r="N50" s="204"/>
    </row>
    <row r="51" customFormat="false" ht="15.75" hidden="false" customHeight="true" outlineLevel="0" collapsed="false">
      <c r="C51" s="142"/>
      <c r="D51" s="142"/>
      <c r="E51" s="142"/>
      <c r="F51" s="141"/>
      <c r="G51" s="141"/>
      <c r="H51" s="141"/>
      <c r="I51" s="141"/>
      <c r="J51" s="141"/>
      <c r="K51" s="141"/>
      <c r="L51" s="141"/>
      <c r="M51" s="141"/>
      <c r="N51" s="141"/>
    </row>
    <row r="52" customFormat="false" ht="15.75" hidden="false" customHeight="true" outlineLevel="0" collapsed="false">
      <c r="C52" s="142"/>
      <c r="D52" s="142"/>
      <c r="E52" s="142"/>
      <c r="F52" s="141"/>
      <c r="G52" s="141"/>
      <c r="H52" s="141"/>
      <c r="I52" s="141"/>
      <c r="J52" s="141"/>
      <c r="K52" s="141"/>
      <c r="L52" s="141"/>
      <c r="M52" s="141"/>
      <c r="N52" s="141"/>
    </row>
    <row r="53" customFormat="false" ht="15.75" hidden="false" customHeight="true" outlineLevel="0" collapsed="false">
      <c r="C53" s="142"/>
      <c r="D53" s="142"/>
      <c r="E53" s="142"/>
      <c r="F53" s="141"/>
      <c r="G53" s="141"/>
      <c r="H53" s="141"/>
      <c r="I53" s="141"/>
      <c r="J53" s="141"/>
      <c r="K53" s="141"/>
      <c r="L53" s="141"/>
      <c r="M53" s="141"/>
      <c r="N53" s="141"/>
    </row>
    <row r="54" customFormat="false" ht="15.75" hidden="false" customHeight="true" outlineLevel="0" collapsed="false">
      <c r="C54" s="142"/>
      <c r="D54" s="142"/>
      <c r="E54" s="142"/>
      <c r="F54" s="141"/>
      <c r="G54" s="141"/>
      <c r="H54" s="141"/>
      <c r="I54" s="141"/>
      <c r="J54" s="141"/>
      <c r="K54" s="141"/>
      <c r="L54" s="141"/>
      <c r="M54" s="141"/>
      <c r="N54" s="141"/>
    </row>
    <row r="55" customFormat="false" ht="15.75" hidden="false" customHeight="true" outlineLevel="0" collapsed="false">
      <c r="C55" s="142"/>
      <c r="D55" s="142"/>
      <c r="E55" s="142"/>
      <c r="F55" s="141"/>
      <c r="G55" s="141"/>
      <c r="H55" s="141"/>
      <c r="I55" s="141"/>
      <c r="J55" s="141"/>
      <c r="K55" s="141"/>
      <c r="L55" s="141"/>
      <c r="M55" s="141"/>
      <c r="N55" s="141"/>
    </row>
    <row r="56" customFormat="false" ht="15.75" hidden="false" customHeight="true" outlineLevel="0" collapsed="false">
      <c r="C56" s="142"/>
      <c r="D56" s="187"/>
      <c r="E56" s="187"/>
      <c r="F56" s="202"/>
      <c r="G56" s="202"/>
      <c r="H56" s="202"/>
      <c r="I56" s="202"/>
      <c r="J56" s="202"/>
      <c r="K56" s="202"/>
      <c r="L56" s="202"/>
      <c r="M56" s="202"/>
      <c r="N56" s="202"/>
    </row>
    <row r="57" customFormat="false" ht="15.75" hidden="false" customHeight="true" outlineLevel="0" collapsed="false">
      <c r="C57" s="142"/>
      <c r="D57" s="142"/>
      <c r="E57" s="142"/>
      <c r="F57" s="141"/>
      <c r="G57" s="141"/>
      <c r="H57" s="141"/>
      <c r="I57" s="141"/>
      <c r="J57" s="141"/>
      <c r="K57" s="141"/>
      <c r="L57" s="141"/>
      <c r="M57" s="141"/>
      <c r="N57" s="141"/>
    </row>
    <row r="58" customFormat="false" ht="15.75" hidden="false" customHeight="true" outlineLevel="0" collapsed="false">
      <c r="C58" s="142"/>
      <c r="D58" s="203"/>
      <c r="E58" s="203"/>
      <c r="F58" s="204"/>
      <c r="G58" s="204"/>
      <c r="H58" s="204"/>
      <c r="I58" s="204"/>
      <c r="J58" s="204"/>
      <c r="K58" s="204"/>
      <c r="L58" s="204"/>
      <c r="M58" s="204"/>
      <c r="N58" s="204"/>
    </row>
    <row r="59" customFormat="false" ht="15.75" hidden="false" customHeight="true" outlineLevel="0" collapsed="false">
      <c r="C59" s="142"/>
      <c r="D59" s="142"/>
      <c r="E59" s="142"/>
      <c r="F59" s="141"/>
      <c r="G59" s="141"/>
      <c r="H59" s="141"/>
      <c r="I59" s="141"/>
      <c r="J59" s="141"/>
      <c r="K59" s="141"/>
      <c r="L59" s="141"/>
      <c r="M59" s="141"/>
      <c r="N59" s="141"/>
    </row>
    <row r="60" customFormat="false" ht="15.75" hidden="false" customHeight="true" outlineLevel="0" collapsed="false">
      <c r="C60" s="142"/>
      <c r="D60" s="142"/>
      <c r="E60" s="142"/>
      <c r="F60" s="141"/>
      <c r="G60" s="141"/>
      <c r="H60" s="141"/>
      <c r="I60" s="141"/>
      <c r="J60" s="141"/>
      <c r="K60" s="141"/>
      <c r="L60" s="141"/>
      <c r="M60" s="141"/>
      <c r="N60" s="141"/>
    </row>
    <row r="61" customFormat="false" ht="15.75" hidden="false" customHeight="true" outlineLevel="0" collapsed="false">
      <c r="C61" s="142"/>
      <c r="D61" s="142"/>
      <c r="E61" s="142"/>
      <c r="F61" s="141"/>
      <c r="G61" s="141"/>
      <c r="H61" s="141"/>
      <c r="I61" s="141"/>
      <c r="J61" s="141"/>
      <c r="K61" s="141"/>
      <c r="L61" s="141"/>
      <c r="M61" s="141"/>
      <c r="N61" s="141"/>
    </row>
    <row r="62" customFormat="false" ht="15.75" hidden="false" customHeight="true" outlineLevel="0" collapsed="false">
      <c r="C62" s="142"/>
      <c r="D62" s="142"/>
      <c r="E62" s="142"/>
      <c r="F62" s="141"/>
      <c r="G62" s="141"/>
      <c r="H62" s="141"/>
      <c r="I62" s="141"/>
      <c r="J62" s="141"/>
      <c r="K62" s="141"/>
      <c r="L62" s="141"/>
      <c r="M62" s="141"/>
      <c r="N62" s="141"/>
    </row>
    <row r="63" customFormat="false" ht="15.75" hidden="false" customHeight="true" outlineLevel="0" collapsed="false">
      <c r="C63" s="142"/>
      <c r="D63" s="142"/>
      <c r="E63" s="142"/>
      <c r="F63" s="141"/>
      <c r="G63" s="141"/>
      <c r="H63" s="141"/>
      <c r="I63" s="141"/>
      <c r="J63" s="141"/>
      <c r="K63" s="141"/>
      <c r="L63" s="141"/>
      <c r="M63" s="141"/>
      <c r="N63" s="141"/>
    </row>
    <row r="64" customFormat="false" ht="15.75" hidden="false" customHeight="true" outlineLevel="0" collapsed="false">
      <c r="C64" s="142"/>
      <c r="D64" s="142"/>
      <c r="E64" s="142"/>
      <c r="F64" s="141"/>
      <c r="G64" s="141"/>
      <c r="H64" s="141"/>
      <c r="I64" s="141"/>
      <c r="J64" s="141"/>
      <c r="K64" s="141"/>
      <c r="L64" s="141"/>
      <c r="M64" s="141"/>
      <c r="N64" s="141"/>
    </row>
    <row r="65" customFormat="false" ht="15.75" hidden="false" customHeight="true" outlineLevel="0" collapsed="false">
      <c r="C65" s="142"/>
      <c r="D65" s="142"/>
      <c r="E65" s="142"/>
      <c r="F65" s="141"/>
      <c r="G65" s="141"/>
      <c r="H65" s="141"/>
      <c r="I65" s="141"/>
      <c r="J65" s="141"/>
      <c r="K65" s="141"/>
      <c r="L65" s="141"/>
      <c r="M65" s="141"/>
      <c r="N65" s="141"/>
    </row>
    <row r="66" customFormat="false" ht="15.75" hidden="false" customHeight="true" outlineLevel="0" collapsed="false">
      <c r="C66" s="142"/>
      <c r="D66" s="142"/>
      <c r="E66" s="142"/>
      <c r="F66" s="141"/>
      <c r="G66" s="141"/>
      <c r="H66" s="141"/>
      <c r="I66" s="141"/>
      <c r="J66" s="141"/>
      <c r="K66" s="141"/>
      <c r="L66" s="141"/>
      <c r="M66" s="141"/>
      <c r="N66" s="141"/>
    </row>
    <row r="67" customFormat="false" ht="15.75" hidden="false" customHeight="true" outlineLevel="0" collapsed="false">
      <c r="C67" s="142"/>
      <c r="D67" s="142"/>
      <c r="E67" s="142"/>
      <c r="F67" s="141"/>
      <c r="G67" s="141"/>
      <c r="H67" s="141"/>
      <c r="I67" s="141"/>
      <c r="J67" s="141"/>
      <c r="K67" s="141"/>
      <c r="L67" s="141"/>
      <c r="M67" s="141"/>
      <c r="N67" s="141"/>
    </row>
    <row r="68" customFormat="false" ht="15.75" hidden="false" customHeight="true" outlineLevel="0" collapsed="false">
      <c r="C68" s="142"/>
      <c r="D68" s="203"/>
      <c r="E68" s="203"/>
      <c r="F68" s="204"/>
      <c r="G68" s="204"/>
      <c r="H68" s="204"/>
      <c r="I68" s="204"/>
      <c r="J68" s="204"/>
      <c r="K68" s="204"/>
      <c r="L68" s="204"/>
      <c r="M68" s="204"/>
      <c r="N68" s="204"/>
    </row>
    <row r="69" customFormat="false" ht="15.75" hidden="false" customHeight="true" outlineLevel="0" collapsed="false">
      <c r="C69" s="142"/>
      <c r="D69" s="142"/>
      <c r="E69" s="142"/>
      <c r="F69" s="141"/>
      <c r="G69" s="141"/>
      <c r="H69" s="141"/>
      <c r="I69" s="141"/>
      <c r="J69" s="141"/>
      <c r="K69" s="141"/>
      <c r="L69" s="141"/>
      <c r="M69" s="141"/>
      <c r="N69" s="141"/>
    </row>
    <row r="70" customFormat="false" ht="15.75" hidden="false" customHeight="true" outlineLevel="0" collapsed="false">
      <c r="C70" s="142"/>
      <c r="D70" s="203"/>
      <c r="E70" s="203"/>
      <c r="F70" s="204"/>
      <c r="G70" s="204"/>
      <c r="H70" s="204"/>
      <c r="I70" s="204"/>
      <c r="J70" s="204"/>
      <c r="K70" s="204"/>
      <c r="L70" s="204"/>
      <c r="M70" s="204"/>
      <c r="N70" s="204"/>
    </row>
    <row r="71" customFormat="false" ht="15.75" hidden="false" customHeight="true" outlineLevel="0" collapsed="false">
      <c r="C71" s="142"/>
      <c r="D71" s="142"/>
      <c r="E71" s="142"/>
      <c r="F71" s="141"/>
      <c r="G71" s="141"/>
      <c r="H71" s="141"/>
      <c r="I71" s="141"/>
      <c r="J71" s="141"/>
      <c r="K71" s="141"/>
      <c r="L71" s="141"/>
      <c r="M71" s="141"/>
      <c r="N71" s="141"/>
    </row>
    <row r="72" customFormat="false" ht="15.75" hidden="false" customHeight="true" outlineLevel="0" collapsed="false">
      <c r="C72" s="142"/>
      <c r="D72" s="142"/>
      <c r="E72" s="142"/>
      <c r="F72" s="141"/>
      <c r="G72" s="141"/>
      <c r="H72" s="141"/>
      <c r="I72" s="141"/>
      <c r="J72" s="141"/>
      <c r="K72" s="141"/>
      <c r="L72" s="141"/>
      <c r="M72" s="141"/>
      <c r="N72" s="141"/>
    </row>
    <row r="73" customFormat="false" ht="15.75" hidden="false" customHeight="true" outlineLevel="0" collapsed="false">
      <c r="C73" s="142"/>
      <c r="D73" s="142"/>
      <c r="E73" s="142"/>
      <c r="F73" s="141"/>
      <c r="G73" s="141"/>
      <c r="H73" s="141"/>
      <c r="I73" s="141"/>
      <c r="J73" s="141"/>
      <c r="K73" s="141"/>
      <c r="L73" s="141"/>
      <c r="M73" s="141"/>
      <c r="N73" s="141"/>
    </row>
    <row r="74" customFormat="false" ht="15.75" hidden="false" customHeight="true" outlineLevel="0" collapsed="false">
      <c r="C74" s="142"/>
      <c r="D74" s="142"/>
      <c r="E74" s="142"/>
      <c r="F74" s="141"/>
      <c r="G74" s="141"/>
      <c r="H74" s="141"/>
      <c r="I74" s="141"/>
      <c r="J74" s="141"/>
      <c r="K74" s="141"/>
      <c r="L74" s="141"/>
      <c r="M74" s="141"/>
      <c r="N74" s="141"/>
    </row>
    <row r="75" customFormat="false" ht="15.75" hidden="false" customHeight="true" outlineLevel="0" collapsed="false">
      <c r="C75" s="142"/>
      <c r="D75" s="142"/>
      <c r="E75" s="142"/>
      <c r="F75" s="141"/>
      <c r="G75" s="141"/>
      <c r="H75" s="141"/>
      <c r="I75" s="141"/>
      <c r="J75" s="141"/>
      <c r="K75" s="141"/>
      <c r="L75" s="141"/>
      <c r="M75" s="141"/>
      <c r="N75" s="141"/>
    </row>
    <row r="76" customFormat="false" ht="15.75" hidden="false" customHeight="true" outlineLevel="0" collapsed="false">
      <c r="C76" s="142"/>
      <c r="D76" s="142"/>
      <c r="E76" s="142"/>
      <c r="F76" s="141"/>
      <c r="G76" s="141"/>
      <c r="H76" s="141"/>
      <c r="I76" s="141"/>
      <c r="J76" s="141"/>
      <c r="K76" s="141"/>
      <c r="L76" s="141"/>
      <c r="M76" s="141"/>
      <c r="N76" s="141"/>
    </row>
    <row r="77" customFormat="false" ht="15.75" hidden="false" customHeight="true" outlineLevel="0" collapsed="false">
      <c r="C77" s="142"/>
      <c r="D77" s="142"/>
      <c r="E77" s="142"/>
      <c r="F77" s="141"/>
      <c r="G77" s="141"/>
      <c r="H77" s="141"/>
      <c r="I77" s="141"/>
      <c r="J77" s="141"/>
      <c r="K77" s="141"/>
      <c r="L77" s="141"/>
      <c r="M77" s="141"/>
      <c r="N77" s="141"/>
    </row>
    <row r="78" customFormat="false" ht="15.75" hidden="false" customHeight="true" outlineLevel="0" collapsed="false">
      <c r="C78" s="142"/>
      <c r="D78" s="142"/>
      <c r="E78" s="142"/>
      <c r="F78" s="141"/>
      <c r="G78" s="141"/>
      <c r="H78" s="141"/>
      <c r="I78" s="141"/>
      <c r="J78" s="141"/>
      <c r="K78" s="141"/>
      <c r="L78" s="141"/>
      <c r="M78" s="141"/>
      <c r="N78" s="141"/>
    </row>
    <row r="79" customFormat="false" ht="15.75" hidden="false" customHeight="true" outlineLevel="0" collapsed="false">
      <c r="C79" s="142"/>
      <c r="D79" s="142"/>
      <c r="E79" s="142"/>
      <c r="F79" s="141"/>
      <c r="G79" s="141"/>
      <c r="H79" s="141"/>
      <c r="I79" s="141"/>
      <c r="J79" s="141"/>
      <c r="K79" s="141"/>
      <c r="L79" s="141"/>
      <c r="M79" s="141"/>
      <c r="N79" s="141"/>
    </row>
    <row r="80" customFormat="false" ht="15.75" hidden="false" customHeight="true" outlineLevel="0" collapsed="false">
      <c r="C80" s="142"/>
      <c r="D80" s="142"/>
      <c r="E80" s="142"/>
      <c r="F80" s="141"/>
      <c r="G80" s="141"/>
      <c r="H80" s="141"/>
      <c r="I80" s="141"/>
      <c r="J80" s="141"/>
      <c r="K80" s="141"/>
      <c r="L80" s="141"/>
      <c r="M80" s="141"/>
      <c r="N80" s="141"/>
    </row>
    <row r="81" customFormat="false" ht="15.75" hidden="false" customHeight="true" outlineLevel="0" collapsed="false">
      <c r="C81" s="142"/>
      <c r="D81" s="142"/>
      <c r="E81" s="142"/>
      <c r="F81" s="141"/>
      <c r="G81" s="141"/>
      <c r="H81" s="141"/>
      <c r="I81" s="141"/>
      <c r="J81" s="141"/>
      <c r="K81" s="141"/>
      <c r="L81" s="141"/>
      <c r="M81" s="141"/>
      <c r="N81" s="141"/>
    </row>
    <row r="82" customFormat="false" ht="15.75" hidden="false" customHeight="true" outlineLevel="0" collapsed="false">
      <c r="C82" s="142"/>
      <c r="D82" s="142"/>
      <c r="E82" s="142"/>
      <c r="F82" s="141"/>
      <c r="G82" s="141"/>
      <c r="H82" s="141"/>
      <c r="I82" s="141"/>
      <c r="J82" s="141"/>
      <c r="K82" s="141"/>
      <c r="L82" s="141"/>
      <c r="M82" s="141"/>
      <c r="N82" s="141"/>
    </row>
    <row r="83" customFormat="false" ht="16.5" hidden="false" customHeight="true" outlineLevel="0" collapsed="false">
      <c r="C83" s="142"/>
      <c r="D83" s="142"/>
      <c r="E83" s="142"/>
      <c r="F83" s="141"/>
      <c r="G83" s="141"/>
      <c r="H83" s="141"/>
      <c r="I83" s="141"/>
      <c r="J83" s="141"/>
      <c r="K83" s="141"/>
      <c r="L83" s="141"/>
      <c r="M83" s="141"/>
      <c r="N83" s="141"/>
    </row>
    <row r="84" customFormat="false" ht="15.75" hidden="false" customHeight="true" outlineLevel="0" collapsed="false">
      <c r="C84" s="142"/>
      <c r="D84" s="142"/>
      <c r="E84" s="142"/>
      <c r="F84" s="141"/>
      <c r="G84" s="141"/>
      <c r="H84" s="141"/>
      <c r="I84" s="141"/>
      <c r="J84" s="141"/>
      <c r="K84" s="141"/>
      <c r="L84" s="141"/>
      <c r="M84" s="141"/>
      <c r="N84" s="141"/>
    </row>
    <row r="85" customFormat="false" ht="15.75" hidden="false" customHeight="true" outlineLevel="0" collapsed="false">
      <c r="C85" s="142"/>
      <c r="D85" s="142"/>
      <c r="E85" s="142"/>
      <c r="F85" s="141"/>
      <c r="G85" s="141"/>
      <c r="H85" s="141"/>
      <c r="I85" s="141"/>
      <c r="J85" s="141"/>
      <c r="K85" s="141"/>
      <c r="L85" s="141"/>
      <c r="M85" s="141"/>
      <c r="N85" s="141"/>
    </row>
    <row r="86" customFormat="false" ht="15.75" hidden="false" customHeight="true" outlineLevel="0" collapsed="false">
      <c r="C86" s="142"/>
      <c r="D86" s="142"/>
      <c r="E86" s="142"/>
      <c r="F86" s="141"/>
      <c r="G86" s="141"/>
      <c r="H86" s="141"/>
      <c r="I86" s="141"/>
      <c r="J86" s="141"/>
      <c r="K86" s="141"/>
      <c r="L86" s="141"/>
      <c r="M86" s="141"/>
      <c r="N86" s="141"/>
    </row>
    <row r="87" customFormat="false" ht="15.75" hidden="false" customHeight="true" outlineLevel="0" collapsed="false">
      <c r="C87" s="142"/>
      <c r="D87" s="142"/>
      <c r="E87" s="142"/>
      <c r="F87" s="141"/>
      <c r="G87" s="141"/>
      <c r="H87" s="141"/>
      <c r="I87" s="141"/>
      <c r="J87" s="141"/>
      <c r="K87" s="141"/>
      <c r="L87" s="141"/>
      <c r="M87" s="141"/>
      <c r="N87" s="141"/>
    </row>
    <row r="88" customFormat="false" ht="15.75" hidden="false" customHeight="true" outlineLevel="0" collapsed="false">
      <c r="C88" s="142"/>
      <c r="D88" s="142"/>
      <c r="E88" s="142"/>
      <c r="F88" s="141"/>
      <c r="G88" s="141"/>
      <c r="H88" s="141"/>
      <c r="I88" s="141"/>
      <c r="J88" s="141"/>
      <c r="K88" s="141"/>
      <c r="L88" s="141"/>
      <c r="M88" s="141"/>
      <c r="N88" s="141"/>
    </row>
    <row r="89" customFormat="false" ht="15.75" hidden="false" customHeight="true" outlineLevel="0" collapsed="false">
      <c r="C89" s="142"/>
      <c r="D89" s="142"/>
      <c r="E89" s="142"/>
      <c r="F89" s="141"/>
      <c r="G89" s="141"/>
      <c r="H89" s="141"/>
      <c r="I89" s="141"/>
      <c r="J89" s="141"/>
      <c r="K89" s="141"/>
      <c r="L89" s="141"/>
      <c r="M89" s="141"/>
      <c r="N89" s="141"/>
    </row>
    <row r="90" customFormat="false" ht="15.75" hidden="false" customHeight="true" outlineLevel="0" collapsed="false">
      <c r="C90" s="142"/>
      <c r="D90" s="142"/>
      <c r="E90" s="142"/>
      <c r="F90" s="141"/>
      <c r="G90" s="141"/>
      <c r="H90" s="141"/>
      <c r="I90" s="141"/>
      <c r="J90" s="141"/>
      <c r="K90" s="141"/>
      <c r="L90" s="141"/>
      <c r="M90" s="141"/>
      <c r="N90" s="141"/>
    </row>
    <row r="91" customFormat="false" ht="15.75" hidden="false" customHeight="true" outlineLevel="0" collapsed="false">
      <c r="C91" s="142"/>
      <c r="D91" s="142"/>
      <c r="E91" s="142"/>
      <c r="F91" s="141"/>
      <c r="G91" s="141"/>
      <c r="H91" s="141"/>
      <c r="I91" s="141"/>
      <c r="J91" s="141"/>
      <c r="K91" s="141"/>
      <c r="L91" s="141"/>
      <c r="M91" s="141"/>
      <c r="N91" s="141"/>
    </row>
    <row r="92" customFormat="false" ht="15.75" hidden="false" customHeight="true" outlineLevel="0" collapsed="false">
      <c r="C92" s="142"/>
      <c r="D92" s="142"/>
      <c r="E92" s="142"/>
      <c r="F92" s="141"/>
      <c r="G92" s="141"/>
      <c r="H92" s="141"/>
      <c r="I92" s="141"/>
      <c r="J92" s="141"/>
      <c r="K92" s="141"/>
      <c r="L92" s="141"/>
      <c r="M92" s="141"/>
      <c r="N92" s="141"/>
    </row>
    <row r="93" customFormat="false" ht="15.75" hidden="false" customHeight="true" outlineLevel="0" collapsed="false">
      <c r="C93" s="142"/>
      <c r="D93" s="142"/>
      <c r="E93" s="142"/>
      <c r="F93" s="141"/>
      <c r="G93" s="141"/>
      <c r="H93" s="141"/>
      <c r="I93" s="141"/>
      <c r="J93" s="141"/>
      <c r="K93" s="141"/>
      <c r="L93" s="141"/>
      <c r="M93" s="141"/>
      <c r="N93" s="141"/>
    </row>
    <row r="94" customFormat="false" ht="15.75" hidden="false" customHeight="true" outlineLevel="0" collapsed="false">
      <c r="C94" s="142"/>
      <c r="D94" s="142"/>
      <c r="E94" s="142"/>
      <c r="F94" s="141"/>
      <c r="G94" s="141"/>
      <c r="H94" s="141"/>
      <c r="I94" s="141"/>
      <c r="J94" s="141"/>
      <c r="K94" s="141"/>
      <c r="L94" s="141"/>
      <c r="M94" s="141"/>
      <c r="N94" s="141"/>
    </row>
    <row r="95" customFormat="false" ht="15.75" hidden="false" customHeight="true" outlineLevel="0" collapsed="false">
      <c r="C95" s="142"/>
      <c r="D95" s="142"/>
      <c r="E95" s="142"/>
      <c r="F95" s="141"/>
      <c r="G95" s="141"/>
      <c r="H95" s="141"/>
      <c r="I95" s="141"/>
      <c r="J95" s="141"/>
      <c r="K95" s="141"/>
      <c r="L95" s="141"/>
      <c r="M95" s="141"/>
      <c r="N95" s="141"/>
    </row>
    <row r="96" customFormat="false" ht="15.75" hidden="false" customHeight="true" outlineLevel="0" collapsed="false">
      <c r="C96" s="142"/>
      <c r="D96" s="142"/>
      <c r="E96" s="142"/>
      <c r="F96" s="141"/>
      <c r="G96" s="141"/>
      <c r="H96" s="141"/>
      <c r="I96" s="141"/>
      <c r="J96" s="141"/>
      <c r="K96" s="141"/>
      <c r="L96" s="141"/>
      <c r="M96" s="141"/>
      <c r="N96" s="141"/>
    </row>
    <row r="97" customFormat="false" ht="15.75" hidden="false" customHeight="true" outlineLevel="0" collapsed="false">
      <c r="C97" s="142"/>
      <c r="D97" s="142"/>
      <c r="E97" s="142"/>
      <c r="F97" s="141"/>
      <c r="G97" s="141"/>
      <c r="H97" s="141"/>
      <c r="I97" s="141"/>
      <c r="J97" s="141"/>
      <c r="K97" s="141"/>
      <c r="L97" s="141"/>
      <c r="M97" s="141"/>
      <c r="N97" s="141"/>
    </row>
    <row r="98" customFormat="false" ht="15.75" hidden="false" customHeight="true" outlineLevel="0" collapsed="false">
      <c r="C98" s="142"/>
      <c r="D98" s="142"/>
      <c r="E98" s="142"/>
      <c r="F98" s="141"/>
      <c r="G98" s="141"/>
      <c r="H98" s="141"/>
      <c r="I98" s="141"/>
      <c r="J98" s="141"/>
      <c r="K98" s="141"/>
      <c r="L98" s="141"/>
      <c r="M98" s="141"/>
      <c r="N98" s="141"/>
    </row>
    <row r="99" customFormat="false" ht="15.75" hidden="false" customHeight="true" outlineLevel="0" collapsed="false">
      <c r="C99" s="142"/>
      <c r="D99" s="142"/>
      <c r="E99" s="142"/>
      <c r="F99" s="141"/>
      <c r="G99" s="141"/>
      <c r="H99" s="141"/>
      <c r="I99" s="141"/>
      <c r="J99" s="141"/>
      <c r="K99" s="141"/>
      <c r="L99" s="141"/>
      <c r="M99" s="141"/>
      <c r="N99" s="141"/>
    </row>
    <row r="100" customFormat="false" ht="15.75" hidden="false" customHeight="true" outlineLevel="0" collapsed="false">
      <c r="C100" s="142"/>
      <c r="D100" s="142"/>
      <c r="E100" s="142"/>
      <c r="F100" s="141"/>
      <c r="G100" s="141"/>
      <c r="H100" s="141"/>
      <c r="I100" s="141"/>
      <c r="J100" s="141"/>
      <c r="K100" s="141"/>
      <c r="L100" s="141"/>
      <c r="M100" s="141"/>
      <c r="N100" s="141"/>
    </row>
    <row r="101" customFormat="false" ht="15.75" hidden="false" customHeight="true" outlineLevel="0" collapsed="false">
      <c r="C101" s="142"/>
      <c r="D101" s="142"/>
      <c r="E101" s="142"/>
      <c r="F101" s="141"/>
      <c r="G101" s="141"/>
      <c r="H101" s="141"/>
      <c r="I101" s="141"/>
      <c r="J101" s="141"/>
      <c r="K101" s="141"/>
      <c r="L101" s="141"/>
      <c r="M101" s="141"/>
      <c r="N101" s="141"/>
    </row>
    <row r="102" customFormat="false" ht="15.75" hidden="false" customHeight="true" outlineLevel="0" collapsed="false">
      <c r="C102" s="142"/>
      <c r="D102" s="142"/>
      <c r="E102" s="142"/>
      <c r="F102" s="141"/>
      <c r="G102" s="141"/>
      <c r="H102" s="141"/>
      <c r="I102" s="141"/>
      <c r="J102" s="141"/>
      <c r="K102" s="141"/>
      <c r="L102" s="141"/>
      <c r="M102" s="141"/>
      <c r="N102" s="141"/>
    </row>
    <row r="103" customFormat="false" ht="15.75" hidden="false" customHeight="true" outlineLevel="0" collapsed="false">
      <c r="C103" s="142"/>
      <c r="D103" s="142"/>
      <c r="E103" s="142"/>
      <c r="F103" s="141"/>
      <c r="G103" s="141"/>
      <c r="H103" s="141"/>
      <c r="I103" s="141"/>
      <c r="J103" s="141"/>
      <c r="K103" s="141"/>
      <c r="L103" s="141"/>
      <c r="M103" s="141"/>
      <c r="N103" s="141"/>
    </row>
    <row r="104" customFormat="false" ht="15.75" hidden="false" customHeight="true" outlineLevel="0" collapsed="false">
      <c r="C104" s="142"/>
      <c r="D104" s="142"/>
      <c r="E104" s="142"/>
      <c r="F104" s="141"/>
      <c r="G104" s="141"/>
      <c r="H104" s="141"/>
      <c r="I104" s="141"/>
      <c r="J104" s="141"/>
      <c r="K104" s="141"/>
      <c r="L104" s="141"/>
      <c r="M104" s="141"/>
      <c r="N104" s="141"/>
    </row>
    <row r="105" customFormat="false" ht="15.75" hidden="false" customHeight="true" outlineLevel="0" collapsed="false">
      <c r="C105" s="142"/>
      <c r="D105" s="142"/>
      <c r="E105" s="142"/>
      <c r="F105" s="141"/>
      <c r="G105" s="141"/>
      <c r="H105" s="141"/>
      <c r="I105" s="141"/>
      <c r="J105" s="141"/>
      <c r="K105" s="141"/>
      <c r="L105" s="141"/>
      <c r="M105" s="141"/>
      <c r="N105" s="141"/>
    </row>
    <row r="106" customFormat="false" ht="15.75" hidden="false" customHeight="true" outlineLevel="0" collapsed="false">
      <c r="C106" s="142"/>
      <c r="D106" s="142"/>
      <c r="E106" s="142"/>
      <c r="F106" s="141"/>
      <c r="G106" s="141"/>
      <c r="H106" s="141"/>
      <c r="I106" s="141"/>
      <c r="J106" s="141"/>
      <c r="K106" s="141"/>
      <c r="L106" s="141"/>
      <c r="M106" s="141"/>
      <c r="N106" s="141"/>
    </row>
    <row r="107" customFormat="false" ht="15.75" hidden="false" customHeight="true" outlineLevel="0" collapsed="false">
      <c r="C107" s="142"/>
      <c r="D107" s="142"/>
      <c r="E107" s="142"/>
      <c r="F107" s="141"/>
      <c r="G107" s="141"/>
      <c r="H107" s="141"/>
      <c r="I107" s="141"/>
      <c r="J107" s="141"/>
      <c r="K107" s="141"/>
      <c r="L107" s="141"/>
      <c r="M107" s="141"/>
      <c r="N107" s="141"/>
    </row>
    <row r="108" customFormat="false" ht="15.75" hidden="false" customHeight="true" outlineLevel="0" collapsed="false">
      <c r="C108" s="142"/>
      <c r="D108" s="142"/>
      <c r="E108" s="142"/>
      <c r="F108" s="141"/>
      <c r="G108" s="141"/>
      <c r="H108" s="141"/>
      <c r="I108" s="141"/>
      <c r="J108" s="141"/>
      <c r="K108" s="141"/>
      <c r="L108" s="141"/>
      <c r="M108" s="141"/>
      <c r="N108" s="141"/>
    </row>
    <row r="109" customFormat="false" ht="15.75" hidden="false" customHeight="true" outlineLevel="0" collapsed="false">
      <c r="C109" s="142"/>
      <c r="D109" s="142"/>
      <c r="E109" s="142"/>
      <c r="F109" s="141"/>
      <c r="G109" s="141"/>
      <c r="H109" s="141"/>
      <c r="I109" s="141"/>
      <c r="J109" s="141"/>
      <c r="K109" s="141"/>
      <c r="L109" s="141"/>
      <c r="M109" s="141"/>
      <c r="N109" s="141"/>
    </row>
    <row r="110" customFormat="false" ht="15.75" hidden="false" customHeight="true" outlineLevel="0" collapsed="false">
      <c r="C110" s="142"/>
      <c r="D110" s="142"/>
      <c r="E110" s="142"/>
      <c r="F110" s="141"/>
      <c r="G110" s="141"/>
      <c r="H110" s="141"/>
      <c r="I110" s="141"/>
      <c r="J110" s="141"/>
      <c r="K110" s="141"/>
      <c r="L110" s="141"/>
      <c r="M110" s="141"/>
      <c r="N110" s="141"/>
    </row>
    <row r="111" customFormat="false" ht="15.75" hidden="false" customHeight="true" outlineLevel="0" collapsed="false">
      <c r="C111" s="142"/>
      <c r="D111" s="142"/>
      <c r="E111" s="142"/>
      <c r="F111" s="141"/>
      <c r="G111" s="141"/>
      <c r="H111" s="141"/>
      <c r="I111" s="141"/>
      <c r="J111" s="141"/>
      <c r="K111" s="141"/>
      <c r="L111" s="141"/>
      <c r="M111" s="141"/>
      <c r="N111" s="141"/>
    </row>
    <row r="112" customFormat="false" ht="15.75" hidden="false" customHeight="true" outlineLevel="0" collapsed="false">
      <c r="C112" s="142"/>
      <c r="D112" s="142"/>
      <c r="E112" s="142"/>
      <c r="F112" s="141"/>
      <c r="G112" s="141"/>
      <c r="H112" s="141"/>
      <c r="I112" s="141"/>
      <c r="J112" s="141"/>
      <c r="K112" s="141"/>
      <c r="L112" s="141"/>
      <c r="M112" s="141"/>
      <c r="N112" s="141"/>
    </row>
    <row r="113" customFormat="false" ht="15.75" hidden="false" customHeight="true" outlineLevel="0" collapsed="false">
      <c r="C113" s="142"/>
      <c r="D113" s="142"/>
      <c r="E113" s="142"/>
      <c r="F113" s="141"/>
      <c r="G113" s="141"/>
      <c r="H113" s="141"/>
      <c r="I113" s="141"/>
      <c r="J113" s="141"/>
      <c r="K113" s="141"/>
      <c r="L113" s="141"/>
      <c r="M113" s="141"/>
      <c r="N113" s="141"/>
    </row>
    <row r="114" customFormat="false" ht="15.75" hidden="false" customHeight="true" outlineLevel="0" collapsed="false">
      <c r="C114" s="142"/>
      <c r="D114" s="142"/>
      <c r="E114" s="142"/>
      <c r="F114" s="141"/>
      <c r="G114" s="141"/>
      <c r="H114" s="141"/>
      <c r="I114" s="141"/>
      <c r="J114" s="141"/>
      <c r="K114" s="141"/>
      <c r="L114" s="141"/>
      <c r="M114" s="141"/>
      <c r="N114" s="141"/>
    </row>
    <row r="115" customFormat="false" ht="15.75" hidden="false" customHeight="true" outlineLevel="0" collapsed="false">
      <c r="C115" s="142"/>
      <c r="D115" s="142"/>
      <c r="E115" s="142"/>
      <c r="F115" s="141"/>
      <c r="G115" s="141"/>
      <c r="H115" s="141"/>
      <c r="I115" s="141"/>
      <c r="J115" s="141"/>
      <c r="K115" s="141"/>
      <c r="L115" s="141"/>
      <c r="M115" s="141"/>
      <c r="N115" s="141"/>
    </row>
    <row r="116" customFormat="false" ht="15.75" hidden="false" customHeight="true" outlineLevel="0" collapsed="false">
      <c r="C116" s="142"/>
      <c r="D116" s="142"/>
      <c r="E116" s="142"/>
      <c r="F116" s="141"/>
      <c r="G116" s="141"/>
      <c r="H116" s="141"/>
      <c r="I116" s="141"/>
      <c r="J116" s="141"/>
      <c r="K116" s="141"/>
      <c r="L116" s="141"/>
      <c r="M116" s="141"/>
      <c r="N116" s="141"/>
    </row>
    <row r="117" customFormat="false" ht="15.75" hidden="false" customHeight="true" outlineLevel="0" collapsed="false">
      <c r="C117" s="142"/>
      <c r="D117" s="142"/>
      <c r="E117" s="142"/>
      <c r="F117" s="141"/>
      <c r="G117" s="141"/>
      <c r="H117" s="141"/>
      <c r="I117" s="141"/>
      <c r="J117" s="141"/>
      <c r="K117" s="141"/>
      <c r="L117" s="141"/>
      <c r="M117" s="141"/>
      <c r="N117" s="141"/>
    </row>
    <row r="118" customFormat="false" ht="15.75" hidden="false" customHeight="true" outlineLevel="0" collapsed="false">
      <c r="C118" s="142"/>
      <c r="D118" s="142"/>
      <c r="E118" s="142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customFormat="false" ht="15.75" hidden="false" customHeight="true" outlineLevel="0" collapsed="false">
      <c r="C119" s="142"/>
      <c r="D119" s="142"/>
      <c r="E119" s="142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customFormat="false" ht="15.75" hidden="false" customHeight="true" outlineLevel="0" collapsed="false">
      <c r="C120" s="142"/>
      <c r="D120" s="142"/>
      <c r="E120" s="142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8.73046875" defaultRowHeight="15.75" zeroHeight="false" outlineLevelRow="0" outlineLevelCol="0"/>
  <cols>
    <col collapsed="false" customWidth="true" hidden="false" outlineLevel="0" max="1" min="1" style="25" width="52"/>
    <col collapsed="false" customWidth="true" hidden="false" outlineLevel="0" max="2" min="2" style="25" width="12.18"/>
    <col collapsed="false" customWidth="false" hidden="false" outlineLevel="0" max="3" min="3" style="25" width="8.73"/>
    <col collapsed="false" customWidth="true" hidden="false" outlineLevel="0" max="4" min="4" style="25" width="23.18"/>
    <col collapsed="false" customWidth="true" hidden="false" outlineLevel="0" max="5" min="5" style="25" width="9.54"/>
    <col collapsed="false" customWidth="true" hidden="false" outlineLevel="0" max="6" min="6" style="25" width="10.09"/>
    <col collapsed="false" customWidth="true" hidden="false" outlineLevel="0" max="7" min="7" style="25" width="21.18"/>
    <col collapsed="false" customWidth="false" hidden="false" outlineLevel="0" max="16384" min="8" style="25" width="8.73"/>
  </cols>
  <sheetData>
    <row r="1" customFormat="false" ht="21" hidden="false" customHeight="true" outlineLevel="0" collapsed="false">
      <c r="A1" s="205" t="s">
        <v>191</v>
      </c>
      <c r="B1" s="27"/>
      <c r="C1" s="27"/>
      <c r="D1" s="27"/>
      <c r="E1" s="28"/>
    </row>
    <row r="3" customFormat="false" ht="15.75" hidden="false" customHeight="false" outlineLevel="0" collapsed="false">
      <c r="A3" s="206" t="s">
        <v>192</v>
      </c>
      <c r="B3" s="207" t="n">
        <f aca="false">B23</f>
        <v>1.47872078632189</v>
      </c>
      <c r="C3" s="208"/>
      <c r="D3" s="206" t="s">
        <v>193</v>
      </c>
      <c r="E3" s="209" t="n">
        <f aca="false">B4+B3*(B5-B4)</f>
        <v>0.16221999992797</v>
      </c>
    </row>
    <row r="4" customFormat="false" ht="15.75" hidden="false" customHeight="false" outlineLevel="0" collapsed="false">
      <c r="A4" s="206" t="s">
        <v>194</v>
      </c>
      <c r="B4" s="210" t="n">
        <f aca="false">B13</f>
        <v>0.042</v>
      </c>
      <c r="C4" s="208"/>
      <c r="D4" s="206" t="s">
        <v>195</v>
      </c>
      <c r="E4" s="209" t="n">
        <f aca="false">B15*(1-Assumption!D15)</f>
        <v>0.08</v>
      </c>
    </row>
    <row r="5" customFormat="false" ht="15.75" hidden="false" customHeight="false" outlineLevel="0" collapsed="false">
      <c r="A5" s="206" t="s">
        <v>196</v>
      </c>
      <c r="B5" s="209" t="n">
        <f aca="false">B24</f>
        <v>0.1233</v>
      </c>
      <c r="C5" s="208"/>
      <c r="D5" s="211" t="s">
        <v>197</v>
      </c>
      <c r="E5" s="210" t="n">
        <f aca="false">(B7*E3+B8*E4)/B9</f>
        <v>0.138360839936764</v>
      </c>
    </row>
    <row r="6" customFormat="false" ht="15.75" hidden="false" customHeight="false" outlineLevel="0" collapsed="false">
      <c r="A6" s="206"/>
      <c r="B6" s="208"/>
      <c r="C6" s="208"/>
      <c r="D6" s="208"/>
      <c r="E6" s="208"/>
    </row>
    <row r="7" customFormat="false" ht="15.75" hidden="false" customHeight="false" outlineLevel="0" collapsed="false">
      <c r="A7" s="206" t="s">
        <v>198</v>
      </c>
      <c r="B7" s="212" t="n">
        <f aca="false">'Balance Sheet'!I76</f>
        <v>79989555.9266419</v>
      </c>
      <c r="C7" s="208"/>
      <c r="D7" s="208"/>
      <c r="E7" s="213"/>
      <c r="F7" s="176"/>
      <c r="G7" s="176"/>
    </row>
    <row r="8" customFormat="false" ht="15.75" hidden="false" customHeight="false" outlineLevel="0" collapsed="false">
      <c r="A8" s="206" t="s">
        <v>159</v>
      </c>
      <c r="B8" s="212" t="n">
        <f aca="false">'Balance Sheet'!I61+'Balance Sheet'!I48</f>
        <v>32701441.8323515</v>
      </c>
      <c r="C8" s="208"/>
      <c r="D8" s="208"/>
      <c r="E8" s="214"/>
      <c r="F8" s="176"/>
      <c r="G8" s="176"/>
    </row>
    <row r="9" customFormat="false" ht="15.75" hidden="false" customHeight="false" outlineLevel="0" collapsed="false">
      <c r="A9" s="206" t="s">
        <v>199</v>
      </c>
      <c r="B9" s="212" t="n">
        <f aca="false">B7+B8</f>
        <v>112690997.758993</v>
      </c>
      <c r="C9" s="208"/>
      <c r="D9" s="215"/>
      <c r="E9" s="216"/>
      <c r="F9" s="217"/>
      <c r="G9" s="176"/>
    </row>
    <row r="10" customFormat="false" ht="15.75" hidden="false" customHeight="false" outlineLevel="0" collapsed="false">
      <c r="D10" s="176"/>
      <c r="E10" s="176"/>
      <c r="F10" s="176"/>
      <c r="G10" s="176"/>
    </row>
    <row r="12" customFormat="false" ht="15.75" hidden="false" customHeight="false" outlineLevel="0" collapsed="false">
      <c r="A12" s="218" t="s">
        <v>200</v>
      </c>
    </row>
    <row r="13" customFormat="false" ht="15.75" hidden="false" customHeight="false" outlineLevel="0" collapsed="false">
      <c r="A13" s="219" t="s">
        <v>201</v>
      </c>
      <c r="B13" s="220" t="n">
        <v>0.042</v>
      </c>
    </row>
    <row r="14" customFormat="false" ht="15.75" hidden="false" customHeight="false" outlineLevel="0" collapsed="false">
      <c r="A14" s="219" t="s">
        <v>202</v>
      </c>
      <c r="B14" s="220" t="n">
        <v>0.0423</v>
      </c>
    </row>
    <row r="15" customFormat="false" ht="15.75" hidden="false" customHeight="false" outlineLevel="0" collapsed="false">
      <c r="A15" s="219" t="s">
        <v>203</v>
      </c>
      <c r="B15" s="220" t="n">
        <v>0.1</v>
      </c>
    </row>
    <row r="16" customFormat="false" ht="15.75" hidden="false" customHeight="false" outlineLevel="0" collapsed="false">
      <c r="A16" s="219" t="s">
        <v>204</v>
      </c>
      <c r="B16" s="220" t="n">
        <v>0.039</v>
      </c>
    </row>
    <row r="17" customFormat="false" ht="15.75" hidden="false" customHeight="false" outlineLevel="0" collapsed="false">
      <c r="A17" s="219" t="s">
        <v>205</v>
      </c>
      <c r="B17" s="221" t="n">
        <f aca="false">B14+B16</f>
        <v>0.0813</v>
      </c>
    </row>
    <row r="18" customFormat="false" ht="15.75" hidden="false" customHeight="false" outlineLevel="0" collapsed="false">
      <c r="A18" s="219" t="s">
        <v>206</v>
      </c>
      <c r="B18" s="222" t="n">
        <v>0.78</v>
      </c>
    </row>
    <row r="19" customFormat="false" ht="15.75" hidden="false" customHeight="false" outlineLevel="0" collapsed="false">
      <c r="A19" s="219" t="s">
        <v>207</v>
      </c>
      <c r="B19" s="223" t="n">
        <f aca="false">B8/B7</f>
        <v>0.408821394912379</v>
      </c>
    </row>
    <row r="20" customFormat="false" ht="15.75" hidden="false" customHeight="false" outlineLevel="0" collapsed="false">
      <c r="A20" s="219" t="s">
        <v>208</v>
      </c>
      <c r="B20" s="224" t="n">
        <f aca="false">Assumption!D15</f>
        <v>0.2</v>
      </c>
    </row>
    <row r="21" customFormat="false" ht="15.75" hidden="false" customHeight="false" outlineLevel="0" collapsed="false">
      <c r="A21" s="219" t="s">
        <v>209</v>
      </c>
      <c r="B21" s="225" t="n">
        <f aca="false">B18*(1+(1-B20)*B19)</f>
        <v>1.03510455042532</v>
      </c>
    </row>
    <row r="22" customFormat="false" ht="15.75" hidden="false" customHeight="false" outlineLevel="0" collapsed="false">
      <c r="A22" s="219" t="s">
        <v>210</v>
      </c>
      <c r="B22" s="222" t="n">
        <v>0.7</v>
      </c>
    </row>
    <row r="23" customFormat="false" ht="15.75" hidden="false" customHeight="false" outlineLevel="0" collapsed="false">
      <c r="A23" s="219" t="s">
        <v>211</v>
      </c>
      <c r="B23" s="225" t="n">
        <f aca="false">B21/B22</f>
        <v>1.47872078632189</v>
      </c>
    </row>
    <row r="24" customFormat="false" ht="15.75" hidden="false" customHeight="false" outlineLevel="0" collapsed="false">
      <c r="A24" s="219" t="s">
        <v>212</v>
      </c>
      <c r="B24" s="221" t="n">
        <f aca="false">B13+B17</f>
        <v>0.1233</v>
      </c>
    </row>
    <row r="26" customFormat="false" ht="15.75" hidden="false" customHeight="false" outlineLevel="0" collapsed="false">
      <c r="A26" s="226" t="s">
        <v>213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2" colorId="64" zoomScale="118" zoomScaleNormal="118" zoomScalePageLayoutView="100" workbookViewId="0">
      <selection pane="topLeft" activeCell="A11" activeCellId="0" sqref="A11"/>
    </sheetView>
  </sheetViews>
  <sheetFormatPr defaultColWidth="8.73046875" defaultRowHeight="13.5" zeroHeight="false" outlineLevelRow="0" outlineLevelCol="0"/>
  <cols>
    <col collapsed="false" customWidth="true" hidden="false" outlineLevel="0" max="1" min="1" style="208" width="43.18"/>
    <col collapsed="false" customWidth="true" hidden="false" outlineLevel="0" max="2" min="2" style="208" width="1"/>
    <col collapsed="false" customWidth="true" hidden="false" outlineLevel="0" max="3" min="3" style="208" width="5.27"/>
    <col collapsed="false" customWidth="true" hidden="false" outlineLevel="0" max="4" min="4" style="208" width="13.82"/>
    <col collapsed="false" customWidth="false" hidden="false" outlineLevel="0" max="16384" min="5" style="208" width="8.73"/>
  </cols>
  <sheetData>
    <row r="1" customFormat="false" ht="24" hidden="false" customHeight="true" outlineLevel="0" collapsed="false">
      <c r="A1" s="227" t="s">
        <v>11</v>
      </c>
      <c r="B1" s="227"/>
      <c r="C1" s="227"/>
      <c r="D1" s="228"/>
      <c r="E1" s="228"/>
      <c r="F1" s="228"/>
      <c r="G1" s="229"/>
      <c r="H1" s="229"/>
      <c r="I1" s="229"/>
    </row>
    <row r="2" s="10" customFormat="true" ht="13.5" hidden="false" customHeight="false" outlineLevel="0" collapsed="false">
      <c r="D2" s="10" t="n">
        <v>0</v>
      </c>
      <c r="E2" s="10" t="n">
        <v>1</v>
      </c>
      <c r="F2" s="10" t="n">
        <v>2</v>
      </c>
      <c r="G2" s="10" t="n">
        <v>3</v>
      </c>
      <c r="H2" s="10" t="n">
        <v>4</v>
      </c>
      <c r="I2" s="10" t="n">
        <v>5</v>
      </c>
    </row>
    <row r="3" customFormat="false" ht="13.5" hidden="false" customHeight="false" outlineLevel="0" collapsed="false">
      <c r="D3" s="230" t="n">
        <f aca="false">'Income Statement'!D4</f>
        <v>2025</v>
      </c>
      <c r="E3" s="231" t="n">
        <f aca="false">D3+1</f>
        <v>2026</v>
      </c>
      <c r="F3" s="231" t="n">
        <f aca="false">E3+1</f>
        <v>2027</v>
      </c>
      <c r="G3" s="231" t="n">
        <f aca="false">F3+1</f>
        <v>2028</v>
      </c>
      <c r="H3" s="231" t="n">
        <f aca="false">G3+1</f>
        <v>2029</v>
      </c>
      <c r="I3" s="231" t="n">
        <f aca="false">H3+1</f>
        <v>2030</v>
      </c>
    </row>
    <row r="4" customFormat="false" ht="13.5" hidden="false" customHeight="false" outlineLevel="0" collapsed="false">
      <c r="A4" s="232" t="s">
        <v>214</v>
      </c>
      <c r="B4" s="232"/>
      <c r="C4" s="232"/>
      <c r="D4" s="233" t="n">
        <f aca="false">'Income Statement'!D13/'Income Statement'!C13-1</f>
        <v>0.537315376523464</v>
      </c>
      <c r="E4" s="234" t="n">
        <f aca="false">Drivers!F40</f>
        <v>0.339189621922363</v>
      </c>
      <c r="F4" s="234" t="n">
        <f aca="false">Drivers!G40</f>
        <v>0.252329824918865</v>
      </c>
      <c r="G4" s="234" t="n">
        <f aca="false">Drivers!H40</f>
        <v>0.384509736750299</v>
      </c>
      <c r="H4" s="234" t="n">
        <f aca="false">Drivers!I40</f>
        <v>0.28262859705866</v>
      </c>
      <c r="I4" s="234" t="n">
        <f aca="false">Drivers!J40</f>
        <v>0.202772153458088</v>
      </c>
    </row>
    <row r="5" customFormat="false" ht="13.5" hidden="false" customHeight="false" outlineLevel="0" collapsed="false">
      <c r="A5" s="232" t="s">
        <v>215</v>
      </c>
      <c r="B5" s="232"/>
      <c r="C5" s="232"/>
      <c r="D5" s="233" t="n">
        <f aca="false">'Income Statement'!D18/'Income Statement'!D13</f>
        <v>0.271848437751652</v>
      </c>
      <c r="E5" s="235" t="n">
        <f aca="false">Drivers!F60</f>
        <v>0.272053099160388</v>
      </c>
      <c r="F5" s="235" t="n">
        <f aca="false">Drivers!G60</f>
        <v>0.274370623132767</v>
      </c>
      <c r="G5" s="235" t="n">
        <f aca="false">Drivers!H60</f>
        <v>0.29354210918738</v>
      </c>
      <c r="H5" s="235" t="n">
        <f aca="false">Drivers!I60</f>
        <v>0.285190037993464</v>
      </c>
      <c r="I5" s="235" t="n">
        <f aca="false">Drivers!J60</f>
        <v>0.288464878596464</v>
      </c>
    </row>
    <row r="6" customFormat="false" ht="13.5" hidden="false" customHeight="false" outlineLevel="0" collapsed="false">
      <c r="A6" s="232" t="s">
        <v>216</v>
      </c>
      <c r="B6" s="232"/>
      <c r="C6" s="232"/>
      <c r="D6" s="233" t="n">
        <f aca="false">'Income Statement'!D63/'Income Statement'!D13</f>
        <v>0.566317890622176</v>
      </c>
      <c r="E6" s="235" t="n">
        <f aca="false">Drivers!F78</f>
        <v>0.549157492998054</v>
      </c>
      <c r="F6" s="235" t="n">
        <f aca="false">Drivers!G78</f>
        <v>0.546676986382308</v>
      </c>
      <c r="G6" s="235" t="n">
        <f aca="false">Drivers!H78</f>
        <v>0.545613264275129</v>
      </c>
      <c r="H6" s="235" t="n">
        <f aca="false">Drivers!I78</f>
        <v>0.524655721947125</v>
      </c>
      <c r="I6" s="235" t="n">
        <f aca="false">Drivers!J78</f>
        <v>0.509356342061916</v>
      </c>
    </row>
    <row r="7" customFormat="false" ht="13.5" hidden="false" customHeight="false" outlineLevel="0" collapsed="false">
      <c r="A7" s="232" t="s">
        <v>217</v>
      </c>
      <c r="B7" s="232"/>
      <c r="C7" s="232"/>
      <c r="D7" s="233" t="n">
        <f aca="false">'Income Statement'!D69/'Income Statement'!D13</f>
        <v>0.00299037607332679</v>
      </c>
      <c r="E7" s="233" t="n">
        <f aca="false">Drivers!F120</f>
        <v>0.00251689010610546</v>
      </c>
      <c r="F7" s="233" t="n">
        <f aca="false">Drivers!G120</f>
        <v>0.0215097661622556</v>
      </c>
      <c r="G7" s="233" t="n">
        <f aca="false">Drivers!H120</f>
        <v>0.029620424525517</v>
      </c>
      <c r="H7" s="233" t="n">
        <f aca="false">Drivers!I120</f>
        <v>0.0208973532858766</v>
      </c>
      <c r="I7" s="233" t="n">
        <f aca="false">Drivers!J120</f>
        <v>0.0137224626034146</v>
      </c>
    </row>
    <row r="8" customFormat="false" ht="13.5" hidden="false" customHeight="false" outlineLevel="0" collapsed="false">
      <c r="A8" s="232" t="s">
        <v>218</v>
      </c>
      <c r="B8" s="232"/>
      <c r="C8" s="232"/>
      <c r="D8" s="233" t="n">
        <f aca="false">('Balance Sheet'!G22-'Balance Sheet'!G7)/'Income Statement'!D13</f>
        <v>0.159619856659944</v>
      </c>
      <c r="E8" s="235" t="n">
        <f aca="false">(Drivers!F95+Drivers!F97+Drivers!F99)/Drivers!F39</f>
        <v>0.163850164153531</v>
      </c>
      <c r="F8" s="235" t="n">
        <f aca="false">(Drivers!G95+Drivers!G97+Drivers!G99)/Drivers!G39</f>
        <v>0.175444006337744</v>
      </c>
      <c r="G8" s="235" t="n">
        <f aca="false">(Drivers!H95+Drivers!H97+Drivers!H99)/Drivers!H39</f>
        <v>0.195676497163493</v>
      </c>
      <c r="H8" s="235" t="n">
        <f aca="false">(Drivers!I95+Drivers!I97+Drivers!I99)/Drivers!I39</f>
        <v>0.200326037806429</v>
      </c>
      <c r="I8" s="235" t="n">
        <f aca="false">(Drivers!J95+Drivers!J97+Drivers!J99)/Drivers!J39</f>
        <v>0.197271680730586</v>
      </c>
    </row>
    <row r="9" customFormat="false" ht="13.5" hidden="false" customHeight="false" outlineLevel="0" collapsed="false">
      <c r="A9" s="232" t="s">
        <v>219</v>
      </c>
      <c r="B9" s="232"/>
      <c r="C9" s="232"/>
      <c r="D9" s="233" t="n">
        <f aca="false">('Balance Sheet'!G58-'Balance Sheet'!G48)/'Income Statement'!D13</f>
        <v>0.00720834966707064</v>
      </c>
      <c r="E9" s="235" t="n">
        <f aca="false">(Drivers!F101+Drivers!F103)/Drivers!F39</f>
        <v>0.00945350956603803</v>
      </c>
      <c r="F9" s="235" t="n">
        <f aca="false">(Drivers!G101+Drivers!G103)/Drivers!G39</f>
        <v>0.0110204040482005</v>
      </c>
      <c r="G9" s="235" t="n">
        <f aca="false">(Drivers!H101+Drivers!H103)/Drivers!H39</f>
        <v>0.0140633743501663</v>
      </c>
      <c r="H9" s="235" t="n">
        <f aca="false">(Drivers!I101+Drivers!I103)/Drivers!I39</f>
        <v>0.0137201385476766</v>
      </c>
      <c r="I9" s="235" t="n">
        <f aca="false">(Drivers!J101+Drivers!J103)/Drivers!J39</f>
        <v>0.0138547210382108</v>
      </c>
    </row>
    <row r="10" customFormat="false" ht="13.5" hidden="false" customHeight="false" outlineLevel="0" collapsed="false">
      <c r="A10" s="232" t="s">
        <v>220</v>
      </c>
      <c r="B10" s="232"/>
      <c r="C10" s="232"/>
      <c r="D10" s="233" t="n">
        <f aca="false">'Balance Sheet'!G10/('Balance Sheet'!G22-'Balance Sheet'!G7)</f>
        <v>0.493914514643508</v>
      </c>
      <c r="E10" s="235" t="n">
        <f aca="false">Drivers!F95/(Drivers!F95+Drivers!F97+Drivers!F99)</f>
        <v>0.454897900441158</v>
      </c>
      <c r="F10" s="235" t="n">
        <f aca="false">Drivers!G95/(Drivers!G95+Drivers!G97+Drivers!G99)</f>
        <v>0.428455980367297</v>
      </c>
      <c r="G10" s="235" t="n">
        <f aca="false">Drivers!H95/(Drivers!H95+Drivers!H97+Drivers!H99)</f>
        <v>0.431547077320223</v>
      </c>
      <c r="H10" s="235" t="n">
        <f aca="false">Drivers!I95/(Drivers!I95+Drivers!I97+Drivers!I99)</f>
        <v>0.390035453404267</v>
      </c>
      <c r="I10" s="235" t="n">
        <f aca="false">Drivers!J95/(Drivers!J95+Drivers!J97+Drivers!J99)</f>
        <v>0.380591373432891</v>
      </c>
    </row>
    <row r="11" customFormat="false" ht="13.5" hidden="false" customHeight="false" outlineLevel="0" collapsed="false">
      <c r="A11" s="232" t="s">
        <v>221</v>
      </c>
      <c r="B11" s="232"/>
      <c r="C11" s="232"/>
      <c r="D11" s="233" t="n">
        <f aca="false">'Balance Sheet'!G13/('Balance Sheet'!G22-'Balance Sheet'!G7)</f>
        <v>0.232928424889023</v>
      </c>
      <c r="E11" s="235" t="n">
        <f aca="false">Drivers!F97/(Drivers!F95+Drivers!F97+Drivers!F99)</f>
        <v>0.300976619388318</v>
      </c>
      <c r="F11" s="235" t="n">
        <f aca="false">Drivers!G97/(Drivers!G95+Drivers!G97+Drivers!G99)</f>
        <v>0.343551050052444</v>
      </c>
      <c r="G11" s="235" t="n">
        <f aca="false">Drivers!H97/(Drivers!H95+Drivers!H97+Drivers!H99)</f>
        <v>0.364033891371286</v>
      </c>
      <c r="H11" s="235" t="n">
        <f aca="false">Drivers!I97/(Drivers!I95+Drivers!I97+Drivers!I99)</f>
        <v>0.410290053763946</v>
      </c>
      <c r="I11" s="235" t="n">
        <f aca="false">Drivers!J97/(Drivers!J95+Drivers!J97+Drivers!J99)</f>
        <v>0.416642573924064</v>
      </c>
    </row>
    <row r="12" customFormat="false" ht="13.5" hidden="false" customHeight="false" outlineLevel="0" collapsed="false">
      <c r="A12" s="232" t="s">
        <v>222</v>
      </c>
      <c r="B12" s="232"/>
      <c r="C12" s="232"/>
      <c r="D12" s="233" t="n">
        <f aca="false">'Balance Sheet'!G41/('Balance Sheet'!G58-'Balance Sheet'!G48)</f>
        <v>0.769230769230769</v>
      </c>
      <c r="E12" s="235" t="n">
        <f aca="false">Drivers!F101/(Drivers!F101+Drivers!F103)</f>
        <v>0.788438358682679</v>
      </c>
      <c r="F12" s="235" t="n">
        <f aca="false">Drivers!G101/(Drivers!G101+Drivers!G103)</f>
        <v>0.818518450752578</v>
      </c>
      <c r="G12" s="235" t="n">
        <f aca="false">Drivers!H101/(Drivers!H101+Drivers!H103)</f>
        <v>0.857786620038572</v>
      </c>
      <c r="H12" s="235" t="n">
        <f aca="false">Drivers!I101/(Drivers!I101+Drivers!I103)</f>
        <v>0.854228877277724</v>
      </c>
      <c r="I12" s="235" t="n">
        <f aca="false">Drivers!J101/(Drivers!J101+Drivers!J103)</f>
        <v>0.855644874084143</v>
      </c>
    </row>
    <row r="13" customFormat="false" ht="13.5" hidden="false" customHeight="false" outlineLevel="0" collapsed="false">
      <c r="A13" s="232" t="s">
        <v>223</v>
      </c>
      <c r="B13" s="232"/>
      <c r="C13" s="232"/>
      <c r="D13" s="233" t="n">
        <f aca="false">'Pro Forma'!B25/'Income Statement'!D13</f>
        <v>0.106937776598666</v>
      </c>
      <c r="E13" s="235" t="n">
        <f aca="false">Drivers!F83</f>
        <v>0.2</v>
      </c>
      <c r="F13" s="235" t="n">
        <f aca="false">Drivers!G83</f>
        <v>0.65</v>
      </c>
      <c r="G13" s="236" t="n">
        <f aca="false">Drivers!H83</f>
        <v>0.12</v>
      </c>
      <c r="H13" s="235" t="n">
        <f aca="false">Drivers!I83</f>
        <v>0.1</v>
      </c>
      <c r="I13" s="235" t="n">
        <f aca="false">Drivers!J83</f>
        <v>0.1</v>
      </c>
    </row>
    <row r="15" customFormat="false" ht="13.5" hidden="false" customHeight="false" outlineLevel="0" collapsed="false">
      <c r="A15" s="237" t="s">
        <v>224</v>
      </c>
      <c r="B15" s="237"/>
      <c r="C15" s="237"/>
      <c r="D15" s="238" t="n">
        <v>0.2</v>
      </c>
    </row>
    <row r="16" customFormat="false" ht="13.5" hidden="false" customHeight="false" outlineLevel="0" collapsed="false">
      <c r="A16" s="237" t="s">
        <v>225</v>
      </c>
      <c r="B16" s="237"/>
      <c r="C16" s="237"/>
      <c r="D16" s="239" t="n">
        <v>0.05</v>
      </c>
    </row>
    <row r="17" customFormat="false" ht="13.5" hidden="false" customHeight="false" outlineLevel="0" collapsed="false">
      <c r="A17" s="237" t="s">
        <v>226</v>
      </c>
      <c r="B17" s="237"/>
      <c r="C17" s="237"/>
      <c r="D17" s="240" t="n">
        <v>0.12</v>
      </c>
    </row>
    <row r="18" customFormat="false" ht="13.5" hidden="false" customHeight="false" outlineLevel="0" collapsed="false">
      <c r="A18" s="237" t="s">
        <v>227</v>
      </c>
      <c r="B18" s="237"/>
      <c r="C18" s="237"/>
      <c r="D18" s="241" t="n">
        <f aca="false">'Discount rate'!E5</f>
        <v>0.138360839936764</v>
      </c>
    </row>
    <row r="19" customFormat="false" ht="13.5" hidden="false" customHeight="false" outlineLevel="0" collapsed="false">
      <c r="A19" s="242" t="s">
        <v>228</v>
      </c>
      <c r="D19" s="243" t="n">
        <v>0.18</v>
      </c>
    </row>
    <row r="21" customFormat="false" ht="13.5" hidden="false" customHeight="false" outlineLevel="0" collapsed="false">
      <c r="A21" s="226" t="s">
        <v>229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B1E2B"/>
    <pageSetUpPr fitToPage="false"/>
  </sheetPr>
  <dimension ref="A1:K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664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10" min="3" style="0" width="14"/>
    <col collapsed="false" customWidth="true" hidden="false" outlineLevel="0" max="11" min="11" style="0" width="90"/>
  </cols>
  <sheetData>
    <row r="1" customFormat="false" ht="17.35" hidden="false" customHeight="false" outlineLevel="0" collapsed="false">
      <c r="A1" s="244" t="s">
        <v>230</v>
      </c>
    </row>
    <row r="2" customFormat="false" ht="15" hidden="false" customHeight="false" outlineLevel="0" collapsed="false">
      <c r="A2" s="245" t="s">
        <v>231</v>
      </c>
    </row>
    <row r="3" customFormat="false" ht="15" hidden="false" customHeight="false" outlineLevel="0" collapsed="false">
      <c r="A3" s="186" t="s">
        <v>232</v>
      </c>
      <c r="C3" s="246" t="n">
        <v>2</v>
      </c>
      <c r="D3" s="186" t="str">
        <f aca="false">CHOOSE(C3,"Bear","Base","Bull")</f>
        <v>Base</v>
      </c>
    </row>
    <row r="4" customFormat="false" ht="15" hidden="false" customHeight="false" outlineLevel="0" collapsed="false">
      <c r="A4" s="186" t="s">
        <v>233</v>
      </c>
      <c r="C4" s="246" t="n">
        <v>2027</v>
      </c>
      <c r="K4" s="245" t="s">
        <v>234</v>
      </c>
    </row>
    <row r="6" customFormat="false" ht="15" hidden="false" customHeight="false" outlineLevel="0" collapsed="false">
      <c r="A6" s="247" t="s">
        <v>235</v>
      </c>
      <c r="B6" s="247" t="s">
        <v>236</v>
      </c>
      <c r="C6" s="247" t="s">
        <v>237</v>
      </c>
      <c r="D6" s="247" t="s">
        <v>238</v>
      </c>
      <c r="E6" s="247" t="s">
        <v>239</v>
      </c>
      <c r="F6" s="247" t="s">
        <v>240</v>
      </c>
      <c r="G6" s="247" t="s">
        <v>241</v>
      </c>
      <c r="H6" s="247" t="s">
        <v>242</v>
      </c>
      <c r="I6" s="247" t="s">
        <v>243</v>
      </c>
      <c r="J6" s="247" t="s">
        <v>244</v>
      </c>
      <c r="K6" s="247" t="s">
        <v>245</v>
      </c>
    </row>
    <row r="7" customFormat="false" ht="15" hidden="false" customHeight="false" outlineLevel="0" collapsed="false">
      <c r="A7" s="248" t="s">
        <v>246</v>
      </c>
      <c r="C7" s="249" t="n">
        <v>2023</v>
      </c>
      <c r="D7" s="249" t="n">
        <v>2024</v>
      </c>
      <c r="E7" s="249" t="n">
        <v>2025</v>
      </c>
      <c r="F7" s="249" t="n">
        <v>2026</v>
      </c>
      <c r="G7" s="249" t="n">
        <v>2027</v>
      </c>
      <c r="H7" s="249" t="n">
        <v>2028</v>
      </c>
      <c r="I7" s="249" t="n">
        <v>2029</v>
      </c>
      <c r="J7" s="249" t="n">
        <v>2030</v>
      </c>
    </row>
    <row r="8" customFormat="false" ht="15" hidden="false" customHeight="false" outlineLevel="0" collapsed="false">
      <c r="A8" s="250" t="s">
        <v>247</v>
      </c>
      <c r="B8" s="251"/>
      <c r="C8" s="251"/>
      <c r="D8" s="251"/>
      <c r="E8" s="251"/>
      <c r="F8" s="251"/>
      <c r="G8" s="251"/>
      <c r="H8" s="251"/>
      <c r="I8" s="251"/>
      <c r="J8" s="251"/>
      <c r="K8" s="251"/>
    </row>
    <row r="9" customFormat="false" ht="15" hidden="false" customHeight="false" outlineLevel="0" collapsed="false">
      <c r="A9" s="252" t="s">
        <v>248</v>
      </c>
    </row>
    <row r="10" customFormat="false" ht="15" hidden="false" customHeight="false" outlineLevel="0" collapsed="false">
      <c r="A10" s="219" t="s">
        <v>249</v>
      </c>
      <c r="B10" s="245" t="s">
        <v>250</v>
      </c>
      <c r="E10" s="253" t="n">
        <v>2.5</v>
      </c>
      <c r="F10" s="254" t="n">
        <f aca="false">E10*(1+F11)</f>
        <v>2.55</v>
      </c>
      <c r="G10" s="254" t="n">
        <f aca="false">F10*(1+G11)</f>
        <v>2.601</v>
      </c>
      <c r="H10" s="254" t="n">
        <f aca="false">G10*(1+H11)</f>
        <v>2.65302</v>
      </c>
      <c r="I10" s="254" t="n">
        <f aca="false">H10*(1+I11)</f>
        <v>2.7060804</v>
      </c>
      <c r="J10" s="254" t="n">
        <f aca="false">I10*(1+J11)</f>
        <v>2.760202008</v>
      </c>
      <c r="K10" s="245" t="s">
        <v>251</v>
      </c>
    </row>
    <row r="11" customFormat="false" ht="15" hidden="false" customHeight="false" outlineLevel="0" collapsed="false">
      <c r="A11" s="219" t="s">
        <v>252</v>
      </c>
      <c r="B11" s="245" t="s">
        <v>253</v>
      </c>
      <c r="F11" s="223" t="n">
        <f aca="false">INDEX($C$133:$E$133,$C$3)</f>
        <v>0.02</v>
      </c>
      <c r="G11" s="223" t="n">
        <f aca="false">INDEX($C$133:$E$133,$C$3)</f>
        <v>0.02</v>
      </c>
      <c r="H11" s="223" t="n">
        <f aca="false">INDEX($C$133:$E$133,$C$3)</f>
        <v>0.02</v>
      </c>
      <c r="I11" s="223" t="n">
        <f aca="false">INDEX($C$133:$E$133,$C$3)</f>
        <v>0.02</v>
      </c>
      <c r="J11" s="223" t="n">
        <f aca="false">INDEX($C$133:$E$133,$C$3)</f>
        <v>0.02</v>
      </c>
      <c r="K11" s="245" t="s">
        <v>254</v>
      </c>
    </row>
    <row r="12" customFormat="false" ht="15" hidden="false" customHeight="false" outlineLevel="0" collapsed="false">
      <c r="A12" s="219" t="s">
        <v>255</v>
      </c>
      <c r="B12" s="245" t="s">
        <v>256</v>
      </c>
      <c r="C12" s="255" t="n">
        <f aca="false">C14/$E$10</f>
        <v>6022000</v>
      </c>
      <c r="D12" s="255" t="n">
        <f aca="false">D14/$E$10</f>
        <v>9635200</v>
      </c>
      <c r="E12" s="255" t="n">
        <f aca="false">E14/$E$10</f>
        <v>15223616</v>
      </c>
      <c r="F12" s="255" t="n">
        <f aca="false">E12*(1+F13)</f>
        <v>20095173.12</v>
      </c>
      <c r="G12" s="255" t="n">
        <f aca="false">F12*(1+G13)</f>
        <v>24516111.2064</v>
      </c>
      <c r="H12" s="255" t="n">
        <f aca="false">G12*(1+H13)</f>
        <v>33096750.12864</v>
      </c>
      <c r="I12" s="255" t="n">
        <f aca="false">H12*(1+I13)</f>
        <v>41370937.6608</v>
      </c>
      <c r="J12" s="255" t="n">
        <f aca="false">I12*(1+J13)</f>
        <v>48403997.063136</v>
      </c>
      <c r="K12" s="245" t="s">
        <v>257</v>
      </c>
    </row>
    <row r="13" customFormat="false" ht="15" hidden="false" customHeight="false" outlineLevel="0" collapsed="false">
      <c r="A13" s="219" t="s">
        <v>258</v>
      </c>
      <c r="B13" s="245" t="s">
        <v>259</v>
      </c>
      <c r="D13" s="223" t="n">
        <f aca="false">D12/C12-1</f>
        <v>0.6</v>
      </c>
      <c r="E13" s="223" t="n">
        <f aca="false">E12/D12-1</f>
        <v>0.58</v>
      </c>
      <c r="F13" s="223" t="n">
        <f aca="false">IF($C$4=2027,F139,F140)*INDEX($C$132:$E$132,$C$3)</f>
        <v>0.32</v>
      </c>
      <c r="G13" s="223" t="n">
        <f aca="false">IF($C$4=2027,G139,G140)*INDEX($C$132:$E$132,$C$3)</f>
        <v>0.22</v>
      </c>
      <c r="H13" s="223" t="n">
        <f aca="false">IF($C$4=2027,H139,H140)*INDEX($C$132:$E$132,$C$3)</f>
        <v>0.35</v>
      </c>
      <c r="I13" s="223" t="n">
        <f aca="false">IF($C$4=2027,I139,I140)*INDEX($C$132:$E$132,$C$3)</f>
        <v>0.25</v>
      </c>
      <c r="J13" s="223" t="n">
        <f aca="false">IF($C$4=2027,J139,J140)*INDEX($C$132:$E$132,$C$3)</f>
        <v>0.17</v>
      </c>
      <c r="K13" s="245" t="s">
        <v>260</v>
      </c>
    </row>
    <row r="14" customFormat="false" ht="15" hidden="false" customHeight="false" outlineLevel="0" collapsed="false">
      <c r="A14" s="186" t="s">
        <v>261</v>
      </c>
      <c r="B14" s="245" t="s">
        <v>262</v>
      </c>
      <c r="C14" s="256" t="n">
        <f aca="false">'Income Statement'!B6</f>
        <v>15055000</v>
      </c>
      <c r="D14" s="256" t="n">
        <f aca="false">'Income Statement'!C6</f>
        <v>24088000</v>
      </c>
      <c r="E14" s="256" t="n">
        <f aca="false">'Income Statement'!D6</f>
        <v>38059040</v>
      </c>
      <c r="F14" s="257" t="n">
        <f aca="false">F12*F10</f>
        <v>51242691.456</v>
      </c>
      <c r="G14" s="257" t="n">
        <f aca="false">G12*G10</f>
        <v>63766405.2478464</v>
      </c>
      <c r="H14" s="257" t="n">
        <f aca="false">H12*H10</f>
        <v>87806340.0262845</v>
      </c>
      <c r="I14" s="257" t="n">
        <f aca="false">I12*I10</f>
        <v>111953083.533513</v>
      </c>
      <c r="J14" s="257" t="n">
        <f aca="false">J12*J10</f>
        <v>133604809.888894</v>
      </c>
    </row>
    <row r="16" customFormat="false" ht="15" hidden="false" customHeight="false" outlineLevel="0" collapsed="false">
      <c r="A16" s="252" t="s">
        <v>263</v>
      </c>
    </row>
    <row r="17" customFormat="false" ht="15" hidden="false" customHeight="false" outlineLevel="0" collapsed="false">
      <c r="A17" s="219" t="s">
        <v>264</v>
      </c>
      <c r="B17" s="245" t="s">
        <v>265</v>
      </c>
      <c r="E17" s="258" t="n">
        <v>20000</v>
      </c>
      <c r="F17" s="255" t="n">
        <f aca="false">E17*(1+F18)</f>
        <v>20400</v>
      </c>
      <c r="G17" s="255" t="n">
        <f aca="false">F17*(1+G18)</f>
        <v>20808</v>
      </c>
      <c r="H17" s="255" t="n">
        <f aca="false">G17*(1+H18)</f>
        <v>21224.16</v>
      </c>
      <c r="I17" s="255" t="n">
        <f aca="false">H17*(1+I18)</f>
        <v>21648.6432</v>
      </c>
      <c r="J17" s="255" t="n">
        <f aca="false">I17*(1+J18)</f>
        <v>22081.616064</v>
      </c>
      <c r="K17" s="245" t="s">
        <v>266</v>
      </c>
    </row>
    <row r="18" customFormat="false" ht="15" hidden="false" customHeight="false" outlineLevel="0" collapsed="false">
      <c r="A18" s="219" t="s">
        <v>267</v>
      </c>
      <c r="B18" s="245" t="s">
        <v>253</v>
      </c>
      <c r="F18" s="223" t="n">
        <f aca="false">F11</f>
        <v>0.02</v>
      </c>
      <c r="G18" s="223" t="n">
        <f aca="false">G11</f>
        <v>0.02</v>
      </c>
      <c r="H18" s="223" t="n">
        <f aca="false">H11</f>
        <v>0.02</v>
      </c>
      <c r="I18" s="223" t="n">
        <f aca="false">I11</f>
        <v>0.02</v>
      </c>
      <c r="J18" s="223" t="n">
        <f aca="false">J11</f>
        <v>0.02</v>
      </c>
    </row>
    <row r="19" customFormat="false" ht="15" hidden="false" customHeight="false" outlineLevel="0" collapsed="false">
      <c r="A19" s="219" t="s">
        <v>268</v>
      </c>
      <c r="B19" s="245" t="s">
        <v>269</v>
      </c>
      <c r="C19" s="255" t="n">
        <f aca="false">C21/$E$17</f>
        <v>151</v>
      </c>
      <c r="D19" s="255" t="n">
        <f aca="false">D21/$E$17</f>
        <v>211.4</v>
      </c>
      <c r="E19" s="255" t="n">
        <f aca="false">E21/$E$17</f>
        <v>294.903</v>
      </c>
      <c r="F19" s="255" t="n">
        <f aca="false">E19*(1+F20)</f>
        <v>359.78166</v>
      </c>
      <c r="G19" s="255" t="n">
        <f aca="false">F19*(1+G20)</f>
        <v>424.5423588</v>
      </c>
      <c r="H19" s="255" t="n">
        <f aca="false">G19*(1+H20)</f>
        <v>543.414219264</v>
      </c>
      <c r="I19" s="255" t="n">
        <f aca="false">H19*(1+I20)</f>
        <v>652.0970631168</v>
      </c>
      <c r="J19" s="255" t="n">
        <f aca="false">I19*(1+J20)</f>
        <v>749.91162258432</v>
      </c>
    </row>
    <row r="20" customFormat="false" ht="15" hidden="false" customHeight="false" outlineLevel="0" collapsed="false">
      <c r="A20" s="219" t="s">
        <v>270</v>
      </c>
      <c r="B20" s="245" t="s">
        <v>259</v>
      </c>
      <c r="D20" s="223" t="n">
        <f aca="false">D19/C19-1</f>
        <v>0.4</v>
      </c>
      <c r="E20" s="223" t="n">
        <f aca="false">E19/D19-1</f>
        <v>0.395</v>
      </c>
      <c r="F20" s="223" t="n">
        <f aca="false">F141*INDEX($C$132:$E$132,$C$3)</f>
        <v>0.22</v>
      </c>
      <c r="G20" s="223" t="n">
        <f aca="false">G141*INDEX($C$132:$E$132,$C$3)</f>
        <v>0.18</v>
      </c>
      <c r="H20" s="223" t="n">
        <f aca="false">H141*INDEX($C$132:$E$132,$C$3)</f>
        <v>0.28</v>
      </c>
      <c r="I20" s="223" t="n">
        <f aca="false">I141*INDEX($C$132:$E$132,$C$3)</f>
        <v>0.2</v>
      </c>
      <c r="J20" s="223" t="n">
        <f aca="false">J141*INDEX($C$132:$E$132,$C$3)</f>
        <v>0.15</v>
      </c>
      <c r="K20" s="245" t="s">
        <v>271</v>
      </c>
    </row>
    <row r="21" customFormat="false" ht="15" hidden="false" customHeight="false" outlineLevel="0" collapsed="false">
      <c r="A21" s="186" t="s">
        <v>272</v>
      </c>
      <c r="B21" s="245" t="s">
        <v>262</v>
      </c>
      <c r="C21" s="256" t="n">
        <f aca="false">'Income Statement'!B7</f>
        <v>3020000</v>
      </c>
      <c r="D21" s="256" t="n">
        <f aca="false">'Income Statement'!C7</f>
        <v>4228000</v>
      </c>
      <c r="E21" s="256" t="n">
        <f aca="false">'Income Statement'!D7</f>
        <v>5898060</v>
      </c>
      <c r="F21" s="257" t="n">
        <f aca="false">F19*F17</f>
        <v>7339545.864</v>
      </c>
      <c r="G21" s="257" t="n">
        <f aca="false">G19*G17</f>
        <v>8833877.4019104</v>
      </c>
      <c r="H21" s="257" t="n">
        <f aca="false">H19*H17</f>
        <v>11533510.3359342</v>
      </c>
      <c r="I21" s="257" t="n">
        <f aca="false">I19*I17</f>
        <v>14117016.6511835</v>
      </c>
      <c r="J21" s="257" t="n">
        <f aca="false">J19*J17</f>
        <v>16559260.5318382</v>
      </c>
    </row>
    <row r="23" customFormat="false" ht="15" hidden="false" customHeight="false" outlineLevel="0" collapsed="false">
      <c r="A23" s="252" t="s">
        <v>273</v>
      </c>
    </row>
    <row r="24" customFormat="false" ht="15" hidden="false" customHeight="false" outlineLevel="0" collapsed="false">
      <c r="A24" s="219" t="s">
        <v>274</v>
      </c>
      <c r="B24" s="245" t="s">
        <v>275</v>
      </c>
      <c r="E24" s="253" t="n">
        <v>22.5</v>
      </c>
      <c r="F24" s="254" t="n">
        <f aca="false">E24*(1+F25)</f>
        <v>22.8375</v>
      </c>
      <c r="G24" s="254" t="n">
        <f aca="false">F24*(1+G25)</f>
        <v>23.1800625</v>
      </c>
      <c r="H24" s="254" t="n">
        <f aca="false">G24*(1+H25)</f>
        <v>23.5277634375</v>
      </c>
      <c r="I24" s="254" t="n">
        <f aca="false">H24*(1+I25)</f>
        <v>23.8806798890625</v>
      </c>
      <c r="J24" s="254" t="n">
        <f aca="false">I24*(1+J25)</f>
        <v>24.2388900873984</v>
      </c>
      <c r="K24" s="245" t="s">
        <v>276</v>
      </c>
    </row>
    <row r="25" customFormat="false" ht="15" hidden="false" customHeight="false" outlineLevel="0" collapsed="false">
      <c r="A25" s="219" t="s">
        <v>267</v>
      </c>
      <c r="B25" s="245" t="s">
        <v>253</v>
      </c>
      <c r="F25" s="223" t="n">
        <f aca="false">INDEX($C$134:$E$134,$C$3)</f>
        <v>0.015</v>
      </c>
      <c r="G25" s="223" t="n">
        <f aca="false">INDEX($C$134:$E$134,$C$3)</f>
        <v>0.015</v>
      </c>
      <c r="H25" s="223" t="n">
        <f aca="false">INDEX($C$134:$E$134,$C$3)</f>
        <v>0.015</v>
      </c>
      <c r="I25" s="223" t="n">
        <f aca="false">INDEX($C$134:$E$134,$C$3)</f>
        <v>0.015</v>
      </c>
      <c r="J25" s="223" t="n">
        <f aca="false">INDEX($C$134:$E$134,$C$3)</f>
        <v>0.015</v>
      </c>
    </row>
    <row r="26" customFormat="false" ht="15" hidden="false" customHeight="false" outlineLevel="0" collapsed="false">
      <c r="A26" s="219" t="s">
        <v>277</v>
      </c>
      <c r="B26" s="245" t="s">
        <v>278</v>
      </c>
      <c r="C26" s="255" t="n">
        <f aca="false">C28/$E$24</f>
        <v>67555.5555555556</v>
      </c>
      <c r="D26" s="255" t="n">
        <f aca="false">D28/$E$24</f>
        <v>101333.333333333</v>
      </c>
      <c r="E26" s="255" t="n">
        <f aca="false">E28/$E$24</f>
        <v>121600</v>
      </c>
      <c r="F26" s="255" t="n">
        <f aca="false">E26*(1+F27)</f>
        <v>158080</v>
      </c>
      <c r="G26" s="255" t="n">
        <f aca="false">F26*(1+G27)</f>
        <v>205504</v>
      </c>
      <c r="H26" s="255" t="n">
        <f aca="false">G26*(1+H27)</f>
        <v>287705.6</v>
      </c>
      <c r="I26" s="255" t="n">
        <f aca="false">H26*(1+I27)</f>
        <v>379771.392</v>
      </c>
      <c r="J26" s="255" t="n">
        <f aca="false">I26*(1+J27)</f>
        <v>474714.24</v>
      </c>
    </row>
    <row r="27" customFormat="false" ht="15" hidden="false" customHeight="false" outlineLevel="0" collapsed="false">
      <c r="A27" s="219" t="s">
        <v>279</v>
      </c>
      <c r="B27" s="245" t="s">
        <v>259</v>
      </c>
      <c r="D27" s="223" t="n">
        <f aca="false">D26/C26-1</f>
        <v>0.5</v>
      </c>
      <c r="E27" s="223" t="n">
        <f aca="false">E26/D26-1</f>
        <v>0.2</v>
      </c>
      <c r="F27" s="223" t="n">
        <f aca="false">F142*INDEX($C$132:$E$132,$C$3)</f>
        <v>0.3</v>
      </c>
      <c r="G27" s="223" t="n">
        <f aca="false">G142*INDEX($C$132:$E$132,$C$3)</f>
        <v>0.3</v>
      </c>
      <c r="H27" s="223" t="n">
        <f aca="false">H142*INDEX($C$132:$E$132,$C$3)</f>
        <v>0.4</v>
      </c>
      <c r="I27" s="223" t="n">
        <f aca="false">I142*INDEX($C$132:$E$132,$C$3)</f>
        <v>0.32</v>
      </c>
      <c r="J27" s="223" t="n">
        <f aca="false">J142*INDEX($C$132:$E$132,$C$3)</f>
        <v>0.25</v>
      </c>
      <c r="K27" s="245" t="s">
        <v>280</v>
      </c>
    </row>
    <row r="28" customFormat="false" ht="15" hidden="false" customHeight="false" outlineLevel="0" collapsed="false">
      <c r="A28" s="186" t="s">
        <v>281</v>
      </c>
      <c r="B28" s="245" t="s">
        <v>262</v>
      </c>
      <c r="C28" s="256" t="n">
        <f aca="false">'Income Statement'!B8</f>
        <v>1520000</v>
      </c>
      <c r="D28" s="256" t="n">
        <f aca="false">'Income Statement'!C8</f>
        <v>2280000</v>
      </c>
      <c r="E28" s="256" t="n">
        <f aca="false">'Income Statement'!D8</f>
        <v>2736000</v>
      </c>
      <c r="F28" s="257" t="n">
        <f aca="false">F26*F24</f>
        <v>3610152</v>
      </c>
      <c r="G28" s="257" t="n">
        <f aca="false">G26*G24</f>
        <v>4763595.564</v>
      </c>
      <c r="H28" s="257" t="n">
        <f aca="false">H26*H24</f>
        <v>6769069.296444</v>
      </c>
      <c r="I28" s="257" t="n">
        <f aca="false">I26*I24</f>
        <v>9069199.04337567</v>
      </c>
      <c r="J28" s="257" t="n">
        <f aca="false">J26*J24</f>
        <v>11506546.2862829</v>
      </c>
    </row>
    <row r="30" customFormat="false" ht="15" hidden="false" customHeight="false" outlineLevel="0" collapsed="false">
      <c r="A30" s="252" t="s">
        <v>282</v>
      </c>
    </row>
    <row r="31" customFormat="false" ht="15" hidden="false" customHeight="false" outlineLevel="0" collapsed="false">
      <c r="A31" s="219" t="s">
        <v>274</v>
      </c>
      <c r="B31" s="245" t="s">
        <v>275</v>
      </c>
      <c r="E31" s="253" t="n">
        <v>40</v>
      </c>
      <c r="F31" s="254" t="n">
        <f aca="false">E31*(1+F32)</f>
        <v>40.6</v>
      </c>
      <c r="G31" s="254" t="n">
        <f aca="false">F31*(1+G32)</f>
        <v>41.209</v>
      </c>
      <c r="H31" s="254" t="n">
        <f aca="false">G31*(1+H32)</f>
        <v>41.827135</v>
      </c>
      <c r="I31" s="254" t="n">
        <f aca="false">H31*(1+I32)</f>
        <v>42.454542025</v>
      </c>
      <c r="J31" s="254" t="n">
        <f aca="false">I31*(1+J32)</f>
        <v>43.091360155375</v>
      </c>
      <c r="K31" s="245" t="s">
        <v>283</v>
      </c>
    </row>
    <row r="32" customFormat="false" ht="15" hidden="false" customHeight="false" outlineLevel="0" collapsed="false">
      <c r="A32" s="219" t="s">
        <v>267</v>
      </c>
      <c r="B32" s="245" t="s">
        <v>253</v>
      </c>
      <c r="F32" s="223" t="n">
        <f aca="false">F25</f>
        <v>0.015</v>
      </c>
      <c r="G32" s="223" t="n">
        <f aca="false">G25</f>
        <v>0.015</v>
      </c>
      <c r="H32" s="223" t="n">
        <f aca="false">H25</f>
        <v>0.015</v>
      </c>
      <c r="I32" s="223" t="n">
        <f aca="false">I25</f>
        <v>0.015</v>
      </c>
      <c r="J32" s="223" t="n">
        <f aca="false">J25</f>
        <v>0.015</v>
      </c>
    </row>
    <row r="33" customFormat="false" ht="15" hidden="false" customHeight="false" outlineLevel="0" collapsed="false">
      <c r="A33" s="219" t="s">
        <v>277</v>
      </c>
      <c r="B33" s="245" t="s">
        <v>278</v>
      </c>
      <c r="C33" s="255" t="n">
        <f aca="false">C35/$E$31</f>
        <v>0</v>
      </c>
      <c r="D33" s="255" t="n">
        <f aca="false">D35/$E$31</f>
        <v>14150</v>
      </c>
      <c r="E33" s="255" t="n">
        <f aca="false">E35/$E$31</f>
        <v>29715</v>
      </c>
      <c r="F33" s="255" t="n">
        <f aca="false">E33*(1+F34)</f>
        <v>47544</v>
      </c>
      <c r="G33" s="255" t="n">
        <f aca="false">F33*(1+G34)</f>
        <v>71316</v>
      </c>
      <c r="H33" s="255" t="n">
        <f aca="false">G33*(1+H34)</f>
        <v>121237.2</v>
      </c>
      <c r="I33" s="255" t="n">
        <f aca="false">H33*(1+I34)</f>
        <v>175793.94</v>
      </c>
      <c r="J33" s="255" t="n">
        <f aca="false">I33*(1+J34)</f>
        <v>228532.122</v>
      </c>
    </row>
    <row r="34" customFormat="false" ht="15" hidden="false" customHeight="false" outlineLevel="0" collapsed="false">
      <c r="A34" s="219" t="s">
        <v>279</v>
      </c>
      <c r="B34" s="245" t="s">
        <v>259</v>
      </c>
      <c r="E34" s="223" t="n">
        <f aca="false">E33/D33-1</f>
        <v>1.1</v>
      </c>
      <c r="F34" s="223" t="n">
        <f aca="false">F143*INDEX($C$132:$E$132,$C$3)</f>
        <v>0.6</v>
      </c>
      <c r="G34" s="223" t="n">
        <f aca="false">G143*INDEX($C$132:$E$132,$C$3)</f>
        <v>0.5</v>
      </c>
      <c r="H34" s="223" t="n">
        <f aca="false">H143*INDEX($C$132:$E$132,$C$3)</f>
        <v>0.7</v>
      </c>
      <c r="I34" s="223" t="n">
        <f aca="false">I143*INDEX($C$132:$E$132,$C$3)</f>
        <v>0.45</v>
      </c>
      <c r="J34" s="223" t="n">
        <f aca="false">J143*INDEX($C$132:$E$132,$C$3)</f>
        <v>0.3</v>
      </c>
      <c r="K34" s="245" t="s">
        <v>284</v>
      </c>
    </row>
    <row r="35" customFormat="false" ht="15" hidden="false" customHeight="false" outlineLevel="0" collapsed="false">
      <c r="A35" s="186" t="s">
        <v>285</v>
      </c>
      <c r="B35" s="245" t="s">
        <v>262</v>
      </c>
      <c r="C35" s="256" t="n">
        <f aca="false">'Income Statement'!B9</f>
        <v>0</v>
      </c>
      <c r="D35" s="256" t="n">
        <f aca="false">'Income Statement'!C9</f>
        <v>566000</v>
      </c>
      <c r="E35" s="256" t="n">
        <f aca="false">'Income Statement'!D9</f>
        <v>1188600</v>
      </c>
      <c r="F35" s="257" t="n">
        <f aca="false">F33*F31</f>
        <v>1930286.4</v>
      </c>
      <c r="G35" s="257" t="n">
        <f aca="false">G33*G31</f>
        <v>2938861.044</v>
      </c>
      <c r="H35" s="257" t="n">
        <f aca="false">H33*H31</f>
        <v>5071004.731422</v>
      </c>
      <c r="I35" s="257" t="n">
        <f aca="false">I33*I31</f>
        <v>7463251.21347033</v>
      </c>
      <c r="J35" s="257" t="n">
        <f aca="false">J33*J31</f>
        <v>9847759.97617409</v>
      </c>
    </row>
    <row r="37" customFormat="false" ht="15" hidden="false" customHeight="false" outlineLevel="0" collapsed="false">
      <c r="A37" s="186" t="s">
        <v>286</v>
      </c>
      <c r="B37" s="245" t="s">
        <v>262</v>
      </c>
      <c r="C37" s="257" t="n">
        <f aca="false">C14+C21+C28+C35</f>
        <v>19595000</v>
      </c>
      <c r="D37" s="257" t="n">
        <f aca="false">D14+D21+D28+D35</f>
        <v>31162000</v>
      </c>
      <c r="E37" s="257" t="n">
        <f aca="false">E14+E21+E28+E35</f>
        <v>47881700</v>
      </c>
      <c r="F37" s="257" t="n">
        <f aca="false">F14+F21+F28+F35</f>
        <v>64122675.72</v>
      </c>
      <c r="G37" s="257" t="n">
        <f aca="false">G14+G21+G28+G35</f>
        <v>80302739.2577568</v>
      </c>
      <c r="H37" s="257" t="n">
        <f aca="false">H14+H21+H28+H35</f>
        <v>111179924.390085</v>
      </c>
      <c r="I37" s="257" t="n">
        <f aca="false">I14+I21+I28+I35</f>
        <v>142602550.441542</v>
      </c>
      <c r="J37" s="257" t="n">
        <f aca="false">J14+J21+J28+J35</f>
        <v>171518376.683189</v>
      </c>
    </row>
    <row r="38" customFormat="false" ht="15" hidden="false" customHeight="false" outlineLevel="0" collapsed="false">
      <c r="A38" s="219" t="s">
        <v>287</v>
      </c>
      <c r="B38" s="245" t="s">
        <v>259</v>
      </c>
      <c r="C38" s="221" t="n">
        <f aca="false">-'Income Statement'!B11/C37</f>
        <v>0.008</v>
      </c>
      <c r="D38" s="221" t="n">
        <f aca="false">-'Income Statement'!C11/D37</f>
        <v>0.0075</v>
      </c>
      <c r="E38" s="221" t="n">
        <f aca="false">-'Income Statement'!D11/E37</f>
        <v>0.007</v>
      </c>
      <c r="F38" s="220" t="n">
        <v>0.007</v>
      </c>
      <c r="G38" s="220" t="n">
        <v>0.007</v>
      </c>
      <c r="H38" s="220" t="n">
        <v>0.007</v>
      </c>
      <c r="I38" s="220" t="n">
        <v>0.007</v>
      </c>
      <c r="J38" s="220" t="n">
        <v>0.007</v>
      </c>
      <c r="K38" s="245" t="s">
        <v>288</v>
      </c>
    </row>
    <row r="39" customFormat="false" ht="15" hidden="false" customHeight="false" outlineLevel="0" collapsed="false">
      <c r="A39" s="186" t="s">
        <v>49</v>
      </c>
      <c r="B39" s="245" t="s">
        <v>262</v>
      </c>
      <c r="C39" s="256" t="n">
        <f aca="false">'Income Statement'!B13</f>
        <v>19438240</v>
      </c>
      <c r="D39" s="256" t="n">
        <f aca="false">'Income Statement'!C13</f>
        <v>30928285</v>
      </c>
      <c r="E39" s="256" t="n">
        <f aca="false">'Income Statement'!D13</f>
        <v>47546528.1</v>
      </c>
      <c r="F39" s="257" t="n">
        <f aca="false">F37*(1-F38)</f>
        <v>63673816.98996</v>
      </c>
      <c r="G39" s="257" t="n">
        <f aca="false">G37*(1-G38)</f>
        <v>79740620.0829525</v>
      </c>
      <c r="H39" s="257" t="n">
        <f aca="false">H37*(1-H38)</f>
        <v>110401664.919354</v>
      </c>
      <c r="I39" s="257" t="n">
        <f aca="false">I37*(1-I38)</f>
        <v>141604332.588451</v>
      </c>
      <c r="J39" s="257" t="n">
        <f aca="false">J37*(1-J38)</f>
        <v>170317748.046407</v>
      </c>
    </row>
    <row r="40" customFormat="false" ht="15" hidden="false" customHeight="false" outlineLevel="0" collapsed="false">
      <c r="A40" s="186" t="s">
        <v>289</v>
      </c>
      <c r="B40" s="245" t="s">
        <v>259</v>
      </c>
      <c r="D40" s="259" t="n">
        <f aca="false">D39/C39-1</f>
        <v>0.591105213229181</v>
      </c>
      <c r="E40" s="259" t="n">
        <f aca="false">E39/D39-1</f>
        <v>0.537315376523464</v>
      </c>
      <c r="F40" s="259" t="n">
        <f aca="false">F39/E39-1</f>
        <v>0.339189621922363</v>
      </c>
      <c r="G40" s="259" t="n">
        <f aca="false">G39/F39-1</f>
        <v>0.252329824918865</v>
      </c>
      <c r="H40" s="259" t="n">
        <f aca="false">H39/G39-1</f>
        <v>0.384509736750299</v>
      </c>
      <c r="I40" s="259" t="n">
        <f aca="false">I39/H39-1</f>
        <v>0.28262859705866</v>
      </c>
      <c r="J40" s="259" t="n">
        <f aca="false">J39/I39-1</f>
        <v>0.202772153458088</v>
      </c>
    </row>
    <row r="41" customFormat="false" ht="15" hidden="false" customHeight="false" outlineLevel="0" collapsed="false">
      <c r="A41" s="219" t="s">
        <v>290</v>
      </c>
      <c r="B41" s="245" t="s">
        <v>259</v>
      </c>
      <c r="C41" s="223" t="n">
        <f aca="false">C14/C37</f>
        <v>0.768308241898444</v>
      </c>
      <c r="D41" s="223" t="n">
        <f aca="false">D14/D37</f>
        <v>0.772992747577177</v>
      </c>
      <c r="E41" s="223" t="n">
        <f aca="false">E14/E37</f>
        <v>0.794855654665561</v>
      </c>
      <c r="F41" s="223" t="n">
        <f aca="false">F14/F37</f>
        <v>0.799135265031015</v>
      </c>
      <c r="G41" s="223" t="n">
        <f aca="false">G14/G37</f>
        <v>0.794075094289974</v>
      </c>
      <c r="H41" s="223" t="n">
        <f aca="false">H14/H37</f>
        <v>0.789767941541389</v>
      </c>
      <c r="I41" s="223" t="n">
        <f aca="false">I14/I37</f>
        <v>0.78507069604906</v>
      </c>
      <c r="J41" s="223" t="n">
        <f aca="false">J14/J37</f>
        <v>0.778953325425152</v>
      </c>
    </row>
    <row r="43" customFormat="false" ht="15" hidden="false" customHeight="false" outlineLevel="0" collapsed="false">
      <c r="A43" s="252" t="s">
        <v>291</v>
      </c>
    </row>
    <row r="44" customFormat="false" ht="15" hidden="false" customHeight="false" outlineLevel="0" collapsed="false">
      <c r="A44" s="219" t="s">
        <v>292</v>
      </c>
      <c r="B44" s="245" t="s">
        <v>262</v>
      </c>
      <c r="C44" s="255" t="n">
        <f aca="false">(SUM('Balance Sheet'!D29:D31)+C86)/2</f>
        <v>17289500</v>
      </c>
      <c r="D44" s="255" t="n">
        <f aca="false">(C86+D86)/2</f>
        <v>22946800</v>
      </c>
      <c r="E44" s="255" t="n">
        <f aca="false">(D86+E86)/2</f>
        <v>28641860</v>
      </c>
      <c r="F44" s="255" t="n">
        <f aca="false">(E86+F86)/2</f>
        <v>37551501.698996</v>
      </c>
      <c r="G44" s="255" t="n">
        <f aca="false">(F86+G86)/2</f>
        <v>69834584.9249516</v>
      </c>
      <c r="H44" s="255" t="n">
        <f aca="false">(G86+H86)/2</f>
        <v>102374386.347072</v>
      </c>
      <c r="I44" s="255" t="n">
        <f aca="false">(H86+I86)/2</f>
        <v>116078702.871656</v>
      </c>
      <c r="J44" s="255" t="n">
        <f aca="false">(I86+J86)/2</f>
        <v>131674806.903399</v>
      </c>
    </row>
    <row r="45" customFormat="false" ht="15" hidden="false" customHeight="false" outlineLevel="0" collapsed="false">
      <c r="A45" s="219" t="s">
        <v>293</v>
      </c>
      <c r="B45" s="245" t="s">
        <v>294</v>
      </c>
      <c r="C45" s="260" t="n">
        <f aca="false">C39/C44</f>
        <v>1.12428005436826</v>
      </c>
      <c r="D45" s="260" t="n">
        <f aca="false">D39/D44</f>
        <v>1.34782562274478</v>
      </c>
      <c r="E45" s="260" t="n">
        <f aca="false">E39/E44</f>
        <v>1.66003632794798</v>
      </c>
      <c r="F45" s="260" t="n">
        <f aca="false">F39/F44</f>
        <v>1.69563969772379</v>
      </c>
      <c r="G45" s="260" t="n">
        <f aca="false">G39/G44</f>
        <v>1.14184998978152</v>
      </c>
      <c r="H45" s="260" t="n">
        <f aca="false">H39/H44</f>
        <v>1.07841100551331</v>
      </c>
      <c r="I45" s="260" t="n">
        <f aca="false">I39/I44</f>
        <v>1.21989933627203</v>
      </c>
      <c r="J45" s="260" t="n">
        <f aca="false">J39/J44</f>
        <v>1.29347254840751</v>
      </c>
      <c r="K45" s="245" t="s">
        <v>295</v>
      </c>
    </row>
    <row r="46" customFormat="false" ht="15" hidden="false" customHeight="false" outlineLevel="0" collapsed="false">
      <c r="A46" s="219" t="s">
        <v>296</v>
      </c>
      <c r="B46" s="245" t="s">
        <v>297</v>
      </c>
      <c r="E46" s="258" t="n">
        <v>26000</v>
      </c>
      <c r="F46" s="258" t="n">
        <v>26300</v>
      </c>
      <c r="G46" s="255" t="n">
        <f aca="false">F46*(1+0.02)</f>
        <v>26826</v>
      </c>
      <c r="H46" s="255" t="n">
        <f aca="false">G46*(1+0.02)</f>
        <v>27362.52</v>
      </c>
      <c r="I46" s="255" t="n">
        <f aca="false">H46*(1+0.02)</f>
        <v>27909.7704</v>
      </c>
      <c r="J46" s="255" t="n">
        <f aca="false">I46*(1+0.02)</f>
        <v>28467.965808</v>
      </c>
      <c r="K46" s="245" t="s">
        <v>298</v>
      </c>
    </row>
    <row r="47" customFormat="false" ht="15" hidden="false" customHeight="false" outlineLevel="0" collapsed="false">
      <c r="A47" s="219" t="s">
        <v>299</v>
      </c>
      <c r="B47" s="245" t="s">
        <v>300</v>
      </c>
      <c r="E47" s="254" t="n">
        <f aca="false">E14*1000/E46/1000000</f>
        <v>1.46380923076923</v>
      </c>
      <c r="F47" s="254" t="n">
        <f aca="false">F14*1000/F46/1000000</f>
        <v>1.94839131011407</v>
      </c>
      <c r="G47" s="254" t="n">
        <f aca="false">G14*1000/G46/1000000</f>
        <v>2.37703739833916</v>
      </c>
      <c r="H47" s="254" t="n">
        <f aca="false">H14*1000/H46/1000000</f>
        <v>3.20900048775787</v>
      </c>
      <c r="I47" s="254" t="n">
        <f aca="false">I14*1000/I46/1000000</f>
        <v>4.01125060969734</v>
      </c>
      <c r="J47" s="254" t="n">
        <f aca="false">J14*1000/J46/1000000</f>
        <v>4.69316321334589</v>
      </c>
    </row>
    <row r="48" customFormat="false" ht="15" hidden="false" customHeight="false" outlineLevel="0" collapsed="false">
      <c r="A48" s="219" t="s">
        <v>301</v>
      </c>
      <c r="B48" s="245" t="s">
        <v>300</v>
      </c>
      <c r="E48" s="253" t="n">
        <v>33.93</v>
      </c>
      <c r="F48" s="254" t="n">
        <f aca="false">E48*(1+0.0473)</f>
        <v>35.534889</v>
      </c>
      <c r="G48" s="254" t="n">
        <f aca="false">F48*(1+0.0473)</f>
        <v>37.2156892497</v>
      </c>
      <c r="H48" s="254" t="n">
        <f aca="false">G48*(1+0.0473)</f>
        <v>38.9759913512108</v>
      </c>
      <c r="I48" s="254" t="n">
        <f aca="false">H48*(1+0.0473)</f>
        <v>40.8195557421231</v>
      </c>
      <c r="J48" s="254" t="n">
        <f aca="false">I48*(1+0.0473)</f>
        <v>42.7503207287255</v>
      </c>
      <c r="K48" s="245" t="s">
        <v>302</v>
      </c>
    </row>
    <row r="49" customFormat="false" ht="15" hidden="false" customHeight="false" outlineLevel="0" collapsed="false">
      <c r="A49" s="219" t="s">
        <v>303</v>
      </c>
      <c r="B49" s="245" t="s">
        <v>259</v>
      </c>
      <c r="E49" s="223" t="n">
        <f aca="false">E47/E48</f>
        <v>0.0431420345054297</v>
      </c>
      <c r="F49" s="223" t="n">
        <f aca="false">F47/F48</f>
        <v>0.05483037558142</v>
      </c>
      <c r="G49" s="223" t="n">
        <f aca="false">G47/G48</f>
        <v>0.063871916556223</v>
      </c>
      <c r="H49" s="223" t="n">
        <f aca="false">H47/H48</f>
        <v>0.0823327483537679</v>
      </c>
      <c r="I49" s="223" t="n">
        <f aca="false">I47/I48</f>
        <v>0.0982678654083928</v>
      </c>
      <c r="J49" s="223" t="n">
        <f aca="false">J47/J48</f>
        <v>0.109780772011668</v>
      </c>
      <c r="K49" s="245" t="s">
        <v>304</v>
      </c>
    </row>
    <row r="50" customFormat="false" ht="15" hidden="false" customHeight="false" outlineLevel="0" collapsed="false">
      <c r="A50" s="219" t="s">
        <v>305</v>
      </c>
      <c r="B50" s="245" t="s">
        <v>300</v>
      </c>
      <c r="E50" s="261" t="n">
        <v>1129.79</v>
      </c>
      <c r="F50" s="262" t="n">
        <f aca="false">E50*(1+0.0415)</f>
        <v>1176.676285</v>
      </c>
      <c r="G50" s="262" t="n">
        <f aca="false">F50*(1+0.0415)</f>
        <v>1225.5083508275</v>
      </c>
      <c r="H50" s="262" t="n">
        <f aca="false">G50*(1+0.0415)</f>
        <v>1276.36694738684</v>
      </c>
      <c r="I50" s="262" t="n">
        <f aca="false">H50*(1+0.0415)</f>
        <v>1329.3361757034</v>
      </c>
      <c r="J50" s="262" t="n">
        <f aca="false">I50*(1+0.0415)</f>
        <v>1384.50362699509</v>
      </c>
      <c r="K50" s="245" t="s">
        <v>306</v>
      </c>
    </row>
    <row r="51" customFormat="false" ht="15" hidden="false" customHeight="false" outlineLevel="0" collapsed="false">
      <c r="A51" s="219" t="s">
        <v>307</v>
      </c>
      <c r="B51" s="245" t="s">
        <v>259</v>
      </c>
      <c r="E51" s="221" t="n">
        <f aca="false">(E39*1000/E46/1000000)/E50</f>
        <v>0.00161863055898067</v>
      </c>
      <c r="F51" s="221" t="n">
        <f aca="false">(F39*1000/F46/1000000)/F50</f>
        <v>0.00205753928339485</v>
      </c>
      <c r="G51" s="221" t="n">
        <f aca="false">(G39*1000/G46/1000000)/G50</f>
        <v>0.0024255342601052</v>
      </c>
      <c r="H51" s="221" t="n">
        <f aca="false">(H39*1000/H46/1000000)/H50</f>
        <v>0.00316114182969236</v>
      </c>
      <c r="I51" s="221" t="n">
        <f aca="false">(I39*1000/I46/1000000)/I50</f>
        <v>0.0038166774073233</v>
      </c>
      <c r="J51" s="221" t="n">
        <f aca="false">(J39*1000/J46/1000000)/J50</f>
        <v>0.00432124980397906</v>
      </c>
    </row>
    <row r="53" customFormat="false" ht="15" hidden="false" customHeight="false" outlineLevel="0" collapsed="false">
      <c r="A53" s="250" t="s">
        <v>308</v>
      </c>
      <c r="B53" s="251"/>
      <c r="C53" s="251"/>
      <c r="D53" s="251"/>
      <c r="E53" s="251"/>
      <c r="F53" s="251"/>
      <c r="G53" s="251"/>
      <c r="H53" s="251"/>
      <c r="I53" s="251"/>
      <c r="J53" s="251"/>
      <c r="K53" s="251"/>
    </row>
    <row r="54" customFormat="false" ht="15" hidden="false" customHeight="false" outlineLevel="0" collapsed="false">
      <c r="A54" s="219" t="s">
        <v>309</v>
      </c>
      <c r="B54" s="245" t="s">
        <v>259</v>
      </c>
      <c r="C54" s="223" t="n">
        <f aca="false">'Income Statement'!B16/C39</f>
        <v>0.255</v>
      </c>
      <c r="D54" s="223" t="n">
        <f aca="false">'Income Statement'!C16/D39</f>
        <v>0.25</v>
      </c>
      <c r="E54" s="223" t="n">
        <f aca="false">'Income Statement'!D16/E39</f>
        <v>0.245</v>
      </c>
      <c r="F54" s="223" t="n">
        <f aca="false">F144+INDEX($C$135:$E$135,$C$3)</f>
        <v>0.25</v>
      </c>
      <c r="G54" s="223" t="n">
        <f aca="false">G144+INDEX($C$135:$E$135,$C$3)</f>
        <v>0.255</v>
      </c>
      <c r="H54" s="223" t="n">
        <f aca="false">H144+INDEX($C$135:$E$135,$C$3)</f>
        <v>0.27</v>
      </c>
      <c r="I54" s="223" t="n">
        <f aca="false">I144+INDEX($C$135:$E$135,$C$3)</f>
        <v>0.265</v>
      </c>
      <c r="J54" s="223" t="n">
        <f aca="false">J144+INDEX($C$135:$E$135,$C$3)</f>
        <v>0.27</v>
      </c>
      <c r="K54" s="245" t="s">
        <v>310</v>
      </c>
    </row>
    <row r="55" customFormat="false" ht="15" hidden="false" customHeight="false" outlineLevel="0" collapsed="false">
      <c r="A55" s="219" t="s">
        <v>51</v>
      </c>
      <c r="B55" s="245" t="s">
        <v>262</v>
      </c>
      <c r="C55" s="263" t="n">
        <f aca="false">'Income Statement'!B16</f>
        <v>4956751.2</v>
      </c>
      <c r="D55" s="263" t="n">
        <f aca="false">'Income Statement'!C16</f>
        <v>7732071.25</v>
      </c>
      <c r="E55" s="263" t="n">
        <f aca="false">'Income Statement'!D16</f>
        <v>11648899.3845</v>
      </c>
      <c r="F55" s="255" t="n">
        <f aca="false">F39*F54</f>
        <v>15918454.24749</v>
      </c>
      <c r="G55" s="255" t="n">
        <f aca="false">G39*G54</f>
        <v>20333858.1211529</v>
      </c>
      <c r="H55" s="255" t="n">
        <f aca="false">H39*H54</f>
        <v>29808449.5282256</v>
      </c>
      <c r="I55" s="255" t="n">
        <f aca="false">I39*I54</f>
        <v>37525148.1359396</v>
      </c>
      <c r="J55" s="255" t="n">
        <f aca="false">J39*J54</f>
        <v>45985791.9725299</v>
      </c>
    </row>
    <row r="56" customFormat="false" ht="15" hidden="false" customHeight="false" outlineLevel="0" collapsed="false">
      <c r="A56" s="219" t="s">
        <v>311</v>
      </c>
      <c r="B56" s="245" t="s">
        <v>262</v>
      </c>
      <c r="C56" s="263" t="n">
        <f aca="false">'Income Statement'!B17</f>
        <v>1055000</v>
      </c>
      <c r="D56" s="263" t="n">
        <f aca="false">'Income Statement'!C17</f>
        <v>1160500</v>
      </c>
      <c r="E56" s="263" t="n">
        <f aca="false">'Income Statement'!D17</f>
        <v>1276550</v>
      </c>
      <c r="F56" s="255" t="n">
        <f aca="false">E56*(1+F57)+F58</f>
        <v>1404205</v>
      </c>
      <c r="G56" s="255" t="n">
        <f aca="false">F56*(1+G57)+G58</f>
        <v>1544625.5</v>
      </c>
      <c r="H56" s="255" t="n">
        <f aca="false">G56*(1+H57)+H58</f>
        <v>2599088.05</v>
      </c>
      <c r="I56" s="255" t="n">
        <f aca="false">H56*(1+I57)+I58</f>
        <v>2858996.855</v>
      </c>
      <c r="J56" s="255" t="n">
        <f aca="false">I56*(1+J57)+J58</f>
        <v>3144896.5405</v>
      </c>
    </row>
    <row r="57" customFormat="false" ht="15" hidden="false" customHeight="false" outlineLevel="0" collapsed="false">
      <c r="A57" s="219" t="s">
        <v>312</v>
      </c>
      <c r="B57" s="245" t="s">
        <v>259</v>
      </c>
      <c r="D57" s="223" t="n">
        <f aca="false">D56/C56-1</f>
        <v>0.1</v>
      </c>
      <c r="E57" s="223" t="n">
        <f aca="false">E56/D56-1</f>
        <v>0.1</v>
      </c>
      <c r="F57" s="264" t="n">
        <v>0.1</v>
      </c>
      <c r="G57" s="264" t="n">
        <v>0.1</v>
      </c>
      <c r="H57" s="264" t="n">
        <v>0.1</v>
      </c>
      <c r="I57" s="264" t="n">
        <v>0.1</v>
      </c>
      <c r="J57" s="264" t="n">
        <v>0.1</v>
      </c>
      <c r="K57" s="245" t="s">
        <v>313</v>
      </c>
    </row>
    <row r="58" customFormat="false" ht="15" hidden="false" customHeight="false" outlineLevel="0" collapsed="false">
      <c r="A58" s="219" t="s">
        <v>314</v>
      </c>
      <c r="B58" s="245" t="s">
        <v>262</v>
      </c>
      <c r="F58" s="255" t="n">
        <f aca="false">IF(F$7=$C$4+1,$C$150,0)</f>
        <v>0</v>
      </c>
      <c r="G58" s="255" t="n">
        <f aca="false">IF(G$7=$C$4+1,$C$150,0)</f>
        <v>0</v>
      </c>
      <c r="H58" s="255" t="n">
        <f aca="false">IF(H$7=$C$4+1,$C$150,0)</f>
        <v>900000</v>
      </c>
      <c r="I58" s="255" t="n">
        <f aca="false">IF(I$7=$C$4+1,$C$150,0)</f>
        <v>0</v>
      </c>
      <c r="J58" s="255" t="n">
        <f aca="false">IF(J$7=$C$4+1,$C$150,0)</f>
        <v>0</v>
      </c>
      <c r="K58" s="245" t="s">
        <v>315</v>
      </c>
    </row>
    <row r="59" customFormat="false" ht="15" hidden="false" customHeight="false" outlineLevel="0" collapsed="false">
      <c r="A59" s="186" t="s">
        <v>316</v>
      </c>
      <c r="B59" s="245" t="s">
        <v>262</v>
      </c>
      <c r="C59" s="257" t="n">
        <f aca="false">C55+C56</f>
        <v>6011751.2</v>
      </c>
      <c r="D59" s="257" t="n">
        <f aca="false">D55+D56</f>
        <v>8892571.25</v>
      </c>
      <c r="E59" s="257" t="n">
        <f aca="false">E55+E56</f>
        <v>12925449.3845</v>
      </c>
      <c r="F59" s="257" t="n">
        <f aca="false">F55+F56</f>
        <v>17322659.24749</v>
      </c>
      <c r="G59" s="257" t="n">
        <f aca="false">G55+G56</f>
        <v>21878483.6211529</v>
      </c>
      <c r="H59" s="257" t="n">
        <f aca="false">H55+H56</f>
        <v>32407537.5782256</v>
      </c>
      <c r="I59" s="257" t="n">
        <f aca="false">I55+I56</f>
        <v>40384144.9909396</v>
      </c>
      <c r="J59" s="257" t="n">
        <f aca="false">J55+J56</f>
        <v>49130688.5130299</v>
      </c>
    </row>
    <row r="60" customFormat="false" ht="15" hidden="false" customHeight="false" outlineLevel="0" collapsed="false">
      <c r="A60" s="219" t="s">
        <v>317</v>
      </c>
      <c r="B60" s="245" t="s">
        <v>259</v>
      </c>
      <c r="C60" s="223" t="n">
        <f aca="false">C59/C39</f>
        <v>0.309274461062318</v>
      </c>
      <c r="D60" s="223" t="n">
        <f aca="false">D59/D39</f>
        <v>0.287522287446588</v>
      </c>
      <c r="E60" s="223" t="n">
        <f aca="false">E59/E39</f>
        <v>0.271848437751652</v>
      </c>
      <c r="F60" s="223" t="n">
        <f aca="false">F59/F39</f>
        <v>0.272053099160388</v>
      </c>
      <c r="G60" s="223" t="n">
        <f aca="false">G59/G39</f>
        <v>0.274370623132767</v>
      </c>
      <c r="H60" s="223" t="n">
        <f aca="false">H59/H39</f>
        <v>0.29354210918738</v>
      </c>
      <c r="I60" s="223" t="n">
        <f aca="false">I59/I39</f>
        <v>0.285190037993464</v>
      </c>
      <c r="J60" s="223" t="n">
        <f aca="false">J59/J39</f>
        <v>0.288464878596464</v>
      </c>
    </row>
    <row r="61" customFormat="false" ht="15" hidden="false" customHeight="false" outlineLevel="0" collapsed="false">
      <c r="A61" s="186" t="s">
        <v>55</v>
      </c>
      <c r="B61" s="245" t="s">
        <v>259</v>
      </c>
      <c r="C61" s="259" t="n">
        <f aca="false">1-C60</f>
        <v>0.690725538937682</v>
      </c>
      <c r="D61" s="259" t="n">
        <f aca="false">1-D60</f>
        <v>0.712477712553412</v>
      </c>
      <c r="E61" s="259" t="n">
        <f aca="false">1-E60</f>
        <v>0.728151562248349</v>
      </c>
      <c r="F61" s="259" t="n">
        <f aca="false">1-F60</f>
        <v>0.727946900839612</v>
      </c>
      <c r="G61" s="259" t="n">
        <f aca="false">1-G60</f>
        <v>0.725629376867233</v>
      </c>
      <c r="H61" s="259" t="n">
        <f aca="false">1-H60</f>
        <v>0.70645789081262</v>
      </c>
      <c r="I61" s="259" t="n">
        <f aca="false">1-I60</f>
        <v>0.714809962006536</v>
      </c>
      <c r="J61" s="259" t="n">
        <f aca="false">1-J60</f>
        <v>0.711535121403536</v>
      </c>
      <c r="K61" s="245" t="s">
        <v>318</v>
      </c>
    </row>
    <row r="63" customFormat="false" ht="15" hidden="false" customHeight="false" outlineLevel="0" collapsed="false">
      <c r="A63" s="219" t="s">
        <v>319</v>
      </c>
      <c r="B63" s="245" t="s">
        <v>259</v>
      </c>
      <c r="C63" s="223" t="n">
        <f aca="false">'Income Statement'!B55/C39</f>
        <v>0.35970334762818</v>
      </c>
      <c r="D63" s="223" t="n">
        <f aca="false">'Income Statement'!C55/D39</f>
        <v>0.248678515475397</v>
      </c>
      <c r="E63" s="223" t="n">
        <f aca="false">'Income Statement'!D55/E39</f>
        <v>0.226466167568605</v>
      </c>
      <c r="F63" s="223" t="n">
        <f aca="false">F145+INDEX($C$136:$E$136,$C$3)</f>
        <v>0.225</v>
      </c>
      <c r="G63" s="223" t="n">
        <f aca="false">G145+INDEX($C$136:$E$136,$C$3)</f>
        <v>0.23</v>
      </c>
      <c r="H63" s="223" t="n">
        <f aca="false">H145+INDEX($C$136:$E$136,$C$3)</f>
        <v>0.235</v>
      </c>
      <c r="I63" s="223" t="n">
        <f aca="false">I145+INDEX($C$136:$E$136,$C$3)</f>
        <v>0.23</v>
      </c>
      <c r="J63" s="223" t="n">
        <f aca="false">J145+INDEX($C$136:$E$136,$C$3)</f>
        <v>0.225</v>
      </c>
      <c r="K63" s="245" t="s">
        <v>320</v>
      </c>
    </row>
    <row r="64" customFormat="false" ht="15" hidden="false" customHeight="false" outlineLevel="0" collapsed="false">
      <c r="A64" s="219" t="s">
        <v>321</v>
      </c>
      <c r="B64" s="245" t="s">
        <v>262</v>
      </c>
      <c r="C64" s="263" t="n">
        <f aca="false">'Income Statement'!B55</f>
        <v>6992000</v>
      </c>
      <c r="D64" s="263" t="n">
        <f aca="false">'Income Statement'!C55</f>
        <v>7691200</v>
      </c>
      <c r="E64" s="263" t="n">
        <f aca="false">'Income Statement'!D55</f>
        <v>10767680</v>
      </c>
      <c r="F64" s="255" t="n">
        <f aca="false">F39*F63</f>
        <v>14326608.822741</v>
      </c>
      <c r="G64" s="255" t="n">
        <f aca="false">G39*G63</f>
        <v>18340342.6190791</v>
      </c>
      <c r="H64" s="255" t="n">
        <f aca="false">H39*H63</f>
        <v>25944391.2560482</v>
      </c>
      <c r="I64" s="255" t="n">
        <f aca="false">I39*I63</f>
        <v>32568996.4953438</v>
      </c>
      <c r="J64" s="255" t="n">
        <f aca="false">J39*J63</f>
        <v>38321493.3104416</v>
      </c>
    </row>
    <row r="65" customFormat="false" ht="15" hidden="false" customHeight="false" outlineLevel="0" collapsed="false">
      <c r="A65" s="219" t="s">
        <v>322</v>
      </c>
      <c r="B65" s="245" t="s">
        <v>259</v>
      </c>
      <c r="C65" s="223" t="n">
        <f aca="false">'Income Statement'!B42/'Income Statement'!B55</f>
        <v>0.307494279176201</v>
      </c>
      <c r="D65" s="223" t="n">
        <f aca="false">'Income Statement'!C42/'Income Statement'!C55</f>
        <v>0.335448304555856</v>
      </c>
      <c r="E65" s="223" t="n">
        <f aca="false">'Income Statement'!D42/'Income Statement'!D55</f>
        <v>0.287527118190734</v>
      </c>
      <c r="F65" s="264" t="n">
        <v>0.28</v>
      </c>
      <c r="G65" s="264" t="n">
        <v>0.28</v>
      </c>
      <c r="H65" s="264" t="n">
        <v>0.28</v>
      </c>
      <c r="I65" s="264" t="n">
        <v>0.28</v>
      </c>
      <c r="J65" s="264" t="n">
        <v>0.28</v>
      </c>
      <c r="K65" s="245" t="s">
        <v>323</v>
      </c>
    </row>
    <row r="66" customFormat="false" ht="15" hidden="false" customHeight="false" outlineLevel="0" collapsed="false">
      <c r="A66" s="219" t="s">
        <v>324</v>
      </c>
      <c r="B66" s="245" t="s">
        <v>262</v>
      </c>
      <c r="C66" s="263" t="n">
        <f aca="false">'Income Statement'!B42</f>
        <v>2150000</v>
      </c>
      <c r="D66" s="263" t="n">
        <f aca="false">'Income Statement'!C42</f>
        <v>2580000</v>
      </c>
      <c r="E66" s="263" t="n">
        <f aca="false">'Income Statement'!D42</f>
        <v>3096000</v>
      </c>
      <c r="F66" s="255" t="n">
        <f aca="false">F64*F65</f>
        <v>4011450.47036748</v>
      </c>
      <c r="G66" s="255" t="n">
        <f aca="false">G64*G65</f>
        <v>5135295.93334214</v>
      </c>
      <c r="H66" s="255" t="n">
        <f aca="false">H64*H65</f>
        <v>7264429.5516935</v>
      </c>
      <c r="I66" s="255" t="n">
        <f aca="false">I64*I65</f>
        <v>9119319.01869627</v>
      </c>
      <c r="J66" s="255" t="n">
        <f aca="false">J64*J65</f>
        <v>10730018.1269236</v>
      </c>
    </row>
    <row r="67" customFormat="false" ht="15" hidden="false" customHeight="false" outlineLevel="0" collapsed="false">
      <c r="A67" s="219" t="s">
        <v>325</v>
      </c>
      <c r="B67" s="245" t="s">
        <v>259</v>
      </c>
      <c r="D67" s="223" t="n">
        <f aca="false">D68/C68-1</f>
        <v>0.35</v>
      </c>
      <c r="E67" s="223" t="n">
        <f aca="false">E68/D68-1</f>
        <v>0.41</v>
      </c>
      <c r="F67" s="223" t="n">
        <f aca="false">IF(F$7=$C$4+1,$C$153,IF(F$7=$C$4,$C$152,IF(F$7=2026,$C$154,$C$151)))</f>
        <v>0.12</v>
      </c>
      <c r="G67" s="223" t="n">
        <f aca="false">IF(G$7=$C$4+1,$C$153,IF(G$7=$C$4,$C$152,IF(G$7=2026,$C$154,$C$151)))</f>
        <v>0.15</v>
      </c>
      <c r="H67" s="223" t="n">
        <f aca="false">IF(H$7=$C$4+1,$C$153,IF(H$7=$C$4,$C$152,IF(H$7=2026,$C$154,$C$151)))</f>
        <v>0.3</v>
      </c>
      <c r="I67" s="223" t="n">
        <f aca="false">IF(I$7=$C$4+1,$C$153,IF(I$7=$C$4,$C$152,IF(I$7=2026,$C$154,$C$151)))</f>
        <v>0.12</v>
      </c>
      <c r="J67" s="223" t="n">
        <f aca="false">IF(J$7=$C$4+1,$C$153,IF(J$7=$C$4,$C$152,IF(J$7=2026,$C$154,$C$151)))</f>
        <v>0.12</v>
      </c>
      <c r="K67" s="245" t="s">
        <v>326</v>
      </c>
    </row>
    <row r="68" customFormat="false" ht="15" hidden="false" customHeight="false" outlineLevel="0" collapsed="false">
      <c r="A68" s="219" t="s">
        <v>59</v>
      </c>
      <c r="B68" s="245" t="s">
        <v>262</v>
      </c>
      <c r="C68" s="263" t="n">
        <f aca="false">'Income Statement'!B26</f>
        <v>3977000</v>
      </c>
      <c r="D68" s="263" t="n">
        <f aca="false">'Income Statement'!C26</f>
        <v>5368950</v>
      </c>
      <c r="E68" s="263" t="n">
        <f aca="false">'Income Statement'!D26</f>
        <v>7570219.5</v>
      </c>
      <c r="F68" s="255" t="n">
        <f aca="false">E68*(1+F67)</f>
        <v>8478645.84</v>
      </c>
      <c r="G68" s="255" t="n">
        <f aca="false">F68*(1+G67)</f>
        <v>9750442.716</v>
      </c>
      <c r="H68" s="255" t="n">
        <f aca="false">G68*(1+H67)</f>
        <v>12675575.5308</v>
      </c>
      <c r="I68" s="255" t="n">
        <f aca="false">H68*(1+I67)</f>
        <v>14196644.594496</v>
      </c>
      <c r="J68" s="255" t="n">
        <f aca="false">I68*(1+J67)</f>
        <v>15900241.9458355</v>
      </c>
    </row>
    <row r="69" customFormat="false" ht="15" hidden="false" customHeight="false" outlineLevel="0" collapsed="false">
      <c r="A69" s="219" t="s">
        <v>327</v>
      </c>
      <c r="B69" s="245" t="s">
        <v>259</v>
      </c>
      <c r="C69" s="223" t="n">
        <f aca="false">'Income Statement'!B28/C39</f>
        <v>0.048872737449481</v>
      </c>
      <c r="D69" s="223" t="n">
        <f aca="false">'Income Statement'!C28/D39</f>
        <v>0.052217573654666</v>
      </c>
      <c r="E69" s="223" t="n">
        <f aca="false">'Income Statement'!D28/E39</f>
        <v>0.043817079464105</v>
      </c>
      <c r="F69" s="264" t="n">
        <v>0.044</v>
      </c>
      <c r="G69" s="264" t="n">
        <v>0.044</v>
      </c>
      <c r="H69" s="264" t="n">
        <v>0.044</v>
      </c>
      <c r="I69" s="264" t="n">
        <v>0.044</v>
      </c>
      <c r="J69" s="264" t="n">
        <v>0.044</v>
      </c>
      <c r="K69" s="245" t="s">
        <v>328</v>
      </c>
    </row>
    <row r="70" customFormat="false" ht="15" hidden="false" customHeight="false" outlineLevel="0" collapsed="false">
      <c r="A70" s="219" t="s">
        <v>61</v>
      </c>
      <c r="B70" s="245" t="s">
        <v>262</v>
      </c>
      <c r="C70" s="263" t="n">
        <f aca="false">'Income Statement'!B28</f>
        <v>950000</v>
      </c>
      <c r="D70" s="263" t="n">
        <f aca="false">'Income Statement'!C28</f>
        <v>1615000</v>
      </c>
      <c r="E70" s="263" t="n">
        <f aca="false">'Income Statement'!D28</f>
        <v>2083350</v>
      </c>
      <c r="F70" s="255" t="n">
        <f aca="false">F39*F69</f>
        <v>2801647.94755824</v>
      </c>
      <c r="G70" s="255" t="n">
        <f aca="false">G39*G69</f>
        <v>3508587.28364991</v>
      </c>
      <c r="H70" s="255" t="n">
        <f aca="false">H39*H69</f>
        <v>4857673.25645158</v>
      </c>
      <c r="I70" s="255" t="n">
        <f aca="false">I39*I69</f>
        <v>6230590.63389186</v>
      </c>
      <c r="J70" s="255" t="n">
        <f aca="false">J39*J69</f>
        <v>7493980.91404191</v>
      </c>
    </row>
    <row r="71" customFormat="false" ht="15" hidden="false" customHeight="false" outlineLevel="0" collapsed="false">
      <c r="A71" s="219" t="s">
        <v>329</v>
      </c>
      <c r="B71" s="245" t="s">
        <v>259</v>
      </c>
      <c r="C71" s="223" t="n">
        <f aca="false">'Income Statement'!B30/C39</f>
        <v>0.0617339841467129</v>
      </c>
      <c r="D71" s="223" t="n">
        <f aca="false">'Income Statement'!C30/D39</f>
        <v>0.0581991532993181</v>
      </c>
      <c r="E71" s="223" t="n">
        <f aca="false">'Income Statement'!D30/E39</f>
        <v>0.0473220672446954</v>
      </c>
      <c r="F71" s="264" t="n">
        <v>0.05</v>
      </c>
      <c r="G71" s="264" t="n">
        <v>0.05</v>
      </c>
      <c r="H71" s="264" t="n">
        <v>0.05</v>
      </c>
      <c r="I71" s="264" t="n">
        <v>0.05</v>
      </c>
      <c r="J71" s="264" t="n">
        <v>0.05</v>
      </c>
      <c r="K71" s="245" t="s">
        <v>330</v>
      </c>
    </row>
    <row r="72" customFormat="false" ht="15" hidden="false" customHeight="false" outlineLevel="0" collapsed="false">
      <c r="A72" s="219" t="s">
        <v>331</v>
      </c>
      <c r="B72" s="245" t="s">
        <v>262</v>
      </c>
      <c r="C72" s="263" t="n">
        <f aca="false">'Income Statement'!B30</f>
        <v>1200000</v>
      </c>
      <c r="D72" s="263" t="n">
        <f aca="false">'Income Statement'!C30</f>
        <v>1800000</v>
      </c>
      <c r="E72" s="263" t="n">
        <f aca="false">'Income Statement'!D30</f>
        <v>2250000</v>
      </c>
      <c r="F72" s="255" t="n">
        <f aca="false">F39*F71</f>
        <v>3183690.849498</v>
      </c>
      <c r="G72" s="255" t="n">
        <f aca="false">G39*G71</f>
        <v>3987031.00414762</v>
      </c>
      <c r="H72" s="255" t="n">
        <f aca="false">H39*H71</f>
        <v>5520083.24596771</v>
      </c>
      <c r="I72" s="255" t="n">
        <f aca="false">I39*I71</f>
        <v>7080216.62942257</v>
      </c>
      <c r="J72" s="255" t="n">
        <f aca="false">J39*J71</f>
        <v>8515887.40232035</v>
      </c>
    </row>
    <row r="73" customFormat="false" ht="15" hidden="false" customHeight="false" outlineLevel="0" collapsed="false">
      <c r="A73" s="219" t="s">
        <v>332</v>
      </c>
      <c r="B73" s="245" t="s">
        <v>259</v>
      </c>
      <c r="C73" s="223" t="n">
        <f aca="false">'Income Statement'!B50/C39</f>
        <v>0.0473293878458132</v>
      </c>
      <c r="D73" s="223" t="n">
        <f aca="false">'Income Statement'!C50/D39</f>
        <v>0.0312335456039674</v>
      </c>
      <c r="E73" s="223" t="n">
        <f aca="false">'Income Statement'!D50/E39</f>
        <v>0.0243803290444671</v>
      </c>
      <c r="F73" s="264" t="n">
        <v>0.028</v>
      </c>
      <c r="G73" s="264" t="n">
        <v>0.03</v>
      </c>
      <c r="H73" s="264" t="n">
        <v>0.03</v>
      </c>
      <c r="I73" s="264" t="n">
        <v>0.03</v>
      </c>
      <c r="J73" s="264" t="n">
        <v>0.028</v>
      </c>
      <c r="K73" s="245" t="s">
        <v>333</v>
      </c>
    </row>
    <row r="74" customFormat="false" ht="15" hidden="false" customHeight="false" outlineLevel="0" collapsed="false">
      <c r="A74" s="219" t="s">
        <v>334</v>
      </c>
      <c r="B74" s="245" t="s">
        <v>262</v>
      </c>
      <c r="C74" s="263" t="n">
        <f aca="false">'Income Statement'!B50</f>
        <v>920000</v>
      </c>
      <c r="D74" s="263" t="n">
        <f aca="false">'Income Statement'!C50</f>
        <v>966000</v>
      </c>
      <c r="E74" s="263" t="n">
        <f aca="false">'Income Statement'!D50</f>
        <v>1159200</v>
      </c>
      <c r="F74" s="255" t="n">
        <f aca="false">F39*F73</f>
        <v>1782866.87571888</v>
      </c>
      <c r="G74" s="255" t="n">
        <f aca="false">G39*G73</f>
        <v>2392218.60248857</v>
      </c>
      <c r="H74" s="255" t="n">
        <f aca="false">H39*H73</f>
        <v>3312049.94758062</v>
      </c>
      <c r="I74" s="255" t="n">
        <f aca="false">I39*I73</f>
        <v>4248129.97765354</v>
      </c>
      <c r="J74" s="255" t="n">
        <f aca="false">J39*J73</f>
        <v>4768896.94529939</v>
      </c>
    </row>
    <row r="75" customFormat="false" ht="15" hidden="false" customHeight="false" outlineLevel="0" collapsed="false">
      <c r="A75" s="219" t="s">
        <v>335</v>
      </c>
      <c r="B75" s="245" t="s">
        <v>259</v>
      </c>
      <c r="C75" s="223" t="n">
        <v>0</v>
      </c>
      <c r="D75" s="223" t="n">
        <v>0</v>
      </c>
      <c r="E75" s="223" t="n">
        <v>0</v>
      </c>
      <c r="F75" s="264" t="n">
        <v>0.006</v>
      </c>
      <c r="G75" s="264" t="n">
        <v>0.006</v>
      </c>
      <c r="H75" s="264" t="n">
        <v>0.006</v>
      </c>
      <c r="I75" s="264" t="n">
        <v>0.006</v>
      </c>
      <c r="J75" s="264" t="n">
        <v>0.006</v>
      </c>
      <c r="K75" s="245" t="s">
        <v>336</v>
      </c>
    </row>
    <row r="76" customFormat="false" ht="15" hidden="false" customHeight="false" outlineLevel="0" collapsed="false">
      <c r="A76" s="219" t="s">
        <v>337</v>
      </c>
      <c r="B76" s="245" t="s">
        <v>262</v>
      </c>
      <c r="C76" s="255" t="n">
        <v>0</v>
      </c>
      <c r="D76" s="255" t="n">
        <v>0</v>
      </c>
      <c r="E76" s="255" t="n">
        <v>0</v>
      </c>
      <c r="F76" s="255" t="n">
        <f aca="false">F39*F75</f>
        <v>382042.90193976</v>
      </c>
      <c r="G76" s="255" t="n">
        <f aca="false">G39*G75</f>
        <v>478443.720497715</v>
      </c>
      <c r="H76" s="255" t="n">
        <f aca="false">H39*H75</f>
        <v>662409.989516125</v>
      </c>
      <c r="I76" s="255" t="n">
        <f aca="false">I39*I75</f>
        <v>849625.995530709</v>
      </c>
      <c r="J76" s="255" t="n">
        <f aca="false">J39*J75</f>
        <v>1021906.48827844</v>
      </c>
    </row>
    <row r="77" customFormat="false" ht="15" hidden="false" customHeight="false" outlineLevel="0" collapsed="false">
      <c r="A77" s="186" t="s">
        <v>338</v>
      </c>
      <c r="B77" s="245" t="s">
        <v>262</v>
      </c>
      <c r="C77" s="256" t="n">
        <f aca="false">'Income Statement'!B63</f>
        <v>16189000</v>
      </c>
      <c r="D77" s="256" t="n">
        <f aca="false">'Income Statement'!C63</f>
        <v>20021150</v>
      </c>
      <c r="E77" s="256" t="n">
        <f aca="false">'Income Statement'!D63</f>
        <v>26926449.5</v>
      </c>
      <c r="F77" s="257" t="n">
        <f aca="false">F64+F66+F68+F70+F72+F74+F76</f>
        <v>34966953.7078234</v>
      </c>
      <c r="G77" s="257" t="n">
        <f aca="false">G64+G66+G68+G70+G72+G74+G76</f>
        <v>43592361.879205</v>
      </c>
      <c r="H77" s="257" t="n">
        <f aca="false">H64+H66+H68+H70+H72+H74+H76</f>
        <v>60236612.7780578</v>
      </c>
      <c r="I77" s="257" t="n">
        <f aca="false">I64+I66+I68+I70+I72+I74+I76</f>
        <v>74293523.3450348</v>
      </c>
      <c r="J77" s="257" t="n">
        <f aca="false">J64+J66+J68+J70+J72+J74+J76</f>
        <v>86752425.1331408</v>
      </c>
    </row>
    <row r="78" customFormat="false" ht="15" hidden="false" customHeight="false" outlineLevel="0" collapsed="false">
      <c r="A78" s="219" t="s">
        <v>339</v>
      </c>
      <c r="B78" s="245" t="s">
        <v>259</v>
      </c>
      <c r="C78" s="223" t="n">
        <f aca="false">C77/C39</f>
        <v>0.832842891125946</v>
      </c>
      <c r="D78" s="223" t="n">
        <f aca="false">D77/D39</f>
        <v>0.647341098932579</v>
      </c>
      <c r="E78" s="223" t="n">
        <f aca="false">E77/E39</f>
        <v>0.566317890622176</v>
      </c>
      <c r="F78" s="223" t="n">
        <f aca="false">F77/F39</f>
        <v>0.549157492998054</v>
      </c>
      <c r="G78" s="223" t="n">
        <f aca="false">G77/G39</f>
        <v>0.546676986382308</v>
      </c>
      <c r="H78" s="223" t="n">
        <f aca="false">H77/H39</f>
        <v>0.545613264275129</v>
      </c>
      <c r="I78" s="223" t="n">
        <f aca="false">I77/I39</f>
        <v>0.524655721947125</v>
      </c>
      <c r="J78" s="223" t="n">
        <f aca="false">J77/J39</f>
        <v>0.509356342061916</v>
      </c>
    </row>
    <row r="79" customFormat="false" ht="15" hidden="false" customHeight="false" outlineLevel="0" collapsed="false">
      <c r="A79" s="186" t="s">
        <v>340</v>
      </c>
      <c r="B79" s="245" t="s">
        <v>262</v>
      </c>
      <c r="C79" s="257" t="n">
        <f aca="false">C39-C59-C77</f>
        <v>-2762511.2</v>
      </c>
      <c r="D79" s="257" t="n">
        <f aca="false">D39-D59-D77</f>
        <v>2014563.75</v>
      </c>
      <c r="E79" s="257" t="n">
        <f aca="false">E39-E59-E77</f>
        <v>7694629.2155</v>
      </c>
      <c r="F79" s="257" t="n">
        <f aca="false">F39-F59-F77</f>
        <v>11384204.0346466</v>
      </c>
      <c r="G79" s="257" t="n">
        <f aca="false">G39-G59-G77</f>
        <v>14269774.5825946</v>
      </c>
      <c r="H79" s="257" t="n">
        <f aca="false">H39-H59-H77</f>
        <v>17757514.5630708</v>
      </c>
      <c r="I79" s="257" t="n">
        <f aca="false">I39-I59-I77</f>
        <v>26926664.252477</v>
      </c>
      <c r="J79" s="257" t="n">
        <f aca="false">J39-J59-J77</f>
        <v>34434634.4002363</v>
      </c>
    </row>
    <row r="80" customFormat="false" ht="15" hidden="false" customHeight="false" outlineLevel="0" collapsed="false">
      <c r="A80" s="186" t="s">
        <v>341</v>
      </c>
      <c r="B80" s="245" t="s">
        <v>259</v>
      </c>
      <c r="C80" s="259" t="n">
        <f aca="false">C79/C39</f>
        <v>-0.142117352188264</v>
      </c>
      <c r="D80" s="259" t="n">
        <f aca="false">D79/D39</f>
        <v>0.0651366136208328</v>
      </c>
      <c r="E80" s="259" t="n">
        <f aca="false">E79/E39</f>
        <v>0.161833671626173</v>
      </c>
      <c r="F80" s="259" t="n">
        <f aca="false">F79/F39</f>
        <v>0.178789407841557</v>
      </c>
      <c r="G80" s="259" t="n">
        <f aca="false">G79/G39</f>
        <v>0.178952390484925</v>
      </c>
      <c r="H80" s="259" t="n">
        <f aca="false">H79/H39</f>
        <v>0.160844626537491</v>
      </c>
      <c r="I80" s="259" t="n">
        <f aca="false">I79/I39</f>
        <v>0.19015424005941</v>
      </c>
      <c r="J80" s="259" t="n">
        <f aca="false">J79/J39</f>
        <v>0.202178779341621</v>
      </c>
    </row>
    <row r="82" customFormat="false" ht="15" hidden="false" customHeight="false" outlineLevel="0" collapsed="false">
      <c r="A82" s="250" t="s">
        <v>342</v>
      </c>
      <c r="B82" s="251"/>
      <c r="C82" s="251"/>
      <c r="D82" s="251"/>
      <c r="E82" s="251"/>
      <c r="F82" s="251"/>
      <c r="G82" s="251"/>
      <c r="H82" s="251"/>
      <c r="I82" s="251"/>
      <c r="J82" s="251"/>
      <c r="K82" s="251"/>
    </row>
    <row r="83" customFormat="false" ht="15" hidden="false" customHeight="false" outlineLevel="0" collapsed="false">
      <c r="A83" s="186" t="s">
        <v>343</v>
      </c>
      <c r="B83" s="245" t="s">
        <v>259</v>
      </c>
      <c r="C83" s="259" t="n">
        <f aca="false">C85/C39</f>
        <v>0.257687938825737</v>
      </c>
      <c r="D83" s="259" t="n">
        <f aca="false">D85/D39</f>
        <v>0.2038781005801</v>
      </c>
      <c r="E83" s="259" t="n">
        <f aca="false">E85/E39</f>
        <v>0.106937776598666</v>
      </c>
      <c r="F83" s="259" t="n">
        <f aca="false">IF(F$7=$C$4,$C$148,IF(F$7=$C$4+1,$C$149,F84))</f>
        <v>0.2</v>
      </c>
      <c r="G83" s="259" t="n">
        <f aca="false">IF(G$7=$C$4,$C$148,IF(G$7=$C$4+1,$C$149,G84))</f>
        <v>0.65</v>
      </c>
      <c r="H83" s="259" t="n">
        <f aca="false">IF(H$7=$C$4,$C$148,IF(H$7=$C$4+1,$C$149,H84))</f>
        <v>0.12</v>
      </c>
      <c r="I83" s="259" t="n">
        <f aca="false">IF(I$7=$C$4,$C$148,IF(I$7=$C$4+1,$C$149,I84))</f>
        <v>0.1</v>
      </c>
      <c r="J83" s="259" t="n">
        <f aca="false">IF(J$7=$C$4,$C$148,IF(J$7=$C$4+1,$C$149,J84))</f>
        <v>0.1</v>
      </c>
      <c r="K83" s="245" t="s">
        <v>344</v>
      </c>
    </row>
    <row r="84" customFormat="false" ht="15" hidden="false" customHeight="false" outlineLevel="0" collapsed="false">
      <c r="A84" s="219" t="s">
        <v>345</v>
      </c>
      <c r="B84" s="245" t="s">
        <v>259</v>
      </c>
      <c r="F84" s="264" t="n">
        <v>0.2</v>
      </c>
      <c r="G84" s="264" t="n">
        <v>0.2</v>
      </c>
      <c r="H84" s="264" t="n">
        <v>0.1</v>
      </c>
      <c r="I84" s="264" t="n">
        <v>0.1</v>
      </c>
      <c r="J84" s="264" t="n">
        <v>0.1</v>
      </c>
      <c r="K84" s="245" t="s">
        <v>346</v>
      </c>
    </row>
    <row r="85" customFormat="false" ht="15" hidden="false" customHeight="false" outlineLevel="0" collapsed="false">
      <c r="A85" s="186" t="s">
        <v>347</v>
      </c>
      <c r="B85" s="245" t="s">
        <v>262</v>
      </c>
      <c r="C85" s="257" t="n">
        <f aca="false">SUM('Balance Sheet'!E29:E31)-SUM('Balance Sheet'!D29:D31)</f>
        <v>5009000</v>
      </c>
      <c r="D85" s="257" t="n">
        <f aca="false">SUM('Balance Sheet'!F29:F31)-SUM('Balance Sheet'!E29:E31)</f>
        <v>6305600</v>
      </c>
      <c r="E85" s="257" t="n">
        <f aca="false">SUM('Balance Sheet'!G29:G31)-SUM('Balance Sheet'!F29:F31)</f>
        <v>5084520</v>
      </c>
      <c r="F85" s="257" t="n">
        <f aca="false">F39*F83</f>
        <v>12734763.397992</v>
      </c>
      <c r="G85" s="257" t="n">
        <f aca="false">G39*G83</f>
        <v>51831403.0539191</v>
      </c>
      <c r="H85" s="257" t="n">
        <f aca="false">H39*H83</f>
        <v>13248199.7903225</v>
      </c>
      <c r="I85" s="257" t="n">
        <f aca="false">I39*I83</f>
        <v>14160433.2588451</v>
      </c>
      <c r="J85" s="257" t="n">
        <f aca="false">J39*J83</f>
        <v>17031774.8046407</v>
      </c>
    </row>
    <row r="86" customFormat="false" ht="15" hidden="false" customHeight="false" outlineLevel="0" collapsed="false">
      <c r="A86" s="219" t="s">
        <v>348</v>
      </c>
      <c r="B86" s="245" t="s">
        <v>262</v>
      </c>
      <c r="C86" s="263" t="n">
        <f aca="false">SUM('Balance Sheet'!E29:E31)</f>
        <v>19794000</v>
      </c>
      <c r="D86" s="263" t="n">
        <f aca="false">SUM('Balance Sheet'!F29:F31)</f>
        <v>26099600</v>
      </c>
      <c r="E86" s="263" t="n">
        <f aca="false">SUM('Balance Sheet'!G29:G31)</f>
        <v>31184120</v>
      </c>
      <c r="F86" s="255" t="n">
        <f aca="false">E86+F85</f>
        <v>43918883.397992</v>
      </c>
      <c r="G86" s="255" t="n">
        <f aca="false">F86+G85</f>
        <v>95750286.4519111</v>
      </c>
      <c r="H86" s="255" t="n">
        <f aca="false">G86+H85</f>
        <v>108998486.242234</v>
      </c>
      <c r="I86" s="255" t="n">
        <f aca="false">H86+I85</f>
        <v>123158919.501079</v>
      </c>
      <c r="J86" s="255" t="n">
        <f aca="false">I86+J85</f>
        <v>140190694.305719</v>
      </c>
    </row>
    <row r="87" customFormat="false" ht="15" hidden="false" customHeight="false" outlineLevel="0" collapsed="false">
      <c r="A87" s="219" t="s">
        <v>349</v>
      </c>
      <c r="B87" s="245" t="s">
        <v>259</v>
      </c>
      <c r="D87" s="223" t="n">
        <f aca="false">D88/C86</f>
        <v>0.12</v>
      </c>
      <c r="E87" s="223" t="n">
        <f aca="false">E88/D86</f>
        <v>0.12</v>
      </c>
      <c r="F87" s="224" t="n">
        <f aca="false">Assumption!$D$17</f>
        <v>0.12</v>
      </c>
      <c r="G87" s="224" t="n">
        <f aca="false">Assumption!$D$17</f>
        <v>0.12</v>
      </c>
      <c r="H87" s="224" t="n">
        <f aca="false">Assumption!$D$17</f>
        <v>0.12</v>
      </c>
      <c r="I87" s="224" t="n">
        <f aca="false">Assumption!$D$17</f>
        <v>0.12</v>
      </c>
      <c r="J87" s="224" t="n">
        <f aca="false">Assumption!$D$17</f>
        <v>0.12</v>
      </c>
      <c r="K87" s="245" t="s">
        <v>350</v>
      </c>
    </row>
    <row r="88" customFormat="false" ht="15" hidden="false" customHeight="false" outlineLevel="0" collapsed="false">
      <c r="A88" s="219" t="s">
        <v>101</v>
      </c>
      <c r="B88" s="245" t="s">
        <v>262</v>
      </c>
      <c r="C88" s="263" t="n">
        <f aca="false">'Income Statement'!B71</f>
        <v>1432200</v>
      </c>
      <c r="D88" s="263" t="n">
        <f aca="false">'Income Statement'!C71</f>
        <v>2375280</v>
      </c>
      <c r="E88" s="263" t="n">
        <f aca="false">'Income Statement'!D71</f>
        <v>3131952</v>
      </c>
      <c r="F88" s="255" t="n">
        <f aca="false">E86*F87</f>
        <v>3742094.4</v>
      </c>
      <c r="G88" s="255" t="n">
        <f aca="false">F86*G87</f>
        <v>5270266.00775904</v>
      </c>
      <c r="H88" s="255" t="n">
        <f aca="false">G86*H87</f>
        <v>11490034.3742293</v>
      </c>
      <c r="I88" s="255" t="n">
        <f aca="false">H86*I87</f>
        <v>13079818.349068</v>
      </c>
      <c r="J88" s="255" t="n">
        <f aca="false">I86*J87</f>
        <v>14779070.3401295</v>
      </c>
    </row>
    <row r="89" customFormat="false" ht="15" hidden="false" customHeight="false" outlineLevel="0" collapsed="false">
      <c r="A89" s="219" t="s">
        <v>131</v>
      </c>
      <c r="B89" s="245" t="s">
        <v>262</v>
      </c>
      <c r="C89" s="263" t="n">
        <f aca="false">'Balance Sheet'!E26</f>
        <v>4282200</v>
      </c>
      <c r="D89" s="263" t="n">
        <f aca="false">'Balance Sheet'!F26</f>
        <v>6657480</v>
      </c>
      <c r="E89" s="263" t="n">
        <f aca="false">'Balance Sheet'!G26</f>
        <v>9789432</v>
      </c>
      <c r="F89" s="255" t="n">
        <f aca="false">E89+F88</f>
        <v>13531526.4</v>
      </c>
      <c r="G89" s="255" t="n">
        <f aca="false">F89+G88</f>
        <v>18801792.407759</v>
      </c>
      <c r="H89" s="255" t="n">
        <f aca="false">G89+H88</f>
        <v>30291826.7819884</v>
      </c>
      <c r="I89" s="255" t="n">
        <f aca="false">H89+I88</f>
        <v>43371645.1310564</v>
      </c>
      <c r="J89" s="255" t="n">
        <f aca="false">I89+J88</f>
        <v>58150715.4711859</v>
      </c>
    </row>
    <row r="90" customFormat="false" ht="15" hidden="false" customHeight="false" outlineLevel="0" collapsed="false">
      <c r="A90" s="186" t="s">
        <v>351</v>
      </c>
      <c r="B90" s="245" t="s">
        <v>262</v>
      </c>
      <c r="C90" s="257" t="n">
        <f aca="false">C86-C89</f>
        <v>15511800</v>
      </c>
      <c r="D90" s="257" t="n">
        <f aca="false">D86-D89</f>
        <v>19442120</v>
      </c>
      <c r="E90" s="257" t="n">
        <f aca="false">E86-E89</f>
        <v>21394688</v>
      </c>
      <c r="F90" s="257" t="n">
        <f aca="false">F86-F89</f>
        <v>30387356.997992</v>
      </c>
      <c r="G90" s="257" t="n">
        <f aca="false">G86-G89</f>
        <v>76948494.0441521</v>
      </c>
      <c r="H90" s="257" t="n">
        <f aca="false">H86-H89</f>
        <v>78706659.4602453</v>
      </c>
      <c r="I90" s="257" t="n">
        <f aca="false">I86-I89</f>
        <v>79787274.3700223</v>
      </c>
      <c r="J90" s="257" t="n">
        <f aca="false">J86-J89</f>
        <v>82039978.8345336</v>
      </c>
    </row>
    <row r="91" customFormat="false" ht="15" hidden="false" customHeight="false" outlineLevel="0" collapsed="false">
      <c r="A91" s="219" t="s">
        <v>352</v>
      </c>
      <c r="B91" s="245" t="s">
        <v>259</v>
      </c>
      <c r="C91" s="223" t="n">
        <f aca="false">C88/C39</f>
        <v>0.0736795100791018</v>
      </c>
      <c r="D91" s="223" t="n">
        <f aca="false">D88/D39</f>
        <v>0.0767996026937801</v>
      </c>
      <c r="E91" s="223" t="n">
        <f aca="false">E88/E39</f>
        <v>0.0658713080671815</v>
      </c>
      <c r="F91" s="223" t="n">
        <f aca="false">F88/F39</f>
        <v>0.0587697514755562</v>
      </c>
      <c r="G91" s="223" t="n">
        <f aca="false">G88/G39</f>
        <v>0.0660926138055673</v>
      </c>
      <c r="H91" s="223" t="n">
        <f aca="false">H88/H39</f>
        <v>0.104074828786527</v>
      </c>
      <c r="I91" s="223" t="n">
        <f aca="false">I88/I39</f>
        <v>0.0923687722683053</v>
      </c>
      <c r="J91" s="223" t="n">
        <f aca="false">J88/J39</f>
        <v>0.0867735189646974</v>
      </c>
    </row>
    <row r="93" customFormat="false" ht="15" hidden="false" customHeight="false" outlineLevel="0" collapsed="false">
      <c r="A93" s="250" t="s">
        <v>353</v>
      </c>
      <c r="B93" s="251"/>
      <c r="C93" s="251"/>
      <c r="D93" s="251"/>
      <c r="E93" s="251"/>
      <c r="F93" s="251"/>
      <c r="G93" s="251"/>
      <c r="H93" s="251"/>
      <c r="I93" s="251"/>
      <c r="J93" s="251"/>
      <c r="K93" s="251"/>
    </row>
    <row r="94" customFormat="false" ht="15" hidden="false" customHeight="false" outlineLevel="0" collapsed="false">
      <c r="A94" s="219" t="s">
        <v>354</v>
      </c>
      <c r="B94" s="245" t="s">
        <v>355</v>
      </c>
      <c r="C94" s="265" t="n">
        <f aca="false">'Balance Sheet'!E10/C59*365</f>
        <v>151.72534086241</v>
      </c>
      <c r="D94" s="265" t="n">
        <f aca="false">'Balance Sheet'!F10/D59*365</f>
        <v>123.087234189999</v>
      </c>
      <c r="E94" s="265" t="n">
        <f aca="false">'Balance Sheet'!G10/E59*365</f>
        <v>105.853379584676</v>
      </c>
      <c r="F94" s="266" t="n">
        <v>100</v>
      </c>
      <c r="G94" s="266" t="n">
        <v>100</v>
      </c>
      <c r="H94" s="266" t="n">
        <v>105</v>
      </c>
      <c r="I94" s="266" t="n">
        <v>100</v>
      </c>
      <c r="J94" s="266" t="n">
        <v>95</v>
      </c>
      <c r="K94" s="245" t="s">
        <v>356</v>
      </c>
    </row>
    <row r="95" customFormat="false" ht="15" hidden="false" customHeight="false" outlineLevel="0" collapsed="false">
      <c r="A95" s="219" t="s">
        <v>116</v>
      </c>
      <c r="B95" s="245" t="s">
        <v>262</v>
      </c>
      <c r="C95" s="263" t="n">
        <f aca="false">'Balance Sheet'!E10</f>
        <v>2499000</v>
      </c>
      <c r="D95" s="263" t="n">
        <f aca="false">'Balance Sheet'!F10</f>
        <v>2998800</v>
      </c>
      <c r="E95" s="263" t="n">
        <f aca="false">'Balance Sheet'!G10</f>
        <v>3748500</v>
      </c>
      <c r="F95" s="255" t="n">
        <f aca="false">F59*F94/365</f>
        <v>4745934.04040822</v>
      </c>
      <c r="G95" s="255" t="n">
        <f aca="false">G59*G94/365</f>
        <v>5994105.10168572</v>
      </c>
      <c r="H95" s="255" t="n">
        <f aca="false">H59*H94/365</f>
        <v>9322716.28962655</v>
      </c>
      <c r="I95" s="255" t="n">
        <f aca="false">I59*I94/365</f>
        <v>11064149.3125862</v>
      </c>
      <c r="J95" s="255" t="n">
        <f aca="false">J59*J94/365</f>
        <v>12787439.4759941</v>
      </c>
    </row>
    <row r="96" customFormat="false" ht="15" hidden="false" customHeight="false" outlineLevel="0" collapsed="false">
      <c r="A96" s="219" t="s">
        <v>357</v>
      </c>
      <c r="B96" s="245" t="s">
        <v>355</v>
      </c>
      <c r="C96" s="265" t="n">
        <f aca="false">'Balance Sheet'!E13/C39*365</f>
        <v>23.6595494242277</v>
      </c>
      <c r="D96" s="265" t="n">
        <f aca="false">'Balance Sheet'!F13/D39*365</f>
        <v>18.1412580749304</v>
      </c>
      <c r="E96" s="265" t="n">
        <f aca="false">'Balance Sheet'!G13/E39*365</f>
        <v>13.5707006543765</v>
      </c>
      <c r="F96" s="266" t="n">
        <v>18</v>
      </c>
      <c r="G96" s="266" t="n">
        <v>22</v>
      </c>
      <c r="H96" s="266" t="n">
        <v>26</v>
      </c>
      <c r="I96" s="266" t="n">
        <v>30</v>
      </c>
      <c r="J96" s="266" t="n">
        <v>30</v>
      </c>
      <c r="K96" s="245" t="s">
        <v>358</v>
      </c>
    </row>
    <row r="97" customFormat="false" ht="15" hidden="false" customHeight="false" outlineLevel="0" collapsed="false">
      <c r="A97" s="219" t="s">
        <v>119</v>
      </c>
      <c r="B97" s="245" t="s">
        <v>262</v>
      </c>
      <c r="C97" s="263" t="n">
        <f aca="false">'Balance Sheet'!E13</f>
        <v>1260000</v>
      </c>
      <c r="D97" s="263" t="n">
        <f aca="false">'Balance Sheet'!F13</f>
        <v>1537200</v>
      </c>
      <c r="E97" s="263" t="n">
        <f aca="false">'Balance Sheet'!G13</f>
        <v>1767780</v>
      </c>
      <c r="F97" s="255" t="n">
        <f aca="false">F39*F96/365</f>
        <v>3140078.64608022</v>
      </c>
      <c r="G97" s="255" t="n">
        <f aca="false">G39*G96/365</f>
        <v>4806283.95020536</v>
      </c>
      <c r="H97" s="255" t="n">
        <f aca="false">H39*H96/365</f>
        <v>7864228.18603618</v>
      </c>
      <c r="I97" s="255" t="n">
        <f aca="false">I39*I96/365</f>
        <v>11638712.267544</v>
      </c>
      <c r="J97" s="255" t="n">
        <f aca="false">J39*J96/365</f>
        <v>13998719.0175129</v>
      </c>
    </row>
    <row r="98" customFormat="false" ht="15" hidden="false" customHeight="false" outlineLevel="0" collapsed="false">
      <c r="A98" s="219" t="s">
        <v>359</v>
      </c>
      <c r="B98" s="245" t="s">
        <v>259</v>
      </c>
      <c r="C98" s="223" t="n">
        <f aca="false">'Balance Sheet'!E20/C39</f>
        <v>0.0634316687107475</v>
      </c>
      <c r="D98" s="223" t="n">
        <f aca="false">'Balance Sheet'!F20/D39</f>
        <v>0.055279495775469</v>
      </c>
      <c r="E98" s="223" t="n">
        <f aca="false">'Balance Sheet'!G20/E39</f>
        <v>0.0436012908374692</v>
      </c>
      <c r="F98" s="264" t="n">
        <v>0.04</v>
      </c>
      <c r="G98" s="264" t="n">
        <v>0.04</v>
      </c>
      <c r="H98" s="264" t="n">
        <v>0.04</v>
      </c>
      <c r="I98" s="264" t="n">
        <v>0.04</v>
      </c>
      <c r="J98" s="264" t="n">
        <v>0.04</v>
      </c>
      <c r="K98" s="245" t="s">
        <v>360</v>
      </c>
    </row>
    <row r="99" customFormat="false" ht="15" hidden="false" customHeight="false" outlineLevel="0" collapsed="false">
      <c r="A99" s="219" t="s">
        <v>361</v>
      </c>
      <c r="B99" s="245" t="s">
        <v>262</v>
      </c>
      <c r="C99" s="263" t="n">
        <f aca="false">'Balance Sheet'!E20</f>
        <v>1233000</v>
      </c>
      <c r="D99" s="263" t="n">
        <f aca="false">'Balance Sheet'!F20</f>
        <v>1709700</v>
      </c>
      <c r="E99" s="263" t="n">
        <f aca="false">'Balance Sheet'!G20</f>
        <v>2073090</v>
      </c>
      <c r="F99" s="255" t="n">
        <f aca="false">F39*F98</f>
        <v>2546952.6795984</v>
      </c>
      <c r="G99" s="255" t="n">
        <f aca="false">G39*G98</f>
        <v>3189624.8033181</v>
      </c>
      <c r="H99" s="255" t="n">
        <f aca="false">H39*H98</f>
        <v>4416066.59677417</v>
      </c>
      <c r="I99" s="255" t="n">
        <f aca="false">I39*I98</f>
        <v>5664173.30353806</v>
      </c>
      <c r="J99" s="255" t="n">
        <f aca="false">J39*J98</f>
        <v>6812709.92185628</v>
      </c>
    </row>
    <row r="100" customFormat="false" ht="15" hidden="false" customHeight="false" outlineLevel="0" collapsed="false">
      <c r="A100" s="219" t="s">
        <v>362</v>
      </c>
      <c r="B100" s="245" t="s">
        <v>355</v>
      </c>
      <c r="C100" s="265" t="n">
        <f aca="false">'Balance Sheet'!E41/C59*365</f>
        <v>9.47144984975426</v>
      </c>
      <c r="D100" s="265" t="n">
        <f aca="false">'Balance Sheet'!F41/D59*365</f>
        <v>8.32402664190068</v>
      </c>
      <c r="E100" s="265" t="n">
        <f aca="false">'Balance Sheet'!G41/E59*365</f>
        <v>7.44489395590345</v>
      </c>
      <c r="F100" s="266" t="n">
        <v>10</v>
      </c>
      <c r="G100" s="266" t="n">
        <v>12</v>
      </c>
      <c r="H100" s="266" t="n">
        <v>15</v>
      </c>
      <c r="I100" s="266" t="n">
        <v>15</v>
      </c>
      <c r="J100" s="266" t="n">
        <v>15</v>
      </c>
      <c r="K100" s="245" t="s">
        <v>363</v>
      </c>
    </row>
    <row r="101" customFormat="false" ht="15" hidden="false" customHeight="false" outlineLevel="0" collapsed="false">
      <c r="A101" s="219" t="s">
        <v>141</v>
      </c>
      <c r="B101" s="245" t="s">
        <v>262</v>
      </c>
      <c r="C101" s="263" t="n">
        <f aca="false">'Balance Sheet'!E41</f>
        <v>156000</v>
      </c>
      <c r="D101" s="263" t="n">
        <f aca="false">'Balance Sheet'!F41</f>
        <v>202800</v>
      </c>
      <c r="E101" s="263" t="n">
        <f aca="false">'Balance Sheet'!G41</f>
        <v>263640</v>
      </c>
      <c r="F101" s="255" t="n">
        <f aca="false">F59*F100/365</f>
        <v>474593.404040822</v>
      </c>
      <c r="G101" s="255" t="n">
        <f aca="false">G59*G100/365</f>
        <v>719292.612202287</v>
      </c>
      <c r="H101" s="255" t="n">
        <f aca="false">H59*H100/365</f>
        <v>1331816.61280379</v>
      </c>
      <c r="I101" s="255" t="n">
        <f aca="false">I59*I100/365</f>
        <v>1659622.39688793</v>
      </c>
      <c r="J101" s="255" t="n">
        <f aca="false">J59*J100/365</f>
        <v>2019069.39094643</v>
      </c>
    </row>
    <row r="102" customFormat="false" ht="15" hidden="false" customHeight="false" outlineLevel="0" collapsed="false">
      <c r="A102" s="219" t="s">
        <v>364</v>
      </c>
      <c r="B102" s="245" t="s">
        <v>259</v>
      </c>
      <c r="C102" s="221" t="n">
        <f aca="false">'Balance Sheet'!E56/C39</f>
        <v>0.0024076253817218</v>
      </c>
      <c r="D102" s="221" t="n">
        <f aca="false">'Balance Sheet'!F56/D39</f>
        <v>0.00196713138151695</v>
      </c>
      <c r="E102" s="221" t="n">
        <f aca="false">'Balance Sheet'!G56/E39</f>
        <v>0.00166346530778553</v>
      </c>
      <c r="F102" s="220" t="n">
        <v>0.002</v>
      </c>
      <c r="G102" s="220" t="n">
        <v>0.002</v>
      </c>
      <c r="H102" s="220" t="n">
        <v>0.002</v>
      </c>
      <c r="I102" s="220" t="n">
        <v>0.002</v>
      </c>
      <c r="J102" s="220" t="n">
        <v>0.002</v>
      </c>
    </row>
    <row r="103" customFormat="false" ht="15" hidden="false" customHeight="false" outlineLevel="0" collapsed="false">
      <c r="A103" s="219" t="s">
        <v>179</v>
      </c>
      <c r="B103" s="245" t="s">
        <v>262</v>
      </c>
      <c r="C103" s="263" t="n">
        <f aca="false">'Balance Sheet'!E56</f>
        <v>46800</v>
      </c>
      <c r="D103" s="263" t="n">
        <f aca="false">'Balance Sheet'!F56</f>
        <v>60840</v>
      </c>
      <c r="E103" s="263" t="n">
        <f aca="false">'Balance Sheet'!G56</f>
        <v>79092</v>
      </c>
      <c r="F103" s="255" t="n">
        <f aca="false">F39*F102</f>
        <v>127347.63397992</v>
      </c>
      <c r="G103" s="255" t="n">
        <f aca="false">G39*G102</f>
        <v>159481.240165905</v>
      </c>
      <c r="H103" s="255" t="n">
        <f aca="false">H39*H102</f>
        <v>220803.329838708</v>
      </c>
      <c r="I103" s="255" t="n">
        <f aca="false">I39*I102</f>
        <v>283208.665176903</v>
      </c>
      <c r="J103" s="255" t="n">
        <f aca="false">J39*J102</f>
        <v>340635.496092814</v>
      </c>
    </row>
    <row r="104" customFormat="false" ht="15" hidden="false" customHeight="false" outlineLevel="0" collapsed="false">
      <c r="A104" s="186" t="s">
        <v>365</v>
      </c>
      <c r="B104" s="245" t="s">
        <v>262</v>
      </c>
      <c r="C104" s="257" t="n">
        <f aca="false">C95+C97+C99-C101-C103</f>
        <v>4789200</v>
      </c>
      <c r="D104" s="257" t="n">
        <f aca="false">D95+D97+D99-D101-D103</f>
        <v>5982060</v>
      </c>
      <c r="E104" s="257" t="n">
        <f aca="false">E95+E97+E99-E101-E103</f>
        <v>7246638</v>
      </c>
      <c r="F104" s="257" t="n">
        <f aca="false">F95+F97+F99-F101-F103</f>
        <v>9831024.3280661</v>
      </c>
      <c r="G104" s="257" t="n">
        <f aca="false">G95+G97+G99-G101-G103</f>
        <v>13111240.002841</v>
      </c>
      <c r="H104" s="257" t="n">
        <f aca="false">H95+H97+H99-H101-H103</f>
        <v>20050391.1297944</v>
      </c>
      <c r="I104" s="257" t="n">
        <f aca="false">I95+I97+I99-I101-I103</f>
        <v>26424203.8216034</v>
      </c>
      <c r="J104" s="257" t="n">
        <f aca="false">J95+J97+J99-J101-J103</f>
        <v>31239163.528324</v>
      </c>
    </row>
    <row r="105" customFormat="false" ht="15" hidden="false" customHeight="false" outlineLevel="0" collapsed="false">
      <c r="A105" s="219" t="s">
        <v>366</v>
      </c>
      <c r="B105" s="245" t="s">
        <v>262</v>
      </c>
      <c r="D105" s="255" t="n">
        <f aca="false">D104-C104</f>
        <v>1192860</v>
      </c>
      <c r="E105" s="255" t="n">
        <f aca="false">E104-D104</f>
        <v>1264578</v>
      </c>
      <c r="F105" s="255" t="n">
        <f aca="false">F104-E104</f>
        <v>2584386.3280661</v>
      </c>
      <c r="G105" s="255" t="n">
        <f aca="false">G104-F104</f>
        <v>3280215.67477489</v>
      </c>
      <c r="H105" s="255" t="n">
        <f aca="false">H104-G104</f>
        <v>6939151.12695341</v>
      </c>
      <c r="I105" s="255" t="n">
        <f aca="false">I104-H104</f>
        <v>6373812.69180898</v>
      </c>
      <c r="J105" s="255" t="n">
        <f aca="false">J104-I104</f>
        <v>4814959.70672064</v>
      </c>
    </row>
    <row r="106" customFormat="false" ht="15" hidden="false" customHeight="false" outlineLevel="0" collapsed="false">
      <c r="A106" s="219" t="s">
        <v>367</v>
      </c>
      <c r="B106" s="245" t="s">
        <v>259</v>
      </c>
      <c r="C106" s="223" t="n">
        <f aca="false">C104/C39</f>
        <v>0.246380330729531</v>
      </c>
      <c r="D106" s="223" t="n">
        <f aca="false">D104/D39</f>
        <v>0.193417126103177</v>
      </c>
      <c r="E106" s="223" t="n">
        <f aca="false">E104/E39</f>
        <v>0.152411506992873</v>
      </c>
      <c r="F106" s="223" t="n">
        <f aca="false">F104/F39</f>
        <v>0.154396654587493</v>
      </c>
      <c r="G106" s="223" t="n">
        <f aca="false">G104/G39</f>
        <v>0.164423602289544</v>
      </c>
      <c r="H106" s="223" t="n">
        <f aca="false">H104/H39</f>
        <v>0.181613122813327</v>
      </c>
      <c r="I106" s="223" t="n">
        <f aca="false">I104/I39</f>
        <v>0.186605899258752</v>
      </c>
      <c r="J106" s="223" t="n">
        <f aca="false">J104/J39</f>
        <v>0.183416959692376</v>
      </c>
    </row>
    <row r="108" customFormat="false" ht="15" hidden="false" customHeight="false" outlineLevel="0" collapsed="false">
      <c r="A108" s="250" t="s">
        <v>368</v>
      </c>
      <c r="B108" s="251"/>
      <c r="C108" s="251"/>
      <c r="D108" s="251"/>
      <c r="E108" s="251"/>
      <c r="F108" s="251"/>
      <c r="G108" s="251"/>
      <c r="H108" s="251"/>
      <c r="I108" s="251"/>
      <c r="J108" s="251"/>
      <c r="K108" s="251"/>
    </row>
    <row r="109" customFormat="false" ht="15" hidden="false" customHeight="false" outlineLevel="0" collapsed="false">
      <c r="A109" s="219" t="s">
        <v>369</v>
      </c>
      <c r="B109" s="245" t="s">
        <v>259</v>
      </c>
      <c r="F109" s="264" t="n">
        <v>0.05</v>
      </c>
      <c r="G109" s="264" t="n">
        <v>0.05</v>
      </c>
      <c r="H109" s="264" t="n">
        <v>0.05</v>
      </c>
      <c r="I109" s="264" t="n">
        <v>0.05</v>
      </c>
      <c r="J109" s="264" t="n">
        <v>0.05</v>
      </c>
      <c r="K109" s="245" t="s">
        <v>370</v>
      </c>
    </row>
    <row r="110" customFormat="false" ht="15" hidden="false" customHeight="false" outlineLevel="0" collapsed="false">
      <c r="A110" s="219" t="s">
        <v>371</v>
      </c>
      <c r="B110" s="245" t="s">
        <v>262</v>
      </c>
      <c r="F110" s="255" t="n">
        <f aca="false">F39*F109</f>
        <v>3183690.849498</v>
      </c>
      <c r="G110" s="255" t="n">
        <f aca="false">G39*G109</f>
        <v>3987031.00414762</v>
      </c>
      <c r="H110" s="255" t="n">
        <f aca="false">H39*H109</f>
        <v>5520083.24596771</v>
      </c>
      <c r="I110" s="255" t="n">
        <f aca="false">I39*I109</f>
        <v>7080216.62942257</v>
      </c>
      <c r="J110" s="255" t="n">
        <f aca="false">J39*J109</f>
        <v>8515887.40232035</v>
      </c>
    </row>
    <row r="111" customFormat="false" ht="15" hidden="false" customHeight="false" outlineLevel="0" collapsed="false">
      <c r="A111" s="219" t="s">
        <v>372</v>
      </c>
      <c r="B111" s="245" t="s">
        <v>262</v>
      </c>
      <c r="C111" s="263" t="n">
        <f aca="false">'Balance Sheet'!E48</f>
        <v>90000</v>
      </c>
      <c r="D111" s="263" t="n">
        <f aca="false">'Balance Sheet'!F48</f>
        <v>108000</v>
      </c>
      <c r="E111" s="263" t="n">
        <f aca="false">'Balance Sheet'!G48</f>
        <v>102600</v>
      </c>
      <c r="F111" s="255" t="n">
        <f aca="false">E111</f>
        <v>102600</v>
      </c>
      <c r="G111" s="255" t="n">
        <f aca="false">F111</f>
        <v>102600</v>
      </c>
      <c r="H111" s="255" t="n">
        <f aca="false">G111</f>
        <v>102600</v>
      </c>
      <c r="I111" s="255" t="n">
        <f aca="false">H111</f>
        <v>102600</v>
      </c>
      <c r="J111" s="255" t="n">
        <f aca="false">I111</f>
        <v>102600</v>
      </c>
      <c r="K111" s="245" t="s">
        <v>373</v>
      </c>
    </row>
    <row r="112" customFormat="false" ht="15" hidden="false" customHeight="false" outlineLevel="0" collapsed="false">
      <c r="A112" s="219" t="s">
        <v>374</v>
      </c>
      <c r="B112" s="245" t="s">
        <v>262</v>
      </c>
      <c r="C112" s="263" t="n">
        <f aca="false">'Balance Sheet'!E61</f>
        <v>1200000</v>
      </c>
      <c r="D112" s="263" t="n">
        <f aca="false">'Balance Sheet'!F61</f>
        <v>1500000</v>
      </c>
      <c r="E112" s="263" t="n">
        <f aca="false">'Balance Sheet'!G61</f>
        <v>1500000</v>
      </c>
      <c r="F112" s="255" t="n">
        <f aca="false">E112</f>
        <v>1500000</v>
      </c>
      <c r="G112" s="255" t="n">
        <f aca="false">F112</f>
        <v>1500000</v>
      </c>
      <c r="H112" s="255" t="n">
        <f aca="false">G112</f>
        <v>1500000</v>
      </c>
      <c r="I112" s="255" t="n">
        <f aca="false">H112</f>
        <v>1500000</v>
      </c>
      <c r="J112" s="255" t="n">
        <f aca="false">I112</f>
        <v>1500000</v>
      </c>
      <c r="K112" s="245" t="s">
        <v>375</v>
      </c>
    </row>
    <row r="113" customFormat="false" ht="15" hidden="false" customHeight="false" outlineLevel="0" collapsed="false">
      <c r="A113" s="219" t="s">
        <v>376</v>
      </c>
      <c r="B113" s="245" t="s">
        <v>259</v>
      </c>
      <c r="E113" s="264" t="n">
        <v>0.6</v>
      </c>
      <c r="K113" s="245" t="s">
        <v>377</v>
      </c>
    </row>
    <row r="114" customFormat="false" ht="15" hidden="false" customHeight="false" outlineLevel="0" collapsed="false">
      <c r="A114" s="219" t="s">
        <v>378</v>
      </c>
      <c r="B114" s="245" t="s">
        <v>262</v>
      </c>
      <c r="F114" s="255" t="n">
        <f aca="false">IF(F$7=$C$4,F85*$E$113,0)</f>
        <v>0</v>
      </c>
      <c r="G114" s="255" t="n">
        <f aca="false">IF(G$7=$C$4,G85*$E$113,0)</f>
        <v>31098841.8323515</v>
      </c>
      <c r="H114" s="255" t="n">
        <f aca="false">IF(H$7=$C$4,H85*$E$113,0)</f>
        <v>0</v>
      </c>
      <c r="I114" s="255" t="n">
        <f aca="false">IF(I$7=$C$4,I85*$E$113,0)</f>
        <v>0</v>
      </c>
      <c r="J114" s="255" t="n">
        <f aca="false">IF(J$7=$C$4,J85*$E$113,0)</f>
        <v>0</v>
      </c>
    </row>
    <row r="115" customFormat="false" ht="15" hidden="false" customHeight="false" outlineLevel="0" collapsed="false">
      <c r="A115" s="219" t="s">
        <v>379</v>
      </c>
      <c r="B115" s="245" t="s">
        <v>262</v>
      </c>
      <c r="F115" s="255" t="n">
        <f aca="false">IF(AND(F$7&gt;=$C$4+2,F$7&lt;=$C$4+6),SUM($F$114:$J$114)/5,0)</f>
        <v>0</v>
      </c>
      <c r="G115" s="255" t="n">
        <f aca="false">IF(AND(G$7&gt;=$C$4+2,G$7&lt;=$C$4+6),SUM($F$114:$J$114)/5,0)</f>
        <v>0</v>
      </c>
      <c r="H115" s="255" t="n">
        <f aca="false">IF(AND(H$7&gt;=$C$4+2,H$7&lt;=$C$4+6),SUM($F$114:$J$114)/5,0)</f>
        <v>0</v>
      </c>
      <c r="I115" s="255" t="n">
        <f aca="false">IF(AND(I$7&gt;=$C$4+2,I$7&lt;=$C$4+6),SUM($F$114:$J$114)/5,0)</f>
        <v>6219768.36647029</v>
      </c>
      <c r="J115" s="255" t="n">
        <f aca="false">IF(AND(J$7&gt;=$C$4+2,J$7&lt;=$C$4+6),SUM($F$114:$J$114)/5,0)</f>
        <v>6219768.36647029</v>
      </c>
      <c r="K115" s="245" t="s">
        <v>380</v>
      </c>
    </row>
    <row r="116" customFormat="false" ht="15" hidden="false" customHeight="false" outlineLevel="0" collapsed="false">
      <c r="A116" s="219" t="s">
        <v>381</v>
      </c>
      <c r="B116" s="245" t="s">
        <v>262</v>
      </c>
      <c r="E116" s="258" t="n">
        <v>0</v>
      </c>
      <c r="F116" s="255" t="n">
        <f aca="false">E116+F114-F115</f>
        <v>0</v>
      </c>
      <c r="G116" s="255" t="n">
        <f aca="false">F116+G114-G115</f>
        <v>31098841.8323515</v>
      </c>
      <c r="H116" s="255" t="n">
        <f aca="false">G116+H114-H115</f>
        <v>31098841.8323515</v>
      </c>
      <c r="I116" s="255" t="n">
        <f aca="false">H116+I114-I115</f>
        <v>24879073.4658812</v>
      </c>
      <c r="J116" s="255" t="n">
        <f aca="false">I116+J114-J115</f>
        <v>18659305.0994109</v>
      </c>
    </row>
    <row r="117" customFormat="false" ht="15" hidden="false" customHeight="false" outlineLevel="0" collapsed="false">
      <c r="A117" s="186" t="s">
        <v>382</v>
      </c>
      <c r="B117" s="245" t="s">
        <v>262</v>
      </c>
      <c r="C117" s="257" t="n">
        <f aca="false">C112</f>
        <v>1200000</v>
      </c>
      <c r="D117" s="257" t="n">
        <f aca="false">D112</f>
        <v>1500000</v>
      </c>
      <c r="E117" s="257" t="n">
        <f aca="false">E112</f>
        <v>1500000</v>
      </c>
      <c r="F117" s="257" t="n">
        <f aca="false">F112+F116</f>
        <v>1500000</v>
      </c>
      <c r="G117" s="257" t="n">
        <f aca="false">G112+G116</f>
        <v>32598841.8323515</v>
      </c>
      <c r="H117" s="257" t="n">
        <f aca="false">H112+H116</f>
        <v>32598841.8323515</v>
      </c>
      <c r="I117" s="257" t="n">
        <f aca="false">I112+I116</f>
        <v>26379073.4658812</v>
      </c>
      <c r="J117" s="257" t="n">
        <f aca="false">J112+J116</f>
        <v>20159305.0994109</v>
      </c>
    </row>
    <row r="118" customFormat="false" ht="15" hidden="false" customHeight="false" outlineLevel="0" collapsed="false">
      <c r="A118" s="219" t="s">
        <v>383</v>
      </c>
      <c r="B118" s="245" t="s">
        <v>259</v>
      </c>
      <c r="F118" s="224" t="n">
        <f aca="false">'Discount rate'!$B$15</f>
        <v>0.1</v>
      </c>
      <c r="G118" s="224" t="n">
        <f aca="false">'Discount rate'!$B$15</f>
        <v>0.1</v>
      </c>
      <c r="H118" s="224" t="n">
        <f aca="false">'Discount rate'!$B$15</f>
        <v>0.1</v>
      </c>
      <c r="I118" s="224" t="n">
        <f aca="false">'Discount rate'!$B$15</f>
        <v>0.1</v>
      </c>
      <c r="J118" s="224" t="n">
        <f aca="false">'Discount rate'!$B$15</f>
        <v>0.1</v>
      </c>
    </row>
    <row r="119" customFormat="false" ht="15" hidden="false" customHeight="false" outlineLevel="0" collapsed="false">
      <c r="A119" s="219" t="s">
        <v>384</v>
      </c>
      <c r="B119" s="245" t="s">
        <v>262</v>
      </c>
      <c r="C119" s="263" t="n">
        <f aca="false">'Income Statement'!B69</f>
        <v>114300</v>
      </c>
      <c r="D119" s="263" t="n">
        <f aca="false">'Income Statement'!C69</f>
        <v>142560</v>
      </c>
      <c r="E119" s="263" t="n">
        <f aca="false">'Income Statement'!D69</f>
        <v>142182</v>
      </c>
      <c r="F119" s="255" t="n">
        <f aca="false">F118*((E111+E117)+(F111+F117))/2</f>
        <v>160260</v>
      </c>
      <c r="G119" s="255" t="n">
        <f aca="false">G118*((F111+F117)+(G111+G117))/2</f>
        <v>1715202.09161757</v>
      </c>
      <c r="H119" s="255" t="n">
        <f aca="false">H118*((G111+G117)+(H111+H117))/2</f>
        <v>3270144.18323515</v>
      </c>
      <c r="I119" s="255" t="n">
        <f aca="false">I118*((H111+H117)+(I111+I117))/2</f>
        <v>2959155.76491163</v>
      </c>
      <c r="J119" s="255" t="n">
        <f aca="false">J118*((I111+I117)+(J111+J117))/2</f>
        <v>2337178.9282646</v>
      </c>
      <c r="K119" s="245" t="s">
        <v>385</v>
      </c>
    </row>
    <row r="120" customFormat="false" ht="15" hidden="false" customHeight="false" outlineLevel="0" collapsed="false">
      <c r="A120" s="219" t="s">
        <v>386</v>
      </c>
      <c r="B120" s="245" t="s">
        <v>259</v>
      </c>
      <c r="C120" s="221" t="n">
        <f aca="false">C119/C39</f>
        <v>0.0058801619899744</v>
      </c>
      <c r="D120" s="221" t="n">
        <f aca="false">D119/D39</f>
        <v>0.00460937294130599</v>
      </c>
      <c r="E120" s="221" t="n">
        <f aca="false">E119/E39</f>
        <v>0.00299037607332679</v>
      </c>
      <c r="F120" s="221" t="n">
        <f aca="false">F119/F39</f>
        <v>0.00251689010610546</v>
      </c>
      <c r="G120" s="221" t="n">
        <f aca="false">G119/G39</f>
        <v>0.0215097661622556</v>
      </c>
      <c r="H120" s="221" t="n">
        <f aca="false">H119/H39</f>
        <v>0.029620424525517</v>
      </c>
      <c r="I120" s="221" t="n">
        <f aca="false">I119/I39</f>
        <v>0.0208973532858766</v>
      </c>
      <c r="J120" s="221" t="n">
        <f aca="false">J119/J39</f>
        <v>0.0137224626034146</v>
      </c>
    </row>
    <row r="121" customFormat="false" ht="15" hidden="false" customHeight="false" outlineLevel="0" collapsed="false">
      <c r="A121" s="186" t="s">
        <v>387</v>
      </c>
      <c r="B121" s="245" t="s">
        <v>262</v>
      </c>
      <c r="F121" s="257" t="n">
        <f aca="false">IF(F$7=2026,'Pro Forma'!$B$63,0)</f>
        <v>37610763.0979458</v>
      </c>
      <c r="G121" s="257" t="n">
        <f aca="false">IF(G$7=2026,'Pro Forma'!$B$63,0)</f>
        <v>0</v>
      </c>
      <c r="H121" s="257" t="n">
        <f aca="false">IF(H$7=2026,'Pro Forma'!$B$63,0)</f>
        <v>0</v>
      </c>
      <c r="I121" s="257" t="n">
        <f aca="false">IF(I$7=2026,'Pro Forma'!$B$63,0)</f>
        <v>0</v>
      </c>
      <c r="J121" s="257" t="n">
        <f aca="false">IF(J$7=2026,'Pro Forma'!$B$63,0)</f>
        <v>0</v>
      </c>
      <c r="K121" s="245" t="s">
        <v>388</v>
      </c>
    </row>
    <row r="122" customFormat="false" ht="15" hidden="false" customHeight="false" outlineLevel="0" collapsed="false">
      <c r="A122" s="219" t="s">
        <v>389</v>
      </c>
      <c r="B122" s="245" t="s">
        <v>262</v>
      </c>
      <c r="F122" s="255" t="n">
        <f aca="false">E124</f>
        <v>2171792.2345</v>
      </c>
      <c r="G122" s="255" t="n">
        <f aca="false">F124</f>
        <v>0</v>
      </c>
      <c r="H122" s="255" t="n">
        <f aca="false">G124</f>
        <v>0</v>
      </c>
      <c r="I122" s="255" t="n">
        <f aca="false">H124</f>
        <v>0</v>
      </c>
      <c r="J122" s="255" t="n">
        <f aca="false">I124</f>
        <v>0</v>
      </c>
    </row>
    <row r="123" customFormat="false" ht="15" hidden="false" customHeight="false" outlineLevel="0" collapsed="false">
      <c r="A123" s="219" t="s">
        <v>390</v>
      </c>
      <c r="B123" s="245" t="s">
        <v>262</v>
      </c>
      <c r="F123" s="255" t="n">
        <f aca="false">MIN(F122,MAX(0,F126))</f>
        <v>2171792.2345</v>
      </c>
      <c r="G123" s="255" t="n">
        <f aca="false">MIN(G122,MAX(0,G126))</f>
        <v>0</v>
      </c>
      <c r="H123" s="255" t="n">
        <f aca="false">MIN(H122,MAX(0,H126))</f>
        <v>0</v>
      </c>
      <c r="I123" s="255" t="n">
        <f aca="false">MIN(I122,MAX(0,I126))</f>
        <v>0</v>
      </c>
      <c r="J123" s="255" t="n">
        <f aca="false">MIN(J122,MAX(0,J126))</f>
        <v>0</v>
      </c>
    </row>
    <row r="124" customFormat="false" ht="15" hidden="false" customHeight="false" outlineLevel="0" collapsed="false">
      <c r="A124" s="219" t="s">
        <v>391</v>
      </c>
      <c r="B124" s="245" t="s">
        <v>262</v>
      </c>
      <c r="E124" s="263" t="n">
        <f aca="false">-'Balance Sheet'!G75</f>
        <v>2171792.2345</v>
      </c>
      <c r="F124" s="255" t="n">
        <f aca="false">F122-F123+MAX(0,-F126)</f>
        <v>0</v>
      </c>
      <c r="G124" s="255" t="n">
        <f aca="false">G122-G123+MAX(0,-G126)</f>
        <v>0</v>
      </c>
      <c r="H124" s="255" t="n">
        <f aca="false">H122-H123+MAX(0,-H126)</f>
        <v>0</v>
      </c>
      <c r="I124" s="255" t="n">
        <f aca="false">I122-I123+MAX(0,-I126)</f>
        <v>0</v>
      </c>
      <c r="J124" s="255" t="n">
        <f aca="false">J122-J123+MAX(0,-J126)</f>
        <v>0</v>
      </c>
      <c r="K124" s="245" t="s">
        <v>392</v>
      </c>
    </row>
    <row r="125" customFormat="false" ht="15" hidden="false" customHeight="false" outlineLevel="0" collapsed="false">
      <c r="A125" s="219" t="s">
        <v>393</v>
      </c>
      <c r="B125" s="245" t="s">
        <v>259</v>
      </c>
      <c r="F125" s="223" t="n">
        <f aca="false">IF(E39&lt;=$C$156,$C$155,Assumption!$D$15)</f>
        <v>0.17</v>
      </c>
      <c r="G125" s="223" t="n">
        <f aca="false">IF(F39&lt;=$C$156,$C$155,Assumption!$D$15)</f>
        <v>0.2</v>
      </c>
      <c r="H125" s="223" t="n">
        <f aca="false">IF(G39&lt;=$C$156,$C$155,Assumption!$D$15)</f>
        <v>0.2</v>
      </c>
      <c r="I125" s="223" t="n">
        <f aca="false">IF(H39&lt;=$C$156,$C$155,Assumption!$D$15)</f>
        <v>0.2</v>
      </c>
      <c r="J125" s="223" t="n">
        <f aca="false">IF(I39&lt;=$C$156,$C$155,Assumption!$D$15)</f>
        <v>0.2</v>
      </c>
      <c r="K125" s="245" t="s">
        <v>394</v>
      </c>
    </row>
    <row r="126" customFormat="false" ht="15" hidden="false" customHeight="false" outlineLevel="0" collapsed="false">
      <c r="A126" s="219" t="s">
        <v>395</v>
      </c>
      <c r="B126" s="245" t="s">
        <v>262</v>
      </c>
      <c r="F126" s="263" t="n">
        <f aca="false">'Income Statement'!E76</f>
        <v>7481849.63464663</v>
      </c>
      <c r="G126" s="263" t="n">
        <f aca="false">'Income Statement'!F76</f>
        <v>7284306.48321796</v>
      </c>
      <c r="H126" s="263" t="n">
        <f aca="false">'Income Statement'!G76</f>
        <v>2997336.00560627</v>
      </c>
      <c r="I126" s="263" t="n">
        <f aca="false">'Income Statement'!H76</f>
        <v>10887690.1384973</v>
      </c>
      <c r="J126" s="263" t="n">
        <f aca="false">'Income Statement'!I76</f>
        <v>17318385.1318422</v>
      </c>
    </row>
    <row r="127" customFormat="false" ht="15" hidden="false" customHeight="false" outlineLevel="0" collapsed="false">
      <c r="A127" s="186" t="s">
        <v>396</v>
      </c>
      <c r="B127" s="245" t="s">
        <v>262</v>
      </c>
      <c r="C127" s="256" t="n">
        <f aca="false">N('Income Statement'!B78)</f>
        <v>0</v>
      </c>
      <c r="D127" s="256" t="n">
        <f aca="false">N('Income Statement'!C78)</f>
        <v>0</v>
      </c>
      <c r="E127" s="256" t="n">
        <f aca="false">N('Income Statement'!D78)</f>
        <v>0</v>
      </c>
      <c r="F127" s="257" t="n">
        <f aca="false">F125*MAX(0,F126-F123)</f>
        <v>902709.758024927</v>
      </c>
      <c r="G127" s="257" t="n">
        <f aca="false">G125*MAX(0,G126-G123)</f>
        <v>1456861.29664359</v>
      </c>
      <c r="H127" s="257" t="n">
        <f aca="false">H125*MAX(0,H126-H123)</f>
        <v>599467.201121254</v>
      </c>
      <c r="I127" s="257" t="n">
        <f aca="false">I125*MAX(0,I126-I123)</f>
        <v>2177538.02769946</v>
      </c>
      <c r="J127" s="257" t="n">
        <f aca="false">J125*MAX(0,J126-J123)</f>
        <v>3463677.02636845</v>
      </c>
    </row>
    <row r="128" customFormat="false" ht="15" hidden="false" customHeight="false" outlineLevel="0" collapsed="false">
      <c r="A128" s="219" t="s">
        <v>397</v>
      </c>
      <c r="B128" s="245" t="s">
        <v>259</v>
      </c>
      <c r="F128" s="223" t="n">
        <f aca="false">IF(F126&gt;0,F127/F126,0)</f>
        <v>0.120653287904196</v>
      </c>
      <c r="G128" s="223" t="n">
        <f aca="false">IF(G126&gt;0,G127/G126,0)</f>
        <v>0.2</v>
      </c>
      <c r="H128" s="223" t="n">
        <f aca="false">IF(H126&gt;0,H127/H126,0)</f>
        <v>0.2</v>
      </c>
      <c r="I128" s="223" t="n">
        <f aca="false">IF(I126&gt;0,I127/I126,0)</f>
        <v>0.2</v>
      </c>
      <c r="J128" s="223" t="n">
        <f aca="false">IF(J126&gt;0,J127/J126,0)</f>
        <v>0.2</v>
      </c>
    </row>
    <row r="130" customFormat="false" ht="15" hidden="false" customHeight="false" outlineLevel="0" collapsed="false">
      <c r="A130" s="250" t="s">
        <v>398</v>
      </c>
      <c r="B130" s="251"/>
      <c r="C130" s="251"/>
      <c r="D130" s="251"/>
      <c r="E130" s="251"/>
      <c r="F130" s="251"/>
      <c r="G130" s="251"/>
      <c r="H130" s="251"/>
      <c r="I130" s="251"/>
      <c r="J130" s="251"/>
      <c r="K130" s="251"/>
    </row>
    <row r="131" customFormat="false" ht="15" hidden="false" customHeight="false" outlineLevel="0" collapsed="false">
      <c r="A131" s="186" t="s">
        <v>399</v>
      </c>
      <c r="C131" s="247" t="s">
        <v>400</v>
      </c>
      <c r="D131" s="247" t="s">
        <v>401</v>
      </c>
      <c r="E131" s="247" t="s">
        <v>402</v>
      </c>
    </row>
    <row r="132" customFormat="false" ht="15" hidden="false" customHeight="false" outlineLevel="0" collapsed="false">
      <c r="A132" s="219" t="s">
        <v>403</v>
      </c>
      <c r="C132" s="222" t="n">
        <v>0.7</v>
      </c>
      <c r="D132" s="222" t="n">
        <v>1</v>
      </c>
      <c r="E132" s="222" t="n">
        <v>1.2</v>
      </c>
      <c r="K132" s="245" t="s">
        <v>404</v>
      </c>
    </row>
    <row r="133" customFormat="false" ht="15" hidden="false" customHeight="false" outlineLevel="0" collapsed="false">
      <c r="A133" s="219" t="s">
        <v>405</v>
      </c>
      <c r="C133" s="264" t="n">
        <v>0.01</v>
      </c>
      <c r="D133" s="264" t="n">
        <v>0.02</v>
      </c>
      <c r="E133" s="264" t="n">
        <v>0.025</v>
      </c>
    </row>
    <row r="134" customFormat="false" ht="15" hidden="false" customHeight="false" outlineLevel="0" collapsed="false">
      <c r="A134" s="219" t="s">
        <v>406</v>
      </c>
      <c r="C134" s="264" t="n">
        <v>0.005</v>
      </c>
      <c r="D134" s="264" t="n">
        <v>0.015</v>
      </c>
      <c r="E134" s="264" t="n">
        <v>0.02</v>
      </c>
    </row>
    <row r="135" customFormat="false" ht="15" hidden="false" customHeight="false" outlineLevel="0" collapsed="false">
      <c r="A135" s="219" t="s">
        <v>407</v>
      </c>
      <c r="C135" s="264" t="n">
        <v>0.01</v>
      </c>
      <c r="D135" s="264" t="n">
        <v>0</v>
      </c>
      <c r="E135" s="264" t="n">
        <v>-0.005</v>
      </c>
    </row>
    <row r="136" customFormat="false" ht="15" hidden="false" customHeight="false" outlineLevel="0" collapsed="false">
      <c r="A136" s="219" t="s">
        <v>408</v>
      </c>
      <c r="C136" s="264" t="n">
        <v>0.005</v>
      </c>
      <c r="D136" s="264" t="n">
        <v>0</v>
      </c>
      <c r="E136" s="264" t="n">
        <v>-0.005</v>
      </c>
    </row>
    <row r="138" customFormat="false" ht="15" hidden="false" customHeight="false" outlineLevel="0" collapsed="false">
      <c r="A138" s="186" t="s">
        <v>409</v>
      </c>
      <c r="F138" s="247" t="s">
        <v>240</v>
      </c>
      <c r="G138" s="247" t="s">
        <v>241</v>
      </c>
      <c r="H138" s="247" t="s">
        <v>242</v>
      </c>
      <c r="I138" s="247" t="s">
        <v>243</v>
      </c>
      <c r="J138" s="247" t="s">
        <v>244</v>
      </c>
    </row>
    <row r="139" customFormat="false" ht="15" hidden="false" customHeight="false" outlineLevel="0" collapsed="false">
      <c r="A139" s="219" t="s">
        <v>410</v>
      </c>
      <c r="F139" s="264" t="n">
        <v>0.32</v>
      </c>
      <c r="G139" s="264" t="n">
        <v>0.22</v>
      </c>
      <c r="H139" s="264" t="n">
        <v>0.35</v>
      </c>
      <c r="I139" s="264" t="n">
        <v>0.25</v>
      </c>
      <c r="J139" s="264" t="n">
        <v>0.17</v>
      </c>
      <c r="K139" s="245" t="s">
        <v>411</v>
      </c>
    </row>
    <row r="140" customFormat="false" ht="15" hidden="false" customHeight="false" outlineLevel="0" collapsed="false">
      <c r="A140" s="219" t="s">
        <v>412</v>
      </c>
      <c r="F140" s="264" t="n">
        <v>0.32</v>
      </c>
      <c r="G140" s="264" t="n">
        <v>0.25</v>
      </c>
      <c r="H140" s="264" t="n">
        <v>0.18</v>
      </c>
      <c r="I140" s="264" t="n">
        <v>0.35</v>
      </c>
      <c r="J140" s="264" t="n">
        <v>0.25</v>
      </c>
    </row>
    <row r="141" customFormat="false" ht="15" hidden="false" customHeight="false" outlineLevel="0" collapsed="false">
      <c r="A141" s="219" t="s">
        <v>270</v>
      </c>
      <c r="F141" s="264" t="n">
        <v>0.22</v>
      </c>
      <c r="G141" s="264" t="n">
        <v>0.18</v>
      </c>
      <c r="H141" s="264" t="n">
        <v>0.28</v>
      </c>
      <c r="I141" s="264" t="n">
        <v>0.2</v>
      </c>
      <c r="J141" s="264" t="n">
        <v>0.15</v>
      </c>
    </row>
    <row r="142" customFormat="false" ht="15" hidden="false" customHeight="false" outlineLevel="0" collapsed="false">
      <c r="A142" s="219" t="s">
        <v>413</v>
      </c>
      <c r="F142" s="264" t="n">
        <v>0.3</v>
      </c>
      <c r="G142" s="264" t="n">
        <v>0.3</v>
      </c>
      <c r="H142" s="264" t="n">
        <v>0.4</v>
      </c>
      <c r="I142" s="264" t="n">
        <v>0.32</v>
      </c>
      <c r="J142" s="264" t="n">
        <v>0.25</v>
      </c>
    </row>
    <row r="143" customFormat="false" ht="15" hidden="false" customHeight="false" outlineLevel="0" collapsed="false">
      <c r="A143" s="219" t="s">
        <v>414</v>
      </c>
      <c r="F143" s="264" t="n">
        <v>0.6</v>
      </c>
      <c r="G143" s="264" t="n">
        <v>0.5</v>
      </c>
      <c r="H143" s="264" t="n">
        <v>0.7</v>
      </c>
      <c r="I143" s="264" t="n">
        <v>0.45</v>
      </c>
      <c r="J143" s="264" t="n">
        <v>0.3</v>
      </c>
    </row>
    <row r="144" customFormat="false" ht="15" hidden="false" customHeight="false" outlineLevel="0" collapsed="false">
      <c r="A144" s="219" t="s">
        <v>415</v>
      </c>
      <c r="F144" s="264" t="n">
        <v>0.25</v>
      </c>
      <c r="G144" s="264" t="n">
        <v>0.255</v>
      </c>
      <c r="H144" s="264" t="n">
        <v>0.27</v>
      </c>
      <c r="I144" s="264" t="n">
        <v>0.265</v>
      </c>
      <c r="J144" s="264" t="n">
        <v>0.27</v>
      </c>
      <c r="K144" s="245" t="s">
        <v>416</v>
      </c>
    </row>
    <row r="145" customFormat="false" ht="15" hidden="false" customHeight="false" outlineLevel="0" collapsed="false">
      <c r="A145" s="219" t="s">
        <v>417</v>
      </c>
      <c r="F145" s="264" t="n">
        <v>0.225</v>
      </c>
      <c r="G145" s="264" t="n">
        <v>0.23</v>
      </c>
      <c r="H145" s="264" t="n">
        <v>0.235</v>
      </c>
      <c r="I145" s="264" t="n">
        <v>0.23</v>
      </c>
      <c r="J145" s="264" t="n">
        <v>0.225</v>
      </c>
      <c r="K145" s="245" t="s">
        <v>418</v>
      </c>
    </row>
    <row r="147" customFormat="false" ht="15" hidden="false" customHeight="false" outlineLevel="0" collapsed="false">
      <c r="A147" s="186" t="s">
        <v>419</v>
      </c>
    </row>
    <row r="148" customFormat="false" ht="15" hidden="false" customHeight="false" outlineLevel="0" collapsed="false">
      <c r="A148" s="219" t="s">
        <v>420</v>
      </c>
      <c r="C148" s="264" t="n">
        <v>0.65</v>
      </c>
      <c r="K148" s="245" t="s">
        <v>421</v>
      </c>
    </row>
    <row r="149" customFormat="false" ht="15" hidden="false" customHeight="false" outlineLevel="0" collapsed="false">
      <c r="A149" s="219" t="s">
        <v>422</v>
      </c>
      <c r="C149" s="264" t="n">
        <v>0.12</v>
      </c>
    </row>
    <row r="150" customFormat="false" ht="15" hidden="false" customHeight="false" outlineLevel="0" collapsed="false">
      <c r="A150" s="219" t="s">
        <v>423</v>
      </c>
      <c r="C150" s="258" t="n">
        <v>900000</v>
      </c>
    </row>
    <row r="151" customFormat="false" ht="15" hidden="false" customHeight="false" outlineLevel="0" collapsed="false">
      <c r="A151" s="219" t="s">
        <v>424</v>
      </c>
      <c r="C151" s="264" t="n">
        <v>0.12</v>
      </c>
    </row>
    <row r="152" customFormat="false" ht="15" hidden="false" customHeight="false" outlineLevel="0" collapsed="false">
      <c r="A152" s="219" t="s">
        <v>425</v>
      </c>
      <c r="C152" s="264" t="n">
        <v>0.15</v>
      </c>
    </row>
    <row r="153" customFormat="false" ht="15" hidden="false" customHeight="false" outlineLevel="0" collapsed="false">
      <c r="A153" s="219" t="s">
        <v>426</v>
      </c>
      <c r="C153" s="264" t="n">
        <v>0.3</v>
      </c>
    </row>
    <row r="154" customFormat="false" ht="15" hidden="false" customHeight="false" outlineLevel="0" collapsed="false">
      <c r="A154" s="219" t="s">
        <v>427</v>
      </c>
      <c r="C154" s="264" t="n">
        <v>0.12</v>
      </c>
    </row>
    <row r="155" customFormat="false" ht="15" hidden="false" customHeight="false" outlineLevel="0" collapsed="false">
      <c r="A155" s="219" t="s">
        <v>428</v>
      </c>
      <c r="C155" s="264" t="n">
        <v>0.17</v>
      </c>
    </row>
    <row r="156" customFormat="false" ht="15" hidden="false" customHeight="false" outlineLevel="0" collapsed="false">
      <c r="A156" s="219" t="s">
        <v>429</v>
      </c>
      <c r="C156" s="258" t="n">
        <v>50000000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64"/>
  <sheetViews>
    <sheetView showFormulas="false" showGridLines="true" showRowColHeaders="true" showZeros="true" rightToLeft="false" tabSelected="true" showOutlineSymbols="true" defaultGridColor="true" view="normal" topLeftCell="A41" colorId="64" zoomScale="85" zoomScaleNormal="85" zoomScalePageLayoutView="100" workbookViewId="0">
      <selection pane="topLeft" activeCell="B37" activeCellId="0" sqref="B37"/>
    </sheetView>
  </sheetViews>
  <sheetFormatPr defaultColWidth="7.2734375" defaultRowHeight="13.5" zeroHeight="false" outlineLevelRow="0" outlineLevelCol="0"/>
  <cols>
    <col collapsed="false" customWidth="true" hidden="false" outlineLevel="0" max="1" min="1" style="267" width="53.73"/>
    <col collapsed="false" customWidth="true" hidden="false" outlineLevel="0" max="2" min="2" style="268" width="18.91"/>
    <col collapsed="false" customWidth="true" hidden="false" outlineLevel="0" max="3" min="3" style="268" width="14.45"/>
    <col collapsed="false" customWidth="true" hidden="false" outlineLevel="0" max="5" min="4" style="268" width="15.09"/>
    <col collapsed="false" customWidth="true" hidden="false" outlineLevel="0" max="7" min="6" style="268" width="15.45"/>
    <col collapsed="false" customWidth="true" hidden="false" outlineLevel="0" max="8" min="8" style="268" width="39.36"/>
    <col collapsed="false" customWidth="false" hidden="false" outlineLevel="0" max="16384" min="9" style="267" width="7.27"/>
  </cols>
  <sheetData>
    <row r="1" customFormat="false" ht="36" hidden="false" customHeight="true" outlineLevel="0" collapsed="false">
      <c r="A1" s="269" t="s">
        <v>430</v>
      </c>
      <c r="B1" s="270"/>
      <c r="C1" s="271"/>
      <c r="E1" s="272"/>
    </row>
    <row r="2" s="273" customFormat="true" ht="13.5" hidden="false" customHeight="false" outlineLevel="0" collapsed="false">
      <c r="B2" s="274" t="n">
        <v>0</v>
      </c>
      <c r="C2" s="274" t="n">
        <v>1</v>
      </c>
      <c r="D2" s="274" t="n">
        <v>2</v>
      </c>
      <c r="E2" s="274" t="n">
        <v>3</v>
      </c>
      <c r="F2" s="274" t="n">
        <v>4</v>
      </c>
      <c r="G2" s="274" t="n">
        <v>5</v>
      </c>
      <c r="H2" s="275"/>
    </row>
    <row r="3" customFormat="false" ht="14.25" hidden="false" customHeight="true" outlineLevel="0" collapsed="false">
      <c r="A3" s="276"/>
      <c r="B3" s="277" t="n">
        <f aca="false">'Income Statement'!D4</f>
        <v>2025</v>
      </c>
      <c r="C3" s="277" t="n">
        <f aca="false">B3+1</f>
        <v>2026</v>
      </c>
      <c r="D3" s="277" t="n">
        <f aca="false">C3+1</f>
        <v>2027</v>
      </c>
      <c r="E3" s="277" t="n">
        <f aca="false">D3+1</f>
        <v>2028</v>
      </c>
      <c r="F3" s="277" t="n">
        <f aca="false">E3+1</f>
        <v>2029</v>
      </c>
      <c r="G3" s="277" t="n">
        <f aca="false">F3+1</f>
        <v>2030</v>
      </c>
      <c r="H3" s="278"/>
    </row>
    <row r="4" customFormat="false" ht="13.5" hidden="false" customHeight="false" outlineLevel="0" collapsed="false">
      <c r="A4" s="267" t="s">
        <v>431</v>
      </c>
      <c r="B4" s="279" t="n">
        <f aca="false">'Income Statement'!D13</f>
        <v>47546528.1</v>
      </c>
      <c r="C4" s="280" t="n">
        <f aca="false">B4*(1+Assumption!E4)</f>
        <v>63673816.98996</v>
      </c>
      <c r="D4" s="280" t="n">
        <f aca="false">C4*(1+Assumption!F4)</f>
        <v>79740620.0829525</v>
      </c>
      <c r="E4" s="280" t="n">
        <f aca="false">D4*(1+Assumption!G4)</f>
        <v>110401664.919354</v>
      </c>
      <c r="F4" s="280" t="n">
        <f aca="false">E4*(1+Assumption!H4)</f>
        <v>141604332.588451</v>
      </c>
      <c r="G4" s="280" t="n">
        <f aca="false">F4*(1+Assumption!I4)</f>
        <v>170317748.046407</v>
      </c>
      <c r="H4" s="279"/>
    </row>
    <row r="5" customFormat="false" ht="13.5" hidden="false" customHeight="false" outlineLevel="0" collapsed="false">
      <c r="A5" s="267" t="s">
        <v>432</v>
      </c>
      <c r="B5" s="279" t="n">
        <f aca="false">'Income Statement'!D18</f>
        <v>12925449.3845</v>
      </c>
      <c r="C5" s="280" t="n">
        <f aca="false">C4*Assumption!E5</f>
        <v>17322659.24749</v>
      </c>
      <c r="D5" s="280" t="n">
        <f aca="false">D4*Assumption!F5</f>
        <v>21878483.6211529</v>
      </c>
      <c r="E5" s="280" t="n">
        <f aca="false">E4*Assumption!G5</f>
        <v>32407537.5782256</v>
      </c>
      <c r="F5" s="280" t="n">
        <f aca="false">F4*Assumption!H5</f>
        <v>40384144.9909396</v>
      </c>
      <c r="G5" s="280" t="n">
        <f aca="false">G4*Assumption!I5</f>
        <v>49130688.5130299</v>
      </c>
      <c r="H5" s="279"/>
    </row>
    <row r="6" s="285" customFormat="true" ht="13.5" hidden="false" customHeight="false" outlineLevel="0" collapsed="false">
      <c r="A6" s="281" t="s">
        <v>54</v>
      </c>
      <c r="B6" s="282" t="n">
        <f aca="false">B4-B5</f>
        <v>34621078.7155</v>
      </c>
      <c r="C6" s="283" t="n">
        <f aca="false">C4-C5</f>
        <v>46351157.74247</v>
      </c>
      <c r="D6" s="283" t="n">
        <f aca="false">D4-D5</f>
        <v>57862136.4617996</v>
      </c>
      <c r="E6" s="283" t="n">
        <f aca="false">E4-E5</f>
        <v>77994127.3411285</v>
      </c>
      <c r="F6" s="283" t="n">
        <f aca="false">F4-F5</f>
        <v>101220187.597512</v>
      </c>
      <c r="G6" s="283" t="n">
        <f aca="false">G4-G5</f>
        <v>121187059.533377</v>
      </c>
      <c r="H6" s="284"/>
    </row>
    <row r="7" customFormat="false" ht="13.5" hidden="false" customHeight="false" outlineLevel="0" collapsed="false">
      <c r="A7" s="267" t="s">
        <v>433</v>
      </c>
      <c r="B7" s="279" t="n">
        <f aca="false">'Income Statement'!D63</f>
        <v>26926449.5</v>
      </c>
      <c r="C7" s="280" t="n">
        <f aca="false">C4*Assumption!E6</f>
        <v>34966953.7078234</v>
      </c>
      <c r="D7" s="280" t="n">
        <f aca="false">D4*Assumption!F6</f>
        <v>43592361.879205</v>
      </c>
      <c r="E7" s="280" t="n">
        <f aca="false">E4*Assumption!G6</f>
        <v>60236612.7780578</v>
      </c>
      <c r="F7" s="280" t="n">
        <f aca="false">F4*Assumption!H6</f>
        <v>74293523.3450348</v>
      </c>
      <c r="G7" s="280" t="n">
        <f aca="false">G4*Assumption!I6</f>
        <v>86752425.1331408</v>
      </c>
      <c r="H7" s="279"/>
    </row>
    <row r="8" customFormat="false" ht="13.5" hidden="true" customHeight="false" outlineLevel="0" collapsed="false">
      <c r="A8" s="267" t="s">
        <v>434</v>
      </c>
      <c r="B8" s="279" t="n">
        <v>0</v>
      </c>
      <c r="C8" s="280" t="n">
        <v>0</v>
      </c>
      <c r="D8" s="280" t="n">
        <v>0</v>
      </c>
      <c r="E8" s="280" t="n">
        <v>0</v>
      </c>
      <c r="F8" s="280" t="n">
        <v>0</v>
      </c>
      <c r="G8" s="280" t="n">
        <v>0</v>
      </c>
      <c r="H8" s="279"/>
    </row>
    <row r="9" customFormat="false" ht="13.5" hidden="false" customHeight="false" outlineLevel="0" collapsed="false">
      <c r="A9" s="286" t="s">
        <v>101</v>
      </c>
      <c r="B9" s="279" t="n">
        <f aca="false">'Income Statement'!D71</f>
        <v>3131952</v>
      </c>
      <c r="C9" s="280" t="n">
        <f aca="false">Assumption!$D$17*B22</f>
        <v>3742094.4</v>
      </c>
      <c r="D9" s="280" t="n">
        <f aca="false">Assumption!$D$17*C22</f>
        <v>5270266.00775904</v>
      </c>
      <c r="E9" s="280" t="n">
        <f aca="false">Assumption!$D$17*D22</f>
        <v>11490034.3742293</v>
      </c>
      <c r="F9" s="280" t="n">
        <f aca="false">Assumption!$D$17*E22</f>
        <v>13079818.349068</v>
      </c>
      <c r="G9" s="280" t="n">
        <f aca="false">Assumption!$D$17*F22</f>
        <v>14779070.3401295</v>
      </c>
      <c r="H9" s="287"/>
    </row>
    <row r="10" s="285" customFormat="true" ht="13.5" hidden="false" customHeight="false" outlineLevel="0" collapsed="false">
      <c r="A10" s="281" t="s">
        <v>435</v>
      </c>
      <c r="B10" s="282" t="n">
        <f aca="false">B6-B7-B8-B9</f>
        <v>4562677.2155</v>
      </c>
      <c r="C10" s="283" t="n">
        <f aca="false">C6-C7-C8-C9</f>
        <v>7642109.63464665</v>
      </c>
      <c r="D10" s="283" t="n">
        <f aca="false">D6-D7-D8-D9</f>
        <v>8999508.57483552</v>
      </c>
      <c r="E10" s="283" t="n">
        <f aca="false">E6-E7-E8-E9</f>
        <v>6267480.1888414</v>
      </c>
      <c r="F10" s="283" t="n">
        <f aca="false">F6-F7-F8-F9</f>
        <v>13846845.903409</v>
      </c>
      <c r="G10" s="283" t="n">
        <f aca="false">G6-G7-G8-G9</f>
        <v>19655564.0601068</v>
      </c>
      <c r="H10" s="284"/>
    </row>
    <row r="11" customFormat="false" ht="13.5" hidden="false" customHeight="false" outlineLevel="0" collapsed="false">
      <c r="A11" s="267" t="s">
        <v>99</v>
      </c>
      <c r="B11" s="279" t="n">
        <f aca="false">'Income Statement'!D69</f>
        <v>142182</v>
      </c>
      <c r="C11" s="288" t="n">
        <f aca="false">C4*Assumption!E7</f>
        <v>160260</v>
      </c>
      <c r="D11" s="288" t="n">
        <f aca="false">D4*Assumption!F7</f>
        <v>1715202.09161757</v>
      </c>
      <c r="E11" s="288" t="n">
        <f aca="false">E4*Assumption!G7</f>
        <v>3270144.18323515</v>
      </c>
      <c r="F11" s="288" t="n">
        <f aca="false">F4*Assumption!H7</f>
        <v>2959155.76491163</v>
      </c>
      <c r="G11" s="288" t="n">
        <f aca="false">G4*Assumption!I7</f>
        <v>2337178.9282646</v>
      </c>
      <c r="H11" s="279"/>
    </row>
    <row r="12" customFormat="false" ht="13.5" hidden="false" customHeight="false" outlineLevel="0" collapsed="false">
      <c r="A12" s="289" t="s">
        <v>104</v>
      </c>
      <c r="B12" s="290" t="n">
        <f aca="false">B10-B11</f>
        <v>4420495.2155</v>
      </c>
      <c r="C12" s="291" t="n">
        <f aca="false">C10-C11</f>
        <v>7481849.63464665</v>
      </c>
      <c r="D12" s="291" t="n">
        <f aca="false">D10-D11</f>
        <v>7284306.48321795</v>
      </c>
      <c r="E12" s="291" t="n">
        <f aca="false">E10-E11</f>
        <v>2997336.00560625</v>
      </c>
      <c r="F12" s="291" t="n">
        <f aca="false">F10-F11</f>
        <v>10887690.1384973</v>
      </c>
      <c r="G12" s="291" t="n">
        <f aca="false">G10-G11</f>
        <v>17318385.1318422</v>
      </c>
      <c r="H12" s="279"/>
    </row>
    <row r="13" customFormat="false" ht="13.5" hidden="false" customHeight="false" outlineLevel="0" collapsed="false">
      <c r="A13" s="267" t="s">
        <v>396</v>
      </c>
      <c r="B13" s="279" t="n">
        <v>0</v>
      </c>
      <c r="C13" s="288" t="n">
        <f aca="false">Drivers!F127</f>
        <v>902709.758024927</v>
      </c>
      <c r="D13" s="288" t="n">
        <f aca="false">Drivers!G127</f>
        <v>1456861.29664359</v>
      </c>
      <c r="E13" s="288" t="n">
        <f aca="false">Drivers!H127</f>
        <v>599467.201121254</v>
      </c>
      <c r="F13" s="288" t="n">
        <f aca="false">Drivers!I127</f>
        <v>2177538.02769946</v>
      </c>
      <c r="G13" s="288" t="n">
        <f aca="false">Drivers!J127</f>
        <v>3463677.02636845</v>
      </c>
      <c r="H13" s="279"/>
    </row>
    <row r="14" s="285" customFormat="true" ht="13.5" hidden="false" customHeight="false" outlineLevel="0" collapsed="false">
      <c r="A14" s="281" t="s">
        <v>107</v>
      </c>
      <c r="B14" s="282" t="n">
        <f aca="false">B12-B13</f>
        <v>4420495.2155</v>
      </c>
      <c r="C14" s="283" t="n">
        <f aca="false">C12-C13</f>
        <v>6579139.87662172</v>
      </c>
      <c r="D14" s="283" t="n">
        <f aca="false">D12-D13</f>
        <v>5827445.18657435</v>
      </c>
      <c r="E14" s="283" t="n">
        <f aca="false">E12-E13</f>
        <v>2397868.80448499</v>
      </c>
      <c r="F14" s="283" t="n">
        <f aca="false">F12-F13</f>
        <v>8710152.11079786</v>
      </c>
      <c r="G14" s="283" t="n">
        <f aca="false">G12-G13</f>
        <v>13854708.1054738</v>
      </c>
      <c r="H14" s="284"/>
    </row>
    <row r="15" customFormat="false" ht="13.5" hidden="false" customHeight="false" outlineLevel="0" collapsed="false">
      <c r="B15" s="279"/>
      <c r="C15" s="279"/>
      <c r="D15" s="279"/>
      <c r="E15" s="279"/>
      <c r="F15" s="279"/>
      <c r="G15" s="279"/>
      <c r="H15" s="279"/>
    </row>
    <row r="16" customFormat="false" ht="13.5" hidden="false" customHeight="false" outlineLevel="0" collapsed="false">
      <c r="B16" s="279"/>
      <c r="C16" s="279"/>
      <c r="D16" s="279"/>
      <c r="E16" s="279"/>
      <c r="F16" s="279"/>
      <c r="G16" s="279"/>
      <c r="H16" s="279"/>
    </row>
    <row r="17" customFormat="false" ht="15.75" hidden="false" customHeight="true" outlineLevel="0" collapsed="false">
      <c r="A17" s="292" t="s">
        <v>436</v>
      </c>
      <c r="B17" s="279"/>
      <c r="C17" s="279"/>
      <c r="D17" s="279"/>
      <c r="E17" s="279"/>
      <c r="F17" s="279"/>
      <c r="G17" s="279"/>
      <c r="H17" s="279"/>
    </row>
    <row r="18" customFormat="false" ht="13.5" hidden="false" customHeight="false" outlineLevel="0" collapsed="false">
      <c r="B18" s="279"/>
      <c r="C18" s="279"/>
      <c r="D18" s="279"/>
      <c r="E18" s="279"/>
      <c r="F18" s="279"/>
      <c r="G18" s="279"/>
      <c r="H18" s="279"/>
    </row>
    <row r="19" customFormat="false" ht="15.75" hidden="false" customHeight="true" outlineLevel="0" collapsed="false">
      <c r="A19" s="293" t="s">
        <v>437</v>
      </c>
      <c r="B19" s="279"/>
      <c r="C19" s="294"/>
      <c r="D19" s="279"/>
      <c r="E19" s="279"/>
      <c r="F19" s="294"/>
      <c r="G19" s="279"/>
      <c r="H19" s="279"/>
    </row>
    <row r="20" customFormat="false" ht="13.5" hidden="false" customHeight="false" outlineLevel="0" collapsed="false">
      <c r="A20" s="285"/>
      <c r="B20" s="279"/>
      <c r="C20" s="279"/>
      <c r="D20" s="279"/>
      <c r="E20" s="279"/>
      <c r="F20" s="279"/>
      <c r="G20" s="279"/>
      <c r="H20" s="279"/>
    </row>
    <row r="21" customFormat="false" ht="14.25" hidden="false" customHeight="true" outlineLevel="0" collapsed="false">
      <c r="A21" s="276"/>
      <c r="B21" s="277" t="n">
        <f aca="false">B3</f>
        <v>2025</v>
      </c>
      <c r="C21" s="277" t="n">
        <f aca="false">B21+1</f>
        <v>2026</v>
      </c>
      <c r="D21" s="277" t="n">
        <f aca="false">C21+1</f>
        <v>2027</v>
      </c>
      <c r="E21" s="277" t="n">
        <f aca="false">D21+1</f>
        <v>2028</v>
      </c>
      <c r="F21" s="277" t="n">
        <f aca="false">E21+1</f>
        <v>2029</v>
      </c>
      <c r="G21" s="277" t="n">
        <f aca="false">F21+1</f>
        <v>2030</v>
      </c>
      <c r="H21" s="278"/>
    </row>
    <row r="22" customFormat="false" ht="22.5" hidden="false" customHeight="true" outlineLevel="0" collapsed="false">
      <c r="A22" s="267" t="s">
        <v>129</v>
      </c>
      <c r="B22" s="279" t="n">
        <f aca="false">SUM('Balance Sheet'!G29:G31)</f>
        <v>31184120</v>
      </c>
      <c r="C22" s="280" t="n">
        <f aca="false">B22+C25</f>
        <v>43918883.397992</v>
      </c>
      <c r="D22" s="280" t="n">
        <f aca="false">C22+D25</f>
        <v>95750286.4519111</v>
      </c>
      <c r="E22" s="280" t="n">
        <f aca="false">D22+E25</f>
        <v>108998486.242234</v>
      </c>
      <c r="F22" s="280" t="n">
        <f aca="false">E22+F25</f>
        <v>123158919.501079</v>
      </c>
      <c r="G22" s="280" t="n">
        <f aca="false">F22+G25</f>
        <v>140190694.305719</v>
      </c>
      <c r="H22" s="294"/>
    </row>
    <row r="23" customFormat="false" ht="13.5" hidden="false" customHeight="false" outlineLevel="0" collapsed="false">
      <c r="A23" s="267" t="s">
        <v>131</v>
      </c>
      <c r="B23" s="279" t="n">
        <f aca="false">'Balance Sheet'!G26</f>
        <v>9789432</v>
      </c>
      <c r="C23" s="288" t="n">
        <f aca="false">B23+C9</f>
        <v>13531526.4</v>
      </c>
      <c r="D23" s="288" t="n">
        <f aca="false">C23+D9</f>
        <v>18801792.407759</v>
      </c>
      <c r="E23" s="288" t="n">
        <f aca="false">D23+E9</f>
        <v>30291826.7819884</v>
      </c>
      <c r="F23" s="288" t="n">
        <f aca="false">E23+F9</f>
        <v>43371645.1310564</v>
      </c>
      <c r="G23" s="288" t="n">
        <f aca="false">F23+G9</f>
        <v>58150715.4711859</v>
      </c>
      <c r="H23" s="279"/>
    </row>
    <row r="24" customFormat="false" ht="13.5" hidden="false" customHeight="false" outlineLevel="0" collapsed="false">
      <c r="A24" s="267" t="s">
        <v>438</v>
      </c>
      <c r="B24" s="279" t="n">
        <f aca="false">B22-B23</f>
        <v>21394688</v>
      </c>
      <c r="C24" s="288" t="n">
        <f aca="false">C22-C23</f>
        <v>30387356.997992</v>
      </c>
      <c r="D24" s="288" t="n">
        <f aca="false">D22-D23</f>
        <v>76948494.0441521</v>
      </c>
      <c r="E24" s="288" t="n">
        <f aca="false">E22-E23</f>
        <v>78706659.4602453</v>
      </c>
      <c r="F24" s="288" t="n">
        <f aca="false">F22-F23</f>
        <v>79787274.3700223</v>
      </c>
      <c r="G24" s="288" t="n">
        <f aca="false">G22-G23</f>
        <v>82039978.8345336</v>
      </c>
      <c r="H24" s="279"/>
    </row>
    <row r="25" customFormat="false" ht="13.5" hidden="false" customHeight="false" outlineLevel="0" collapsed="false">
      <c r="A25" s="289" t="s">
        <v>347</v>
      </c>
      <c r="B25" s="290" t="n">
        <f aca="false">B22-SUM('Balance Sheet'!F29:F31)</f>
        <v>5084520</v>
      </c>
      <c r="C25" s="291" t="n">
        <f aca="false">C4*Assumption!E13</f>
        <v>12734763.397992</v>
      </c>
      <c r="D25" s="291" t="n">
        <f aca="false">D4*Assumption!F13</f>
        <v>51831403.0539191</v>
      </c>
      <c r="E25" s="291" t="n">
        <f aca="false">E4*Assumption!G13</f>
        <v>13248199.7903225</v>
      </c>
      <c r="F25" s="291" t="n">
        <f aca="false">F4*Assumption!H13</f>
        <v>14160433.2588451</v>
      </c>
      <c r="G25" s="291" t="n">
        <f aca="false">G4*Assumption!I13</f>
        <v>17031774.8046407</v>
      </c>
      <c r="H25" s="295"/>
    </row>
    <row r="26" customFormat="false" ht="13.5" hidden="false" customHeight="false" outlineLevel="0" collapsed="false">
      <c r="B26" s="296"/>
      <c r="C26" s="296"/>
      <c r="D26" s="296"/>
      <c r="E26" s="296"/>
      <c r="F26" s="296"/>
      <c r="G26" s="296"/>
      <c r="H26" s="279"/>
    </row>
    <row r="27" customFormat="false" ht="13.5" hidden="false" customHeight="false" outlineLevel="0" collapsed="false">
      <c r="H27" s="279"/>
    </row>
    <row r="28" customFormat="false" ht="15.75" hidden="false" customHeight="true" outlineLevel="0" collapsed="false">
      <c r="A28" s="293" t="s">
        <v>439</v>
      </c>
      <c r="B28" s="279"/>
      <c r="C28" s="279"/>
      <c r="D28" s="279"/>
      <c r="E28" s="279"/>
      <c r="F28" s="279"/>
      <c r="G28" s="279"/>
      <c r="H28" s="279"/>
    </row>
    <row r="29" customFormat="false" ht="13.5" hidden="false" customHeight="false" outlineLevel="0" collapsed="false">
      <c r="A29" s="285"/>
      <c r="B29" s="279"/>
      <c r="C29" s="279"/>
      <c r="D29" s="279"/>
      <c r="E29" s="279"/>
      <c r="F29" s="279"/>
      <c r="G29" s="279"/>
      <c r="H29" s="279"/>
    </row>
    <row r="30" customFormat="false" ht="14.25" hidden="false" customHeight="true" outlineLevel="0" collapsed="false">
      <c r="A30" s="276"/>
      <c r="B30" s="277" t="n">
        <f aca="false">B21</f>
        <v>2025</v>
      </c>
      <c r="C30" s="277" t="n">
        <f aca="false">B30+1</f>
        <v>2026</v>
      </c>
      <c r="D30" s="277" t="n">
        <f aca="false">C30+1</f>
        <v>2027</v>
      </c>
      <c r="E30" s="277" t="n">
        <f aca="false">D30+1</f>
        <v>2028</v>
      </c>
      <c r="F30" s="277" t="n">
        <f aca="false">E30+1</f>
        <v>2029</v>
      </c>
      <c r="G30" s="277" t="n">
        <f aca="false">F30+1</f>
        <v>2030</v>
      </c>
      <c r="H30" s="278"/>
    </row>
    <row r="31" customFormat="false" ht="13.5" hidden="false" customHeight="false" outlineLevel="0" collapsed="false">
      <c r="A31" s="267" t="s">
        <v>440</v>
      </c>
      <c r="B31" s="297" t="n">
        <f aca="false">'Balance Sheet'!G22-'Balance Sheet'!G7</f>
        <v>7589370</v>
      </c>
      <c r="C31" s="298" t="n">
        <f aca="false">C4*Assumption!E8</f>
        <v>10432965.3660868</v>
      </c>
      <c r="D31" s="298" t="n">
        <f aca="false">D4*Assumption!F8</f>
        <v>13990013.8552092</v>
      </c>
      <c r="E31" s="298" t="n">
        <f aca="false">E4*Assumption!G8</f>
        <v>21603011.0724369</v>
      </c>
      <c r="F31" s="298" t="n">
        <f aca="false">F4*Assumption!H8</f>
        <v>28367034.8836682</v>
      </c>
      <c r="G31" s="298" t="n">
        <f aca="false">G4*Assumption!I8</f>
        <v>33598868.4153633</v>
      </c>
      <c r="H31" s="278"/>
    </row>
    <row r="32" customFormat="false" ht="13.5" hidden="false" customHeight="false" outlineLevel="0" collapsed="false">
      <c r="A32" s="299" t="s">
        <v>441</v>
      </c>
      <c r="B32" s="300" t="n">
        <f aca="false">'Balance Sheet'!G10</f>
        <v>3748500</v>
      </c>
      <c r="C32" s="298" t="n">
        <f aca="false">C31*Assumption!E10</f>
        <v>4745934.04040822</v>
      </c>
      <c r="D32" s="298" t="n">
        <f aca="false">D31*Assumption!F10</f>
        <v>5994105.10168572</v>
      </c>
      <c r="E32" s="298" t="n">
        <f aca="false">E31*Assumption!G10</f>
        <v>9322716.28962655</v>
      </c>
      <c r="F32" s="298" t="n">
        <f aca="false">F31*Assumption!H10</f>
        <v>11064149.3125862</v>
      </c>
      <c r="G32" s="298" t="n">
        <f aca="false">G31*Assumption!I10</f>
        <v>12787439.4759941</v>
      </c>
      <c r="H32" s="278"/>
    </row>
    <row r="33" customFormat="false" ht="13.5" hidden="false" customHeight="false" outlineLevel="0" collapsed="false">
      <c r="A33" s="299" t="s">
        <v>442</v>
      </c>
      <c r="B33" s="301" t="n">
        <f aca="false">'Balance Sheet'!G13</f>
        <v>1767780</v>
      </c>
      <c r="C33" s="302" t="n">
        <f aca="false">C31*Assumption!E11</f>
        <v>3140078.64608022</v>
      </c>
      <c r="D33" s="302" t="n">
        <f aca="false">D31*Assumption!F11</f>
        <v>4806283.95020536</v>
      </c>
      <c r="E33" s="302" t="n">
        <f aca="false">E31*Assumption!G11</f>
        <v>7864228.18603619</v>
      </c>
      <c r="F33" s="302" t="n">
        <f aca="false">F31*Assumption!H11</f>
        <v>11638712.267544</v>
      </c>
      <c r="G33" s="302" t="n">
        <f aca="false">G31*Assumption!I11</f>
        <v>13998719.0175129</v>
      </c>
      <c r="H33" s="278"/>
    </row>
    <row r="34" customFormat="false" ht="13.5" hidden="false" customHeight="false" outlineLevel="0" collapsed="false">
      <c r="A34" s="267" t="s">
        <v>443</v>
      </c>
      <c r="B34" s="303" t="n">
        <f aca="false">'Balance Sheet'!G58-'Balance Sheet'!G48</f>
        <v>342732</v>
      </c>
      <c r="C34" s="304" t="n">
        <f aca="false">C4*Assumption!E9</f>
        <v>601941.038020742</v>
      </c>
      <c r="D34" s="304" t="n">
        <f aca="false">D4*Assumption!F9</f>
        <v>878773.852368192</v>
      </c>
      <c r="E34" s="304" t="n">
        <f aca="false">E4*Assumption!G9</f>
        <v>1552619.9426425</v>
      </c>
      <c r="F34" s="304" t="n">
        <f aca="false">F4*Assumption!H9</f>
        <v>1942831.06206483</v>
      </c>
      <c r="G34" s="304" t="n">
        <f aca="false">G4*Assumption!I9</f>
        <v>2359704.88703925</v>
      </c>
      <c r="H34" s="278"/>
    </row>
    <row r="35" customFormat="false" ht="13.5" hidden="false" customHeight="false" outlineLevel="0" collapsed="false">
      <c r="A35" s="305" t="s">
        <v>444</v>
      </c>
      <c r="B35" s="306" t="n">
        <f aca="false">'Balance Sheet'!G41</f>
        <v>263640</v>
      </c>
      <c r="C35" s="307" t="n">
        <f aca="false">C34*Assumption!E12</f>
        <v>474593.404040822</v>
      </c>
      <c r="D35" s="307" t="n">
        <f aca="false">D34*Assumption!F12</f>
        <v>719292.612202287</v>
      </c>
      <c r="E35" s="307" t="n">
        <f aca="false">E34*Assumption!G12</f>
        <v>1331816.61280379</v>
      </c>
      <c r="F35" s="307" t="n">
        <f aca="false">F34*Assumption!H12</f>
        <v>1659622.39688793</v>
      </c>
      <c r="G35" s="307" t="n">
        <f aca="false">G34*Assumption!I12</f>
        <v>2019069.39094643</v>
      </c>
      <c r="H35" s="308"/>
    </row>
    <row r="36" customFormat="false" ht="13.5" hidden="false" customHeight="false" outlineLevel="0" collapsed="false">
      <c r="A36" s="267" t="s">
        <v>445</v>
      </c>
      <c r="B36" s="309" t="n">
        <f aca="false">B31-B34</f>
        <v>7246638</v>
      </c>
      <c r="C36" s="310" t="n">
        <f aca="false">C31-C34</f>
        <v>9831024.3280661</v>
      </c>
      <c r="D36" s="310" t="n">
        <f aca="false">D31-D34</f>
        <v>13111240.002841</v>
      </c>
      <c r="E36" s="310" t="n">
        <f aca="false">E31-E34</f>
        <v>20050391.1297944</v>
      </c>
      <c r="F36" s="310" t="n">
        <f aca="false">F31-F34</f>
        <v>26424203.8216034</v>
      </c>
      <c r="G36" s="310" t="n">
        <f aca="false">G31-G34</f>
        <v>31239163.528324</v>
      </c>
      <c r="H36" s="279"/>
    </row>
    <row r="37" customFormat="false" ht="13.5" hidden="false" customHeight="false" outlineLevel="0" collapsed="false">
      <c r="A37" s="289" t="s">
        <v>446</v>
      </c>
      <c r="B37" s="311"/>
      <c r="C37" s="311" t="n">
        <f aca="false">C36-B36</f>
        <v>2584386.3280661</v>
      </c>
      <c r="D37" s="311" t="n">
        <f aca="false">D36-C36</f>
        <v>3280215.67477489</v>
      </c>
      <c r="E37" s="311" t="n">
        <f aca="false">E36-D36</f>
        <v>6939151.12695341</v>
      </c>
      <c r="F37" s="311" t="n">
        <f aca="false">F36-E36</f>
        <v>6373812.69180898</v>
      </c>
      <c r="G37" s="311" t="n">
        <f aca="false">G36-F36</f>
        <v>4814959.70672064</v>
      </c>
      <c r="H37" s="279"/>
    </row>
    <row r="38" s="267" customFormat="true" ht="13.5" hidden="false" customHeight="false" outlineLevel="0" collapsed="false">
      <c r="H38" s="312"/>
    </row>
    <row r="39" customFormat="false" ht="13.5" hidden="false" customHeight="false" outlineLevel="0" collapsed="false">
      <c r="B39" s="279"/>
      <c r="C39" s="279"/>
      <c r="D39" s="279"/>
      <c r="E39" s="279"/>
      <c r="F39" s="279"/>
      <c r="G39" s="279"/>
      <c r="H39" s="279"/>
    </row>
    <row r="40" customFormat="false" ht="31.5" hidden="false" customHeight="true" outlineLevel="0" collapsed="false">
      <c r="A40" s="313" t="s">
        <v>447</v>
      </c>
      <c r="B40" s="314"/>
      <c r="C40" s="314"/>
      <c r="D40" s="279"/>
      <c r="E40" s="279"/>
      <c r="F40" s="279"/>
      <c r="G40" s="279"/>
      <c r="H40" s="279"/>
    </row>
    <row r="41" customFormat="false" ht="31.5" hidden="false" customHeight="true" outlineLevel="0" collapsed="false">
      <c r="A41" s="315" t="s">
        <v>448</v>
      </c>
      <c r="B41" s="316"/>
      <c r="C41" s="316"/>
      <c r="D41" s="279"/>
      <c r="E41" s="279"/>
      <c r="F41" s="279"/>
      <c r="G41" s="279"/>
      <c r="H41" s="279"/>
    </row>
    <row r="42" s="273" customFormat="true" ht="17.25" hidden="false" customHeight="true" outlineLevel="0" collapsed="false">
      <c r="A42" s="317"/>
      <c r="B42" s="274" t="n">
        <v>0</v>
      </c>
      <c r="C42" s="274" t="n">
        <v>1</v>
      </c>
      <c r="D42" s="274" t="n">
        <v>2</v>
      </c>
      <c r="E42" s="274" t="n">
        <v>3</v>
      </c>
      <c r="F42" s="274" t="n">
        <v>4</v>
      </c>
      <c r="G42" s="274" t="n">
        <v>5</v>
      </c>
      <c r="H42" s="274"/>
    </row>
    <row r="43" s="320" customFormat="true" ht="20.25" hidden="false" customHeight="true" outlineLevel="0" collapsed="false">
      <c r="A43" s="318"/>
      <c r="B43" s="277" t="n">
        <f aca="false">B30</f>
        <v>2025</v>
      </c>
      <c r="C43" s="277" t="n">
        <f aca="false">B43+1</f>
        <v>2026</v>
      </c>
      <c r="D43" s="277" t="n">
        <f aca="false">C43+1</f>
        <v>2027</v>
      </c>
      <c r="E43" s="277" t="n">
        <f aca="false">D43+1</f>
        <v>2028</v>
      </c>
      <c r="F43" s="277" t="n">
        <f aca="false">E43+1</f>
        <v>2029</v>
      </c>
      <c r="G43" s="277" t="n">
        <f aca="false">F43+1</f>
        <v>2030</v>
      </c>
      <c r="H43" s="319"/>
    </row>
    <row r="44" customFormat="false" ht="13.5" hidden="false" customHeight="false" outlineLevel="0" collapsed="false">
      <c r="A44" s="285" t="str">
        <f aca="false">'Cash Flow Statement'!A5</f>
        <v>Hoạt động kinh doanh</v>
      </c>
      <c r="B44" s="279"/>
      <c r="C44" s="279"/>
      <c r="D44" s="279"/>
      <c r="E44" s="279"/>
      <c r="F44" s="279"/>
      <c r="G44" s="279"/>
      <c r="H44" s="279"/>
    </row>
    <row r="45" customFormat="false" ht="13.5" hidden="false" customHeight="false" outlineLevel="0" collapsed="false">
      <c r="A45" s="267" t="str">
        <f aca="false">'Cash Flow Statement'!B6</f>
        <v>Lợi nhuận sau thuế</v>
      </c>
      <c r="B45" s="279" t="n">
        <f aca="false">B14</f>
        <v>4420495.2155</v>
      </c>
      <c r="C45" s="279" t="n">
        <f aca="false">C14</f>
        <v>6579139.87662172</v>
      </c>
      <c r="D45" s="279" t="n">
        <f aca="false">D14</f>
        <v>5827445.18657435</v>
      </c>
      <c r="E45" s="279" t="n">
        <f aca="false">E14</f>
        <v>2397868.80448499</v>
      </c>
      <c r="F45" s="279" t="n">
        <f aca="false">F14</f>
        <v>8710152.11079786</v>
      </c>
      <c r="G45" s="279" t="n">
        <f aca="false">G14</f>
        <v>13854708.1054738</v>
      </c>
      <c r="H45" s="279"/>
    </row>
    <row r="46" customFormat="false" ht="13.5" hidden="false" customHeight="false" outlineLevel="0" collapsed="false">
      <c r="A46" s="267" t="str">
        <f aca="false">'Cash Flow Statement'!B8</f>
        <v>Khấu hao</v>
      </c>
      <c r="B46" s="279" t="n">
        <f aca="false">B9</f>
        <v>3131952</v>
      </c>
      <c r="C46" s="279" t="n">
        <f aca="false">C9</f>
        <v>3742094.4</v>
      </c>
      <c r="D46" s="279" t="n">
        <f aca="false">D9</f>
        <v>5270266.00775904</v>
      </c>
      <c r="E46" s="279" t="n">
        <f aca="false">E9</f>
        <v>11490034.3742293</v>
      </c>
      <c r="F46" s="279" t="n">
        <f aca="false">F9</f>
        <v>13079818.349068</v>
      </c>
      <c r="G46" s="279" t="n">
        <f aca="false">G9</f>
        <v>14779070.3401295</v>
      </c>
      <c r="H46" s="279"/>
    </row>
    <row r="47" customFormat="false" ht="13.5" hidden="false" customHeight="false" outlineLevel="0" collapsed="false">
      <c r="A47" s="267" t="s">
        <v>449</v>
      </c>
      <c r="B47" s="279" t="n">
        <f aca="false">SUM('Cash Flow Statement'!E11:E13)</f>
        <v>-1343670</v>
      </c>
      <c r="C47" s="279" t="n">
        <f aca="false">B31-C31</f>
        <v>-2843595.36608684</v>
      </c>
      <c r="D47" s="279" t="n">
        <f aca="false">C31-D31</f>
        <v>-3557048.48912234</v>
      </c>
      <c r="E47" s="279" t="n">
        <f aca="false">D31-E31</f>
        <v>-7612997.21722772</v>
      </c>
      <c r="F47" s="279" t="n">
        <f aca="false">E31-F31</f>
        <v>-6764023.81123132</v>
      </c>
      <c r="G47" s="279" t="n">
        <f aca="false">F31-G31</f>
        <v>-5231833.53169505</v>
      </c>
      <c r="H47" s="279"/>
    </row>
    <row r="48" customFormat="false" ht="13.5" hidden="false" customHeight="false" outlineLevel="0" collapsed="false">
      <c r="A48" s="267" t="s">
        <v>450</v>
      </c>
      <c r="B48" s="279" t="n">
        <f aca="false">SUM('Cash Flow Statement'!E15:E17)</f>
        <v>73692</v>
      </c>
      <c r="C48" s="279" t="n">
        <f aca="false">C34-B34</f>
        <v>259209.038020742</v>
      </c>
      <c r="D48" s="279" t="n">
        <f aca="false">D34-C34</f>
        <v>276832.81434745</v>
      </c>
      <c r="E48" s="279" t="n">
        <f aca="false">E34-D34</f>
        <v>673846.090274309</v>
      </c>
      <c r="F48" s="279" t="n">
        <f aca="false">F34-E34</f>
        <v>390211.119422332</v>
      </c>
      <c r="G48" s="279" t="n">
        <f aca="false">G34-F34</f>
        <v>416873.824974414</v>
      </c>
      <c r="H48" s="279"/>
    </row>
    <row r="49" s="321" customFormat="true" ht="13.5" hidden="false" customHeight="false" outlineLevel="0" collapsed="false">
      <c r="A49" s="267" t="s">
        <v>451</v>
      </c>
      <c r="B49" s="279" t="n">
        <f aca="false">SUM(B45:B48)</f>
        <v>6282469.2155</v>
      </c>
      <c r="C49" s="279" t="n">
        <f aca="false">SUM(C45:C48)</f>
        <v>7736847.94855562</v>
      </c>
      <c r="D49" s="279" t="n">
        <f aca="false">SUM(D45:D48)</f>
        <v>7817495.5195585</v>
      </c>
      <c r="E49" s="279" t="n">
        <f aca="false">SUM(E45:E48)</f>
        <v>6948752.05176092</v>
      </c>
      <c r="F49" s="279" t="n">
        <f aca="false">SUM(F45:F48)</f>
        <v>15416157.7680569</v>
      </c>
      <c r="G49" s="279" t="n">
        <f aca="false">SUM(G45:G48)</f>
        <v>23818818.7388826</v>
      </c>
      <c r="H49" s="279"/>
    </row>
    <row r="50" s="321" customFormat="true" ht="13.5" hidden="false" customHeight="false" outlineLevel="0" collapsed="false">
      <c r="A50" s="285" t="s">
        <v>452</v>
      </c>
      <c r="B50" s="279"/>
      <c r="C50" s="279"/>
      <c r="D50" s="279"/>
      <c r="E50" s="279"/>
      <c r="F50" s="279"/>
      <c r="G50" s="279"/>
      <c r="H50" s="279"/>
    </row>
    <row r="51" s="321" customFormat="true" ht="13.5" hidden="false" customHeight="false" outlineLevel="0" collapsed="false">
      <c r="A51" s="267" t="s">
        <v>453</v>
      </c>
      <c r="B51" s="279" t="n">
        <f aca="false">'Cash Flow Statement'!E22</f>
        <v>-5084520</v>
      </c>
      <c r="C51" s="279" t="n">
        <f aca="false">-C25</f>
        <v>-12734763.397992</v>
      </c>
      <c r="D51" s="279" t="n">
        <f aca="false">-D25</f>
        <v>-51831403.0539191</v>
      </c>
      <c r="E51" s="279" t="n">
        <f aca="false">-E25</f>
        <v>-13248199.7903225</v>
      </c>
      <c r="F51" s="279" t="n">
        <f aca="false">-F25</f>
        <v>-14160433.2588451</v>
      </c>
      <c r="G51" s="279" t="n">
        <f aca="false">-G25</f>
        <v>-17031774.8046407</v>
      </c>
      <c r="H51" s="279"/>
    </row>
    <row r="52" s="321" customFormat="true" ht="13.5" hidden="false" customHeight="false" outlineLevel="0" collapsed="false">
      <c r="A52" s="285" t="s">
        <v>454</v>
      </c>
      <c r="H52" s="279"/>
    </row>
    <row r="53" s="321" customFormat="true" ht="13.5" hidden="false" customHeight="false" outlineLevel="0" collapsed="false">
      <c r="A53" s="267" t="s">
        <v>455</v>
      </c>
      <c r="B53" s="279" t="n">
        <f aca="false">'Cash Flow Statement'!E30</f>
        <v>0</v>
      </c>
      <c r="C53" s="279" t="n">
        <f aca="false">(Drivers!F111-Drivers!E111)+(Drivers!F117-Drivers!E117)</f>
        <v>0</v>
      </c>
      <c r="D53" s="279" t="n">
        <f aca="false">(Drivers!G111-Drivers!F111)+(Drivers!G117-Drivers!F117)</f>
        <v>31098841.8323515</v>
      </c>
      <c r="E53" s="279" t="n">
        <f aca="false">(Drivers!H111-Drivers!G111)+(Drivers!H117-Drivers!G117)</f>
        <v>0</v>
      </c>
      <c r="F53" s="279" t="n">
        <f aca="false">(Drivers!I111-Drivers!H111)+(Drivers!I117-Drivers!H117)</f>
        <v>-6219768.36647029</v>
      </c>
      <c r="G53" s="279" t="n">
        <f aca="false">(Drivers!J111-Drivers!I111)+(Drivers!J117-Drivers!I117)</f>
        <v>-6219768.36647029</v>
      </c>
      <c r="H53" s="295"/>
    </row>
    <row r="54" s="321" customFormat="true" ht="13.5" hidden="false" customHeight="false" outlineLevel="0" collapsed="false">
      <c r="A54" s="267"/>
      <c r="B54" s="279"/>
      <c r="C54" s="279"/>
      <c r="D54" s="279"/>
      <c r="E54" s="279"/>
      <c r="F54" s="279"/>
      <c r="G54" s="279"/>
      <c r="H54" s="279"/>
    </row>
    <row r="55" customFormat="false" ht="13.5" hidden="false" customHeight="false" outlineLevel="0" collapsed="false">
      <c r="A55" s="322" t="s">
        <v>188</v>
      </c>
      <c r="B55" s="323" t="n">
        <f aca="false">'Cash Flow Statement'!E32</f>
        <v>1735532.55</v>
      </c>
      <c r="C55" s="323" t="n">
        <f aca="false">B59</f>
        <v>2933481.76549999</v>
      </c>
      <c r="D55" s="323" t="n">
        <f aca="false">C59</f>
        <v>-2064433.68393639</v>
      </c>
      <c r="E55" s="323" t="n">
        <f aca="false">D59</f>
        <v>-14979499.3859455</v>
      </c>
      <c r="F55" s="323" t="n">
        <f aca="false">E59</f>
        <v>-21278947.1245071</v>
      </c>
      <c r="G55" s="323" t="n">
        <f aca="false">F59</f>
        <v>-26242990.9817656</v>
      </c>
      <c r="H55" s="324"/>
    </row>
    <row r="56" customFormat="false" ht="13.5" hidden="false" customHeight="false" outlineLevel="0" collapsed="false">
      <c r="A56" s="325"/>
      <c r="H56" s="324"/>
    </row>
    <row r="57" customFormat="false" ht="13.5" hidden="false" customHeight="false" outlineLevel="0" collapsed="false">
      <c r="A57" s="325" t="s">
        <v>189</v>
      </c>
      <c r="B57" s="268" t="n">
        <f aca="false">'Cash Flow Statement'!E34</f>
        <v>1197949.21549999</v>
      </c>
      <c r="C57" s="268" t="n">
        <f aca="false">C49+C51+C53</f>
        <v>-4997915.44943638</v>
      </c>
      <c r="D57" s="268" t="n">
        <f aca="false">D49+D51+D53</f>
        <v>-12915065.7020091</v>
      </c>
      <c r="E57" s="268" t="n">
        <f aca="false">E49+E51+E53</f>
        <v>-6299447.73856158</v>
      </c>
      <c r="F57" s="268" t="n">
        <f aca="false">F49+F51+F53</f>
        <v>-4964043.85725853</v>
      </c>
      <c r="G57" s="268" t="n">
        <f aca="false">G49+G51+G53</f>
        <v>567275.56777158</v>
      </c>
    </row>
    <row r="58" customFormat="false" ht="13.5" hidden="false" customHeight="false" outlineLevel="0" collapsed="false">
      <c r="A58" s="325"/>
    </row>
    <row r="59" customFormat="false" ht="14.25" hidden="false" customHeight="true" outlineLevel="0" collapsed="false">
      <c r="A59" s="326" t="s">
        <v>190</v>
      </c>
      <c r="B59" s="327" t="n">
        <f aca="false">'Cash Flow Statement'!E36</f>
        <v>2933481.76549999</v>
      </c>
      <c r="C59" s="327" t="n">
        <f aca="false">C55+C57</f>
        <v>-2064433.68393639</v>
      </c>
      <c r="D59" s="327" t="n">
        <f aca="false">D55+D57</f>
        <v>-14979499.3859455</v>
      </c>
      <c r="E59" s="327" t="n">
        <f aca="false">E55+E57</f>
        <v>-21278947.1245071</v>
      </c>
      <c r="F59" s="327" t="n">
        <f aca="false">F55+F57</f>
        <v>-26242990.9817656</v>
      </c>
      <c r="G59" s="327" t="n">
        <f aca="false">G55+G57</f>
        <v>-25675715.413994</v>
      </c>
    </row>
    <row r="60" customFormat="false" ht="14.25" hidden="false" customHeight="true" outlineLevel="0" collapsed="false">
      <c r="A60" s="328" t="s">
        <v>456</v>
      </c>
      <c r="C60" s="329" t="n">
        <f aca="false">MAX(0,Drivers!F110-C59)</f>
        <v>5248124.53343439</v>
      </c>
      <c r="D60" s="329" t="n">
        <f aca="false">MAX(0,Drivers!G110-D59)</f>
        <v>18966530.3900932</v>
      </c>
      <c r="E60" s="329" t="n">
        <f aca="false">MAX(0,Drivers!H110-E59)</f>
        <v>26799030.3704748</v>
      </c>
      <c r="F60" s="329" t="n">
        <f aca="false">MAX(0,Drivers!I110-F59)</f>
        <v>33323207.6111882</v>
      </c>
      <c r="G60" s="329" t="n">
        <f aca="false">MAX(0,Drivers!J110-G59)</f>
        <v>34191602.8163144</v>
      </c>
    </row>
    <row r="61" customFormat="false" ht="22.5" hidden="false" customHeight="true" outlineLevel="0" collapsed="false">
      <c r="A61" s="330" t="s">
        <v>457</v>
      </c>
      <c r="B61" s="331" t="n">
        <f aca="false">MAX(C60:G60)</f>
        <v>34191602.8163144</v>
      </c>
      <c r="C61" s="267"/>
    </row>
    <row r="62" customFormat="false" ht="21" hidden="false" customHeight="true" outlineLevel="0" collapsed="false">
      <c r="A62" s="330" t="s">
        <v>458</v>
      </c>
      <c r="B62" s="332" t="n">
        <f aca="false">B61*0.1</f>
        <v>3419160.28163144</v>
      </c>
      <c r="C62" s="267"/>
    </row>
    <row r="63" customFormat="false" ht="24.75" hidden="false" customHeight="true" outlineLevel="0" collapsed="false">
      <c r="A63" s="333" t="s">
        <v>459</v>
      </c>
      <c r="B63" s="334" t="n">
        <f aca="false">B61+B62</f>
        <v>37610763.0979458</v>
      </c>
      <c r="C63" s="267"/>
    </row>
    <row r="64" customFormat="false" ht="13.5" hidden="false" customHeight="false" outlineLevel="0" collapsed="false">
      <c r="A64" s="226" t="s">
        <v>460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16" activeCellId="0" sqref="C16"/>
    </sheetView>
  </sheetViews>
  <sheetFormatPr defaultColWidth="7.2734375" defaultRowHeight="13.5" zeroHeight="false" outlineLevelRow="0" outlineLevelCol="0"/>
  <cols>
    <col collapsed="false" customWidth="true" hidden="false" outlineLevel="0" max="1" min="1" style="267" width="40.82"/>
    <col collapsed="false" customWidth="true" hidden="false" outlineLevel="0" max="5" min="2" style="268" width="14"/>
    <col collapsed="false" customWidth="true" hidden="false" outlineLevel="0" max="6" min="6" style="268" width="22.54"/>
    <col collapsed="false" customWidth="true" hidden="false" outlineLevel="0" max="7" min="7" style="267" width="16.73"/>
    <col collapsed="false" customWidth="true" hidden="false" outlineLevel="0" max="8" min="8" style="267" width="14.36"/>
    <col collapsed="false" customWidth="true" hidden="false" outlineLevel="0" max="9" min="9" style="267" width="14.45"/>
    <col collapsed="false" customWidth="true" hidden="false" outlineLevel="0" max="10" min="10" style="267" width="13"/>
    <col collapsed="false" customWidth="false" hidden="false" outlineLevel="0" max="16384" min="11" style="267" width="7.27"/>
  </cols>
  <sheetData>
    <row r="1" customFormat="false" ht="31.5" hidden="false" customHeight="true" outlineLevel="0" collapsed="false">
      <c r="A1" s="269" t="s">
        <v>461</v>
      </c>
      <c r="B1" s="269"/>
      <c r="C1" s="335"/>
      <c r="D1" s="335"/>
    </row>
    <row r="2" customFormat="false" ht="31.5" hidden="false" customHeight="true" outlineLevel="0" collapsed="false">
      <c r="A2" s="336"/>
      <c r="B2" s="336"/>
    </row>
    <row r="3" customFormat="false" ht="13.5" hidden="false" customHeight="false" outlineLevel="0" collapsed="false">
      <c r="C3" s="279" t="n">
        <v>1</v>
      </c>
      <c r="D3" s="279" t="n">
        <f aca="false">C3+1</f>
        <v>2</v>
      </c>
      <c r="E3" s="279" t="n">
        <f aca="false">D3+1</f>
        <v>3</v>
      </c>
      <c r="F3" s="279" t="n">
        <f aca="false">E3+1</f>
        <v>4</v>
      </c>
      <c r="G3" s="279" t="n">
        <f aca="false">F3+1</f>
        <v>5</v>
      </c>
    </row>
    <row r="4" customFormat="false" ht="13.5" hidden="false" customHeight="false" outlineLevel="0" collapsed="false">
      <c r="B4" s="337" t="n">
        <f aca="false">'Income Statement'!D4</f>
        <v>2025</v>
      </c>
      <c r="C4" s="337" t="n">
        <f aca="false">B4+1</f>
        <v>2026</v>
      </c>
      <c r="D4" s="337" t="n">
        <f aca="false">C4+1</f>
        <v>2027</v>
      </c>
      <c r="E4" s="337" t="n">
        <f aca="false">D4+1</f>
        <v>2028</v>
      </c>
      <c r="F4" s="337" t="n">
        <f aca="false">E4+1</f>
        <v>2029</v>
      </c>
      <c r="G4" s="337" t="n">
        <f aca="false">F4+1</f>
        <v>2030</v>
      </c>
      <c r="H4" s="337" t="n">
        <f aca="false">G4+1</f>
        <v>2031</v>
      </c>
    </row>
    <row r="5" customFormat="false" ht="18.75" hidden="false" customHeight="true" outlineLevel="0" collapsed="false">
      <c r="A5" s="338" t="s">
        <v>462</v>
      </c>
      <c r="B5" s="279"/>
      <c r="C5" s="288" t="n">
        <f aca="false">'Pro Forma'!C10-Drivers!F125*MAX(0,'Pro Forma'!C10-Drivers!F123)</f>
        <v>6712155.67662172</v>
      </c>
      <c r="D5" s="288" t="n">
        <f aca="false">'Pro Forma'!D10-Drivers!G125*MAX(0,'Pro Forma'!D10-Drivers!G123)</f>
        <v>7199606.85986842</v>
      </c>
      <c r="E5" s="288" t="n">
        <f aca="false">'Pro Forma'!E10-Drivers!H125*MAX(0,'Pro Forma'!E10-Drivers!H123)</f>
        <v>5013984.15107312</v>
      </c>
      <c r="F5" s="288" t="n">
        <f aca="false">'Pro Forma'!F10-Drivers!I125*MAX(0,'Pro Forma'!F10-Drivers!I123)</f>
        <v>11077476.7227272</v>
      </c>
      <c r="G5" s="288" t="n">
        <f aca="false">'Pro Forma'!G10-Drivers!J125*MAX(0,'Pro Forma'!G10-Drivers!J123)</f>
        <v>15724451.2480854</v>
      </c>
      <c r="H5" s="279"/>
    </row>
    <row r="6" customFormat="false" ht="18.75" hidden="false" customHeight="true" outlineLevel="0" collapsed="false">
      <c r="A6" s="267" t="s">
        <v>463</v>
      </c>
      <c r="B6" s="279"/>
      <c r="C6" s="288" t="n">
        <f aca="false">'Pro Forma'!C9</f>
        <v>3742094.4</v>
      </c>
      <c r="D6" s="288" t="n">
        <f aca="false">'Pro Forma'!D9</f>
        <v>5270266.00775904</v>
      </c>
      <c r="E6" s="288" t="n">
        <f aca="false">'Pro Forma'!E9</f>
        <v>11490034.3742293</v>
      </c>
      <c r="F6" s="288" t="n">
        <f aca="false">'Pro Forma'!F9</f>
        <v>13079818.349068</v>
      </c>
      <c r="G6" s="288" t="n">
        <f aca="false">'Pro Forma'!G9</f>
        <v>14779070.3401295</v>
      </c>
      <c r="H6" s="279"/>
    </row>
    <row r="7" customFormat="false" ht="18.75" hidden="false" customHeight="true" outlineLevel="0" collapsed="false">
      <c r="A7" s="267" t="s">
        <v>464</v>
      </c>
      <c r="B7" s="279"/>
      <c r="C7" s="288" t="n">
        <f aca="false">'Pro Forma'!C37</f>
        <v>2584386.3280661</v>
      </c>
      <c r="D7" s="288" t="n">
        <f aca="false">'Pro Forma'!D37</f>
        <v>3280215.67477489</v>
      </c>
      <c r="E7" s="288" t="n">
        <f aca="false">'Pro Forma'!E37</f>
        <v>6939151.12695341</v>
      </c>
      <c r="F7" s="288" t="n">
        <f aca="false">'Pro Forma'!F37</f>
        <v>6373812.69180898</v>
      </c>
      <c r="G7" s="288" t="n">
        <f aca="false">'Pro Forma'!G37</f>
        <v>4814959.70672064</v>
      </c>
      <c r="H7" s="279"/>
    </row>
    <row r="8" customFormat="false" ht="18.75" hidden="false" customHeight="true" outlineLevel="0" collapsed="false">
      <c r="A8" s="267" t="s">
        <v>465</v>
      </c>
      <c r="B8" s="279"/>
      <c r="C8" s="288" t="n">
        <f aca="false">'Pro Forma'!C25</f>
        <v>12734763.397992</v>
      </c>
      <c r="D8" s="288" t="n">
        <f aca="false">'Pro Forma'!D25</f>
        <v>51831403.0539191</v>
      </c>
      <c r="E8" s="288" t="n">
        <f aca="false">'Pro Forma'!E25</f>
        <v>13248199.7903225</v>
      </c>
      <c r="F8" s="288" t="n">
        <f aca="false">'Pro Forma'!F25</f>
        <v>14160433.2588451</v>
      </c>
      <c r="G8" s="288" t="n">
        <f aca="false">'Pro Forma'!G25</f>
        <v>17031774.8046407</v>
      </c>
      <c r="H8" s="279"/>
    </row>
    <row r="9" customFormat="false" ht="18.75" hidden="false" customHeight="true" outlineLevel="0" collapsed="false">
      <c r="B9" s="279"/>
      <c r="C9" s="279"/>
      <c r="D9" s="279"/>
      <c r="E9" s="279"/>
      <c r="F9" s="279"/>
      <c r="G9" s="279"/>
      <c r="H9" s="279"/>
    </row>
    <row r="10" s="285" customFormat="true" ht="18.75" hidden="false" customHeight="true" outlineLevel="0" collapsed="false">
      <c r="A10" s="339" t="s">
        <v>466</v>
      </c>
      <c r="B10" s="340"/>
      <c r="C10" s="340" t="n">
        <f aca="false">C5+C6-C7-C8</f>
        <v>-4864899.64943638</v>
      </c>
      <c r="D10" s="340" t="n">
        <f aca="false">D5+D6-D7-D8</f>
        <v>-42641745.8610666</v>
      </c>
      <c r="E10" s="340" t="n">
        <f aca="false">E5+E6-E7-E8</f>
        <v>-3683332.39197345</v>
      </c>
      <c r="F10" s="340" t="n">
        <f aca="false">F5+F6-F7-F8</f>
        <v>3623049.12114108</v>
      </c>
      <c r="G10" s="340" t="n">
        <f aca="false">G5+G6-G7-G8</f>
        <v>8656787.07685356</v>
      </c>
      <c r="H10" s="341" t="n">
        <f aca="false">G10*(1+Assumption!D16)</f>
        <v>9089626.43069624</v>
      </c>
      <c r="J10" s="342"/>
      <c r="K10" s="343"/>
    </row>
    <row r="11" customFormat="false" ht="13.5" hidden="false" customHeight="true" outlineLevel="0" collapsed="false">
      <c r="B11" s="279"/>
      <c r="C11" s="279"/>
      <c r="D11" s="279"/>
      <c r="E11" s="279"/>
      <c r="F11" s="279"/>
      <c r="G11" s="344"/>
      <c r="H11" s="279"/>
      <c r="J11" s="345"/>
      <c r="K11" s="346"/>
    </row>
    <row r="12" customFormat="false" ht="27.75" hidden="false" customHeight="true" outlineLevel="0" collapsed="false">
      <c r="A12" s="299" t="s">
        <v>467</v>
      </c>
      <c r="B12" s="279"/>
      <c r="C12" s="279"/>
      <c r="D12" s="279"/>
      <c r="E12" s="279"/>
      <c r="G12" s="347" t="n">
        <f aca="false">(G5*(1+Assumption!D16))*(1-Assumption!D16/Assumption!D19)/(Assumption!D18-Assumption!D16)</f>
        <v>134950907.419304</v>
      </c>
      <c r="H12" s="348"/>
    </row>
    <row r="13" customFormat="false" ht="15" hidden="false" customHeight="true" outlineLevel="0" collapsed="false">
      <c r="B13" s="279"/>
      <c r="C13" s="279"/>
      <c r="D13" s="279"/>
      <c r="E13" s="279"/>
      <c r="F13" s="279"/>
      <c r="G13" s="279"/>
      <c r="H13" s="279"/>
    </row>
    <row r="14" s="285" customFormat="true" ht="18.75" hidden="false" customHeight="true" outlineLevel="0" collapsed="false">
      <c r="A14" s="349" t="s">
        <v>468</v>
      </c>
      <c r="B14" s="341"/>
      <c r="C14" s="350" t="n">
        <f aca="false">C10/(1+Assumption!$D$18)^C3</f>
        <v>-4273600.67103734</v>
      </c>
      <c r="D14" s="350" t="n">
        <f aca="false">D10/(1+Assumption!$D$18)^D3</f>
        <v>-32905999.186717</v>
      </c>
      <c r="E14" s="350" t="n">
        <f aca="false">E10/(1+Assumption!$D$18)^E3</f>
        <v>-2496899.54385646</v>
      </c>
      <c r="F14" s="350" t="n">
        <f aca="false">F10/(1+Assumption!$D$18)^F3</f>
        <v>2157518.02388902</v>
      </c>
      <c r="G14" s="351" t="n">
        <f aca="false">(G10+G12)/(1+Assumption!$D$18)^G3</f>
        <v>75123873.5254227</v>
      </c>
      <c r="H14" s="284"/>
    </row>
    <row r="15" customFormat="false" ht="13.5" hidden="false" customHeight="false" outlineLevel="0" collapsed="false">
      <c r="B15" s="279"/>
      <c r="C15" s="279"/>
      <c r="D15" s="279"/>
      <c r="E15" s="279"/>
      <c r="F15" s="279"/>
      <c r="G15" s="279"/>
      <c r="H15" s="279"/>
      <c r="J15" s="352"/>
    </row>
    <row r="16" s="358" customFormat="true" ht="28.5" hidden="false" customHeight="true" outlineLevel="0" collapsed="false">
      <c r="A16" s="353" t="s">
        <v>469</v>
      </c>
      <c r="B16" s="354"/>
      <c r="C16" s="354" t="n">
        <f aca="false">SUM(C14:G14)</f>
        <v>37604892.1477009</v>
      </c>
      <c r="D16" s="355"/>
      <c r="E16" s="356"/>
      <c r="F16" s="356"/>
      <c r="G16" s="357"/>
      <c r="H16" s="357"/>
      <c r="J16" s="345"/>
    </row>
    <row r="17" customFormat="false" ht="13.5" hidden="false" customHeight="false" outlineLevel="0" collapsed="false">
      <c r="B17" s="279"/>
      <c r="C17" s="279"/>
      <c r="D17" s="279"/>
      <c r="E17" s="279"/>
      <c r="F17" s="279"/>
      <c r="G17" s="352"/>
      <c r="H17" s="352"/>
    </row>
    <row r="18" s="267" customFormat="true" ht="13.5" hidden="false" customHeight="false" outlineLevel="0" collapsed="false">
      <c r="B18" s="359"/>
      <c r="C18" s="360"/>
      <c r="E18" s="279"/>
      <c r="F18" s="279"/>
      <c r="G18" s="352"/>
      <c r="H18" s="352"/>
    </row>
    <row r="19" s="267" customFormat="true" ht="13.5" hidden="false" customHeight="false" outlineLevel="0" collapsed="false">
      <c r="A19" s="361" t="s">
        <v>457</v>
      </c>
      <c r="B19" s="362" t="n">
        <f aca="false">'Pro Forma'!B63</f>
        <v>37610763.0979458</v>
      </c>
      <c r="C19" s="344"/>
      <c r="E19" s="279"/>
      <c r="F19" s="279"/>
      <c r="G19" s="352"/>
      <c r="H19" s="352"/>
    </row>
    <row r="20" customFormat="false" ht="13.5" hidden="false" customHeight="false" outlineLevel="0" collapsed="false">
      <c r="A20" s="361" t="s">
        <v>470</v>
      </c>
      <c r="B20" s="363" t="n">
        <f aca="false">B19/B21</f>
        <v>0.491345063624092</v>
      </c>
      <c r="C20" s="364"/>
      <c r="D20" s="267"/>
    </row>
    <row r="21" customFormat="false" ht="13.5" hidden="false" customHeight="false" outlineLevel="0" collapsed="false">
      <c r="A21" s="361" t="s">
        <v>471</v>
      </c>
      <c r="B21" s="331" t="n">
        <f aca="false">B22+B19</f>
        <v>76546537.0111468</v>
      </c>
      <c r="C21" s="365"/>
      <c r="D21" s="267"/>
    </row>
    <row r="22" customFormat="false" ht="15.75" hidden="false" customHeight="true" outlineLevel="0" collapsed="false">
      <c r="A22" s="361" t="s">
        <v>472</v>
      </c>
      <c r="B22" s="331" t="n">
        <f aca="false">C16+'Balance Sheet'!G7-'Balance Sheet'!G48-'Balance Sheet'!G61</f>
        <v>38935773.9132009</v>
      </c>
      <c r="C22" s="365"/>
      <c r="D22" s="366" t="s">
        <v>473</v>
      </c>
      <c r="E22" s="367" t="n">
        <f aca="false">B19</f>
        <v>37610763.0979458</v>
      </c>
      <c r="F22" s="368" t="s">
        <v>474</v>
      </c>
      <c r="G22" s="369" t="n">
        <f aca="false">B20</f>
        <v>0.491345063624092</v>
      </c>
      <c r="H22" s="370" t="s">
        <v>475</v>
      </c>
    </row>
    <row r="24" customFormat="false" ht="13.5" hidden="false" customHeight="false" outlineLevel="0" collapsed="false">
      <c r="B24" s="267"/>
      <c r="C24" s="371"/>
    </row>
    <row r="26" customFormat="false" ht="13.5" hidden="false" customHeight="false" outlineLevel="0" collapsed="false">
      <c r="A26" s="250" t="s">
        <v>476</v>
      </c>
    </row>
    <row r="27" customFormat="false" ht="13.5" hidden="false" customHeight="false" outlineLevel="0" collapsed="false">
      <c r="A27" s="219" t="s">
        <v>477</v>
      </c>
      <c r="B27" s="372" t="n">
        <f aca="false">SUM(C14:F14)+G10/(1+Assumption!D18)^G3</f>
        <v>-32990453.9908033</v>
      </c>
    </row>
    <row r="28" customFormat="false" ht="13.5" hidden="false" customHeight="false" outlineLevel="0" collapsed="false">
      <c r="A28" s="219" t="s">
        <v>478</v>
      </c>
      <c r="B28" s="372" t="n">
        <f aca="false">G12/(1+Assumption!D18)^G3</f>
        <v>70595346.1385042</v>
      </c>
    </row>
    <row r="29" customFormat="false" ht="13.5" hidden="false" customHeight="false" outlineLevel="0" collapsed="false">
      <c r="A29" s="219" t="s">
        <v>479</v>
      </c>
      <c r="B29" s="372" t="n">
        <f aca="false">C16</f>
        <v>37604892.1477009</v>
      </c>
    </row>
    <row r="30" customFormat="false" ht="13.5" hidden="false" customHeight="false" outlineLevel="0" collapsed="false">
      <c r="A30" s="219" t="s">
        <v>480</v>
      </c>
      <c r="B30" s="373" t="n">
        <f aca="false">B28/B29</f>
        <v>1.87729154656864</v>
      </c>
    </row>
    <row r="31" customFormat="false" ht="13.5" hidden="false" customHeight="false" outlineLevel="0" collapsed="false">
      <c r="A31" s="219" t="s">
        <v>481</v>
      </c>
      <c r="B31" s="372" t="n">
        <f aca="false">'Balance Sheet'!G7</f>
        <v>2933481.76549999</v>
      </c>
    </row>
    <row r="32" customFormat="false" ht="13.5" hidden="false" customHeight="false" outlineLevel="0" collapsed="false">
      <c r="A32" s="219" t="s">
        <v>482</v>
      </c>
      <c r="B32" s="372" t="n">
        <f aca="false">'Balance Sheet'!G48+'Balance Sheet'!G61</f>
        <v>1602600</v>
      </c>
    </row>
    <row r="33" customFormat="false" ht="13.5" hidden="false" customHeight="false" outlineLevel="0" collapsed="false">
      <c r="A33" s="219" t="s">
        <v>483</v>
      </c>
      <c r="B33" s="372" t="n">
        <f aca="false">B29+B31-B32</f>
        <v>38935773.9132009</v>
      </c>
    </row>
    <row r="34" customFormat="false" ht="13.5" hidden="false" customHeight="false" outlineLevel="0" collapsed="false">
      <c r="A34" s="219" t="s">
        <v>484</v>
      </c>
      <c r="B34" s="374" t="n">
        <f aca="false">B29/Drivers!E79</f>
        <v>4.88716104369915</v>
      </c>
    </row>
    <row r="35" customFormat="false" ht="13.5" hidden="false" customHeight="false" outlineLevel="0" collapsed="false">
      <c r="A35" s="219" t="s">
        <v>485</v>
      </c>
      <c r="B35" s="374" t="n">
        <f aca="false">B29/Drivers!F79</f>
        <v>3.30325177177555</v>
      </c>
    </row>
    <row r="36" customFormat="false" ht="13.5" hidden="false" customHeight="false" outlineLevel="0" collapsed="false">
      <c r="A36" s="219" t="s">
        <v>486</v>
      </c>
      <c r="B36" s="374" t="n">
        <f aca="false">B33/'Income Statement'!E80</f>
        <v>5.91806446486344</v>
      </c>
    </row>
    <row r="37" customFormat="false" ht="13.5" hidden="false" customHeight="false" outlineLevel="0" collapsed="false">
      <c r="A37" s="219" t="s">
        <v>487</v>
      </c>
      <c r="B37" s="260" t="n">
        <f aca="false">B33/'Balance Sheet'!G76</f>
        <v>1.29906259217976</v>
      </c>
    </row>
    <row r="38" customFormat="false" ht="13.5" hidden="false" customHeight="false" outlineLevel="0" collapsed="false">
      <c r="A38" s="219" t="s">
        <v>488</v>
      </c>
      <c r="B38" s="372" t="n">
        <f aca="false">H10/(Assumption!D18-Assumption!D16)</f>
        <v>102869398.222123</v>
      </c>
    </row>
    <row r="39" customFormat="false" ht="13.5" hidden="false" customHeight="false" outlineLevel="0" collapsed="false">
      <c r="A39" s="219" t="s">
        <v>489</v>
      </c>
      <c r="B39" s="373" t="n">
        <f aca="false">G5/('Pro Forma'!G24+'Pro Forma'!G36)</f>
        <v>0.138811531585547</v>
      </c>
    </row>
    <row r="40" customFormat="false" ht="13.5" hidden="false" customHeight="false" outlineLevel="0" collapsed="false">
      <c r="A40" s="219" t="s">
        <v>490</v>
      </c>
      <c r="B40" s="373" t="n">
        <f aca="false">Assumption!D16/Assumption!D19</f>
        <v>0.277777777777778</v>
      </c>
    </row>
    <row r="41" customFormat="false" ht="13.5" hidden="false" customHeight="false" outlineLevel="0" collapsed="false">
      <c r="A41" s="219" t="s">
        <v>491</v>
      </c>
      <c r="B41" s="372" t="n">
        <f aca="false">B33-B22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15" activeCellId="0" sqref="G15"/>
    </sheetView>
  </sheetViews>
  <sheetFormatPr defaultColWidth="8.73046875" defaultRowHeight="13.5" zeroHeight="false" outlineLevelRow="0" outlineLevelCol="0"/>
  <cols>
    <col collapsed="false" customWidth="true" hidden="false" outlineLevel="0" max="1" min="1" style="208" width="48"/>
    <col collapsed="false" customWidth="true" hidden="false" outlineLevel="0" max="2" min="2" style="208" width="15.18"/>
    <col collapsed="false" customWidth="true" hidden="false" outlineLevel="0" max="3" min="3" style="208" width="20.54"/>
    <col collapsed="false" customWidth="true" hidden="false" outlineLevel="0" max="4" min="4" style="208" width="21.73"/>
    <col collapsed="false" customWidth="true" hidden="false" outlineLevel="0" max="5" min="5" style="208" width="14.82"/>
    <col collapsed="false" customWidth="false" hidden="false" outlineLevel="0" max="16384" min="6" style="208" width="8.73"/>
  </cols>
  <sheetData>
    <row r="1" customFormat="false" ht="19.5" hidden="false" customHeight="true" outlineLevel="0" collapsed="false">
      <c r="A1" s="375" t="s">
        <v>492</v>
      </c>
      <c r="B1" s="228"/>
      <c r="C1" s="376" t="n">
        <f aca="false">DCF!G4</f>
        <v>2030</v>
      </c>
      <c r="D1" s="377"/>
    </row>
    <row r="2" customFormat="false" ht="13.5" hidden="false" customHeight="false" outlineLevel="0" collapsed="false">
      <c r="A2" s="378"/>
      <c r="B2" s="377"/>
      <c r="C2" s="377"/>
      <c r="D2" s="377"/>
    </row>
    <row r="3" customFormat="false" ht="13.5" hidden="false" customHeight="false" outlineLevel="0" collapsed="false">
      <c r="A3" s="215" t="s">
        <v>493</v>
      </c>
    </row>
    <row r="4" customFormat="false" ht="13.5" hidden="false" customHeight="false" outlineLevel="0" collapsed="false">
      <c r="A4" s="215"/>
    </row>
    <row r="5" customFormat="false" ht="13.5" hidden="false" customHeight="false" outlineLevel="0" collapsed="false">
      <c r="A5" s="237" t="s">
        <v>494</v>
      </c>
      <c r="B5" s="379" t="n">
        <f aca="false">DCF!G3</f>
        <v>5</v>
      </c>
      <c r="D5" s="237" t="s">
        <v>457</v>
      </c>
      <c r="E5" s="380" t="n">
        <f aca="false">DCF!B19</f>
        <v>37610763.0979458</v>
      </c>
    </row>
    <row r="6" customFormat="false" ht="13.5" hidden="false" customHeight="false" outlineLevel="0" collapsed="false">
      <c r="A6" s="237" t="s">
        <v>495</v>
      </c>
      <c r="B6" s="381" t="n">
        <f aca="false">INDEX(D20:D23,MATCH(B25,A20:A23,0))</f>
        <v>0.4</v>
      </c>
      <c r="D6" s="237" t="s">
        <v>496</v>
      </c>
      <c r="E6" s="379" t="n">
        <f aca="false">B39</f>
        <v>198692236.988942</v>
      </c>
    </row>
    <row r="7" customFormat="false" ht="13.5" hidden="false" customHeight="false" outlineLevel="0" collapsed="false">
      <c r="A7" s="237" t="s">
        <v>497</v>
      </c>
      <c r="B7" s="382" t="n">
        <f aca="false">'Discount rate'!E5</f>
        <v>0.138360839936764</v>
      </c>
      <c r="D7" s="383"/>
      <c r="E7" s="384"/>
    </row>
    <row r="8" customFormat="false" ht="13.5" hidden="false" customHeight="false" outlineLevel="0" collapsed="false">
      <c r="A8" s="385" t="s">
        <v>498</v>
      </c>
      <c r="B8" s="386" t="n">
        <f aca="false">1-(1-B6)^(1/B5)</f>
        <v>0.0971195485525658</v>
      </c>
      <c r="D8" s="237" t="s">
        <v>499</v>
      </c>
      <c r="E8" s="387" t="n">
        <f aca="false">E6/(1+B9)^B5</f>
        <v>62363777.377291</v>
      </c>
    </row>
    <row r="9" customFormat="false" ht="13.5" hidden="false" customHeight="false" outlineLevel="0" collapsed="false">
      <c r="A9" s="237" t="s">
        <v>493</v>
      </c>
      <c r="B9" s="388" t="n">
        <f aca="false">(1+B7)/(1-B8)-1</f>
        <v>0.260810152785814</v>
      </c>
      <c r="D9" s="237" t="s">
        <v>500</v>
      </c>
      <c r="E9" s="389" t="n">
        <f aca="false">E5/E8</f>
        <v>0.603086674343132</v>
      </c>
    </row>
    <row r="10" customFormat="false" ht="13.5" hidden="false" customHeight="false" outlineLevel="0" collapsed="false">
      <c r="A10" s="206"/>
      <c r="B10" s="390"/>
      <c r="D10" s="383"/>
      <c r="E10" s="384"/>
    </row>
    <row r="11" customFormat="false" ht="13.5" hidden="false" customHeight="false" outlineLevel="0" collapsed="false">
      <c r="A11" s="206"/>
      <c r="B11" s="390"/>
      <c r="D11" s="237" t="s">
        <v>472</v>
      </c>
      <c r="E11" s="391" t="n">
        <f aca="false">E8-E5</f>
        <v>24753014.2793452</v>
      </c>
    </row>
    <row r="12" customFormat="false" ht="13.5" hidden="false" customHeight="false" outlineLevel="0" collapsed="false">
      <c r="A12" s="206"/>
      <c r="B12" s="390"/>
      <c r="D12" s="237" t="s">
        <v>501</v>
      </c>
      <c r="E12" s="389" t="n">
        <f aca="false">1-E9</f>
        <v>0.396913325656869</v>
      </c>
    </row>
    <row r="13" customFormat="false" ht="13.5" hidden="false" customHeight="false" outlineLevel="0" collapsed="false">
      <c r="A13" s="206"/>
      <c r="B13" s="390"/>
      <c r="D13" s="206"/>
      <c r="E13" s="392"/>
    </row>
    <row r="15" customFormat="false" ht="13.5" hidden="false" customHeight="false" outlineLevel="0" collapsed="false">
      <c r="A15" s="393" t="s">
        <v>473</v>
      </c>
      <c r="B15" s="394" t="n">
        <f aca="false">E5</f>
        <v>37610763.0979458</v>
      </c>
      <c r="C15" s="395" t="s">
        <v>474</v>
      </c>
      <c r="D15" s="396" t="n">
        <f aca="false">E9</f>
        <v>0.603086674343132</v>
      </c>
      <c r="E15" s="370" t="s">
        <v>475</v>
      </c>
    </row>
    <row r="19" customFormat="false" ht="13.5" hidden="false" customHeight="false" outlineLevel="0" collapsed="false">
      <c r="A19" s="250" t="s">
        <v>502</v>
      </c>
      <c r="B19" s="247" t="s">
        <v>503</v>
      </c>
      <c r="C19" s="247" t="s">
        <v>504</v>
      </c>
      <c r="D19" s="247" t="s">
        <v>505</v>
      </c>
    </row>
    <row r="20" customFormat="false" ht="13.5" hidden="false" customHeight="false" outlineLevel="0" collapsed="false">
      <c r="A20" s="219" t="s">
        <v>506</v>
      </c>
      <c r="B20" s="397" t="n">
        <v>0.65</v>
      </c>
      <c r="C20" s="397" t="n">
        <v>0.8</v>
      </c>
      <c r="D20" s="373" t="n">
        <f aca="false">AVERAGE(B20:C20)</f>
        <v>0.725</v>
      </c>
      <c r="E20" s="398"/>
    </row>
    <row r="21" customFormat="false" ht="13.5" hidden="false" customHeight="false" outlineLevel="0" collapsed="false">
      <c r="A21" s="219" t="s">
        <v>507</v>
      </c>
      <c r="B21" s="397" t="n">
        <v>0.5</v>
      </c>
      <c r="C21" s="397" t="n">
        <v>0.65</v>
      </c>
      <c r="D21" s="373" t="n">
        <f aca="false">AVERAGE(B21:C21)</f>
        <v>0.575</v>
      </c>
      <c r="E21" s="398"/>
    </row>
    <row r="22" customFormat="false" ht="13.5" hidden="false" customHeight="false" outlineLevel="0" collapsed="false">
      <c r="A22" s="219" t="s">
        <v>508</v>
      </c>
      <c r="B22" s="397" t="n">
        <v>0.35</v>
      </c>
      <c r="C22" s="397" t="n">
        <v>0.45</v>
      </c>
      <c r="D22" s="373" t="n">
        <f aca="false">AVERAGE(B22:C22)</f>
        <v>0.4</v>
      </c>
    </row>
    <row r="23" customFormat="false" ht="13.5" hidden="false" customHeight="false" outlineLevel="0" collapsed="false">
      <c r="A23" s="219" t="s">
        <v>509</v>
      </c>
      <c r="B23" s="397" t="n">
        <v>0.2</v>
      </c>
      <c r="C23" s="397" t="n">
        <v>0.3</v>
      </c>
      <c r="D23" s="373" t="n">
        <f aca="false">AVERAGE(B23:C23)</f>
        <v>0.25</v>
      </c>
    </row>
    <row r="25" customFormat="false" ht="13.5" hidden="false" customHeight="false" outlineLevel="0" collapsed="false">
      <c r="A25" s="186" t="s">
        <v>510</v>
      </c>
      <c r="B25" s="399" t="s">
        <v>508</v>
      </c>
    </row>
    <row r="27" customFormat="false" ht="13.5" hidden="false" customHeight="false" outlineLevel="0" collapsed="false">
      <c r="A27" s="250" t="s">
        <v>511</v>
      </c>
    </row>
    <row r="28" customFormat="false" ht="13.5" hidden="false" customHeight="false" outlineLevel="0" collapsed="false">
      <c r="A28" s="219" t="s">
        <v>512</v>
      </c>
      <c r="B28" s="400" t="n">
        <f aca="false">'Income Statement'!I80</f>
        <v>13854708.1054738</v>
      </c>
    </row>
    <row r="29" customFormat="false" ht="13.5" hidden="false" customHeight="false" outlineLevel="0" collapsed="false">
      <c r="A29" s="219" t="s">
        <v>513</v>
      </c>
      <c r="B29" s="401" t="n">
        <v>9.4</v>
      </c>
    </row>
    <row r="30" customFormat="false" ht="13.5" hidden="false" customHeight="false" outlineLevel="0" collapsed="false">
      <c r="A30" s="219" t="s">
        <v>514</v>
      </c>
      <c r="B30" s="372" t="n">
        <f aca="false">B28*B29</f>
        <v>130234256.191454</v>
      </c>
    </row>
    <row r="31" customFormat="false" ht="13.5" hidden="false" customHeight="false" outlineLevel="0" collapsed="false">
      <c r="A31" s="219" t="s">
        <v>515</v>
      </c>
      <c r="B31" s="400" t="n">
        <f aca="false">'Income Statement'!I65</f>
        <v>34434634.4002363</v>
      </c>
    </row>
    <row r="32" customFormat="false" ht="13.5" hidden="false" customHeight="false" outlineLevel="0" collapsed="false">
      <c r="A32" s="219" t="s">
        <v>516</v>
      </c>
      <c r="B32" s="401" t="n">
        <v>8</v>
      </c>
    </row>
    <row r="33" customFormat="false" ht="13.5" hidden="false" customHeight="false" outlineLevel="0" collapsed="false">
      <c r="A33" s="219" t="s">
        <v>517</v>
      </c>
      <c r="B33" s="372" t="n">
        <f aca="false">B31*B32</f>
        <v>275477075.20189</v>
      </c>
    </row>
    <row r="34" customFormat="false" ht="13.5" hidden="false" customHeight="false" outlineLevel="0" collapsed="false">
      <c r="A34" s="219" t="s">
        <v>518</v>
      </c>
      <c r="B34" s="400" t="n">
        <f aca="false">'Balance Sheet'!L7</f>
        <v>11935047.6839519</v>
      </c>
    </row>
    <row r="35" customFormat="false" ht="13.5" hidden="false" customHeight="false" outlineLevel="0" collapsed="false">
      <c r="A35" s="219" t="s">
        <v>519</v>
      </c>
      <c r="B35" s="400" t="n">
        <f aca="false">'Balance Sheet'!L48+'Balance Sheet'!L61</f>
        <v>20261905.0994109</v>
      </c>
    </row>
    <row r="36" customFormat="false" ht="13.5" hidden="false" customHeight="false" outlineLevel="0" collapsed="false">
      <c r="A36" s="219" t="s">
        <v>520</v>
      </c>
      <c r="B36" s="372" t="n">
        <f aca="false">B33+B34-B35</f>
        <v>267150217.786431</v>
      </c>
    </row>
    <row r="37" customFormat="false" ht="13.5" hidden="false" customHeight="false" outlineLevel="0" collapsed="false">
      <c r="A37" s="219" t="s">
        <v>521</v>
      </c>
      <c r="B37" s="372" t="n">
        <f aca="false">DCF!G12+B34-B35</f>
        <v>126624050.003845</v>
      </c>
    </row>
    <row r="38" customFormat="false" ht="13.5" hidden="false" customHeight="false" outlineLevel="0" collapsed="false">
      <c r="A38" s="219" t="s">
        <v>522</v>
      </c>
      <c r="B38" s="374" t="n">
        <f aca="false">(B30-B34+B35)/B31</f>
        <v>4.02388804238217</v>
      </c>
    </row>
    <row r="39" customFormat="false" ht="13.5" hidden="false" customHeight="false" outlineLevel="0" collapsed="false">
      <c r="A39" s="219" t="s">
        <v>523</v>
      </c>
      <c r="B39" s="372" t="n">
        <f aca="false">AVERAGE(B30,B36)</f>
        <v>198692236.988942</v>
      </c>
    </row>
    <row r="41" customFormat="false" ht="13.5" hidden="false" customHeight="false" outlineLevel="0" collapsed="false">
      <c r="A41" s="219" t="s">
        <v>524</v>
      </c>
      <c r="B41" s="373" t="n">
        <f aca="false">(E6*E9/E5)^(1/B5)-1</f>
        <v>0.260810152785814</v>
      </c>
    </row>
    <row r="42" customFormat="false" ht="13.5" hidden="false" customHeight="false" outlineLevel="0" collapsed="false">
      <c r="A42" s="219" t="s">
        <v>525</v>
      </c>
      <c r="B42" s="373" t="n">
        <f aca="false">((1-B6)*E6*E9/E5)^(1/B5)-1</f>
        <v>0.138360839936764</v>
      </c>
    </row>
    <row r="43" customFormat="false" ht="13.5" hidden="false" customHeight="false" outlineLevel="0" collapsed="false">
      <c r="A43" s="219" t="s">
        <v>526</v>
      </c>
      <c r="B43" s="373" t="n">
        <f aca="false">(1+B7)/(1-B6)-1</f>
        <v>0.897268066561273</v>
      </c>
    </row>
    <row r="44" customFormat="false" ht="13.5" hidden="false" customHeight="false" outlineLevel="0" collapsed="false">
      <c r="A44" s="219" t="s">
        <v>527</v>
      </c>
      <c r="B44" s="372" t="n">
        <f aca="false">E6/(1+B43)^B5</f>
        <v>8082345.54809692</v>
      </c>
    </row>
    <row r="46" customFormat="false" ht="13.5" hidden="false" customHeight="false" outlineLevel="0" collapsed="false">
      <c r="A46" s="226" t="s">
        <v>528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B1E2B"/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64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6" min="5" style="0" width="18"/>
    <col collapsed="false" customWidth="true" hidden="false" outlineLevel="0" max="7" min="7" style="0" width="20"/>
    <col collapsed="false" customWidth="true" hidden="false" outlineLevel="0" max="8" min="8" style="0" width="70"/>
  </cols>
  <sheetData>
    <row r="1" customFormat="false" ht="16.15" hidden="false" customHeight="false" outlineLevel="0" collapsed="false">
      <c r="A1" s="402" t="s">
        <v>529</v>
      </c>
    </row>
    <row r="2" customFormat="false" ht="15" hidden="false" customHeight="false" outlineLevel="0" collapsed="false">
      <c r="A2" s="245" t="s">
        <v>530</v>
      </c>
    </row>
    <row r="4" customFormat="false" ht="15" hidden="false" customHeight="false" outlineLevel="0" collapsed="false">
      <c r="A4" s="247" t="s">
        <v>531</v>
      </c>
      <c r="B4" s="247" t="s">
        <v>532</v>
      </c>
      <c r="C4" s="247" t="s">
        <v>533</v>
      </c>
      <c r="D4" s="247" t="s">
        <v>534</v>
      </c>
      <c r="E4" s="247" t="s">
        <v>535</v>
      </c>
      <c r="F4" s="247" t="s">
        <v>536</v>
      </c>
      <c r="H4" s="247" t="s">
        <v>537</v>
      </c>
    </row>
    <row r="5" customFormat="false" ht="15" hidden="false" customHeight="false" outlineLevel="0" collapsed="false">
      <c r="A5" s="219" t="s">
        <v>538</v>
      </c>
      <c r="B5" s="403" t="n">
        <f aca="false">DCF!B22/1000000</f>
        <v>38.9357739132009</v>
      </c>
      <c r="C5" s="403" t="n">
        <f aca="false">DCF!B19/1000000</f>
        <v>37.6107630979458</v>
      </c>
      <c r="D5" s="403" t="n">
        <f aca="false">B5+C5</f>
        <v>76.5465370111467</v>
      </c>
      <c r="E5" s="373" t="n">
        <f aca="false">IF(B5&lt;=0,"n.m.",C5/D5)</f>
        <v>0.491345063624092</v>
      </c>
      <c r="F5" s="397" t="n">
        <v>0.5</v>
      </c>
      <c r="H5" s="245" t="s">
        <v>539</v>
      </c>
    </row>
    <row r="6" customFormat="false" ht="15" hidden="false" customHeight="false" outlineLevel="0" collapsed="false">
      <c r="A6" s="219" t="s">
        <v>540</v>
      </c>
      <c r="B6" s="403" t="n">
        <f aca="false">VCM!E11/1000000</f>
        <v>24.7530142793452</v>
      </c>
      <c r="C6" s="403" t="n">
        <f aca="false">VCM!E5/1000000</f>
        <v>37.6107630979458</v>
      </c>
      <c r="D6" s="403" t="n">
        <f aca="false">B6+C6</f>
        <v>62.363777377291</v>
      </c>
      <c r="E6" s="373" t="n">
        <f aca="false">IF(B6&lt;=0,"n.m.",C6/D6)</f>
        <v>0.603086674343131</v>
      </c>
      <c r="F6" s="397" t="n">
        <v>0.5</v>
      </c>
      <c r="H6" s="245" t="s">
        <v>541</v>
      </c>
    </row>
    <row r="7" customFormat="false" ht="15" hidden="false" customHeight="false" outlineLevel="0" collapsed="false">
      <c r="A7" s="186" t="s">
        <v>542</v>
      </c>
      <c r="B7" s="404" t="n">
        <f aca="false">SUMPRODUCT(B5:B6,F5:F6)/SUM(F5:F6)</f>
        <v>31.844394096273</v>
      </c>
      <c r="C7" s="404" t="n">
        <f aca="false">C5</f>
        <v>37.6107630979458</v>
      </c>
      <c r="D7" s="404" t="n">
        <f aca="false">B7+C7</f>
        <v>69.4551571942189</v>
      </c>
      <c r="E7" s="405" t="n">
        <f aca="false">IF(B7&lt;=0,"n.m.",C7/D7)</f>
        <v>0.541511453105982</v>
      </c>
      <c r="F7" s="406" t="n">
        <f aca="false">SUM(F5:F6)</f>
        <v>1</v>
      </c>
    </row>
    <row r="9" customFormat="false" ht="15" hidden="false" customHeight="false" outlineLevel="0" collapsed="false">
      <c r="A9" s="250" t="s">
        <v>543</v>
      </c>
    </row>
    <row r="10" customFormat="false" ht="15" hidden="false" customHeight="false" outlineLevel="0" collapsed="false">
      <c r="A10" s="219" t="s">
        <v>544</v>
      </c>
      <c r="B10" s="403" t="n">
        <f aca="false">(1-VCM!B6)*B5+VCM!B6*B11</f>
        <v>29.3559059010205</v>
      </c>
    </row>
    <row r="11" customFormat="false" ht="15" hidden="false" customHeight="false" outlineLevel="0" collapsed="false">
      <c r="A11" s="219" t="s">
        <v>545</v>
      </c>
      <c r="B11" s="403" t="n">
        <f aca="false">C11*'Balance Sheet'!G76/1000000</f>
        <v>14.98610388275</v>
      </c>
      <c r="C11" s="397" t="n">
        <v>0.5</v>
      </c>
    </row>
    <row r="12" customFormat="false" ht="15" hidden="false" customHeight="false" outlineLevel="0" collapsed="false">
      <c r="A12" s="219" t="s">
        <v>546</v>
      </c>
      <c r="B12" s="403" t="n">
        <f aca="false">(C12*Drivers!F79+'Balance Sheet'!G7-'Balance Sheet'!G48-'Balance Sheet'!G61)/1000000</f>
        <v>66.2208447629858</v>
      </c>
      <c r="C12" s="401" t="n">
        <v>5.7</v>
      </c>
    </row>
    <row r="13" customFormat="false" ht="15" hidden="false" customHeight="false" outlineLevel="0" collapsed="false">
      <c r="A13" s="219" t="s">
        <v>547</v>
      </c>
      <c r="B13" s="403" t="n">
        <f aca="false">(C13*Drivers!F79+'Balance Sheet'!G7-'Balance Sheet'!G48-'Balance Sheet'!G61)/1000000</f>
        <v>92.4045140426731</v>
      </c>
      <c r="C13" s="401" t="n">
        <v>8</v>
      </c>
    </row>
    <row r="14" customFormat="false" ht="15" hidden="false" customHeight="false" outlineLevel="0" collapsed="false">
      <c r="A14" s="219" t="s">
        <v>548</v>
      </c>
      <c r="B14" s="403" t="n">
        <f aca="false">C14*'Income Statement'!E80/1000000</f>
        <v>61.843914840244</v>
      </c>
      <c r="C14" s="401" t="n">
        <v>9.4</v>
      </c>
    </row>
    <row r="16" customFormat="false" ht="15" hidden="false" customHeight="false" outlineLevel="0" collapsed="false">
      <c r="A16" s="250" t="s">
        <v>549</v>
      </c>
    </row>
    <row r="17" customFormat="false" ht="23.85" hidden="false" customHeight="false" outlineLevel="0" collapsed="false">
      <c r="A17" s="247" t="s">
        <v>531</v>
      </c>
      <c r="B17" s="247" t="s">
        <v>503</v>
      </c>
      <c r="C17" s="247" t="s">
        <v>550</v>
      </c>
      <c r="D17" s="247" t="s">
        <v>504</v>
      </c>
      <c r="E17" s="247" t="s">
        <v>551</v>
      </c>
    </row>
    <row r="18" customFormat="false" ht="15" hidden="false" customHeight="false" outlineLevel="0" collapsed="false">
      <c r="A18" s="219" t="s">
        <v>552</v>
      </c>
      <c r="B18" s="403" t="n">
        <f aca="false">MIN(Sensitivity!C7:E9)</f>
        <v>27.5209754500936</v>
      </c>
      <c r="C18" s="404" t="n">
        <f aca="false">B5</f>
        <v>38.9357739132009</v>
      </c>
      <c r="D18" s="403" t="n">
        <f aca="false">MAX(Sensitivity!C7:E9)</f>
        <v>56.7989464770092</v>
      </c>
      <c r="E18" s="245" t="s">
        <v>553</v>
      </c>
    </row>
    <row r="19" customFormat="false" ht="15" hidden="false" customHeight="false" outlineLevel="0" collapsed="false">
      <c r="A19" s="219" t="s">
        <v>554</v>
      </c>
      <c r="B19" s="403" t="n">
        <f aca="false">MIN(Sensitivity!C16:E18)</f>
        <v>10.9810134418601</v>
      </c>
      <c r="C19" s="404" t="n">
        <f aca="false">B6</f>
        <v>24.7530142793452</v>
      </c>
      <c r="D19" s="403" t="n">
        <f aca="false">MAX(Sensitivity!C16:E18)</f>
        <v>40.0841095512626</v>
      </c>
      <c r="E19" s="245" t="s">
        <v>555</v>
      </c>
    </row>
    <row r="20" customFormat="false" ht="15" hidden="false" customHeight="false" outlineLevel="0" collapsed="false">
      <c r="A20" s="219" t="s">
        <v>556</v>
      </c>
      <c r="B20" s="403" t="n">
        <f aca="false">B12</f>
        <v>66.2208447629858</v>
      </c>
      <c r="C20" s="404" t="n">
        <f aca="false">AVERAGE(B12:B13)</f>
        <v>79.3126794028295</v>
      </c>
      <c r="D20" s="403" t="n">
        <f aca="false">B13</f>
        <v>92.4045140426731</v>
      </c>
      <c r="E20" s="245" t="s">
        <v>557</v>
      </c>
    </row>
    <row r="21" customFormat="false" ht="15" hidden="false" customHeight="false" outlineLevel="0" collapsed="false">
      <c r="A21" s="186" t="s">
        <v>558</v>
      </c>
      <c r="B21" s="403" t="n">
        <f aca="false">AVERAGE(B18,B19)</f>
        <v>19.2509944459768</v>
      </c>
      <c r="C21" s="404" t="n">
        <f aca="false">B7</f>
        <v>31.844394096273</v>
      </c>
      <c r="D21" s="403" t="n">
        <f aca="false">AVERAGE(D18,D19)</f>
        <v>48.4415280141359</v>
      </c>
      <c r="E21" s="245" t="s">
        <v>559</v>
      </c>
    </row>
    <row r="23" customFormat="false" ht="15" hidden="false" customHeight="false" outlineLevel="0" collapsed="false">
      <c r="A23" s="250" t="s">
        <v>560</v>
      </c>
    </row>
    <row r="24" customFormat="false" ht="15" hidden="false" customHeight="false" outlineLevel="0" collapsed="false">
      <c r="A24" s="219" t="s">
        <v>561</v>
      </c>
      <c r="B24" s="404" t="n">
        <f aca="false">C7</f>
        <v>37.6107630979458</v>
      </c>
    </row>
    <row r="25" customFormat="false" ht="15" hidden="false" customHeight="false" outlineLevel="0" collapsed="false">
      <c r="A25" s="219" t="s">
        <v>562</v>
      </c>
      <c r="B25" s="405" t="n">
        <f aca="false">E7</f>
        <v>0.541511453105982</v>
      </c>
    </row>
    <row r="26" customFormat="false" ht="15" hidden="false" customHeight="false" outlineLevel="0" collapsed="false">
      <c r="A26" s="219" t="s">
        <v>563</v>
      </c>
      <c r="B26" s="403" t="n">
        <f aca="false">SUM(Drivers!F114:J114)/1000000</f>
        <v>31.0988418323515</v>
      </c>
    </row>
    <row r="27" customFormat="false" ht="15" hidden="false" customHeight="false" outlineLevel="0" collapsed="false">
      <c r="A27" s="219" t="s">
        <v>564</v>
      </c>
      <c r="B27" s="403" t="n">
        <f aca="false">B24+B26</f>
        <v>68.7096049302973</v>
      </c>
    </row>
    <row r="28" customFormat="false" ht="15" hidden="false" customHeight="false" outlineLevel="0" collapsed="false">
      <c r="A28" s="186" t="str">
        <f aca="false">IF(ISNUMBER(B25),CONCATENATE("Pitch: Kêu gọi ",FIXED(B24,1)," tỷ đồng tương ứng ",FIXED(B25*100,1),"% cổ phần; pre-money ",FIXED(B7,1)," tỷ đồng."),"Pre-money ≤ 0: kịch bản này không đủ điều kiện gọi vốn cổ phần")</f>
        <v>Pitch: Kêu gọi 37.6 tỷ đồng tương ứng 54.2% cổ phần; pre-money 31.8 tỷ đồng.</v>
      </c>
    </row>
    <row r="30" customFormat="false" ht="15" hidden="false" customHeight="false" outlineLevel="0" collapsed="false">
      <c r="A30" s="250" t="s">
        <v>565</v>
      </c>
    </row>
    <row r="31" customFormat="false" ht="15" hidden="false" customHeight="false" outlineLevel="0" collapsed="false">
      <c r="A31" s="245" t="s">
        <v>566</v>
      </c>
    </row>
    <row r="32" customFormat="false" ht="23.85" hidden="false" customHeight="false" outlineLevel="0" collapsed="false">
      <c r="A32" s="247" t="s">
        <v>235</v>
      </c>
      <c r="B32" s="247" t="str">
        <f aca="false">"Đang chạy: "&amp;Drivers!D3</f>
        <v>Đang chạy: Base</v>
      </c>
      <c r="C32" s="247" t="s">
        <v>567</v>
      </c>
      <c r="D32" s="247" t="s">
        <v>568</v>
      </c>
      <c r="E32" s="247" t="s">
        <v>569</v>
      </c>
      <c r="F32" s="247" t="s">
        <v>570</v>
      </c>
      <c r="G32" s="247" t="s">
        <v>571</v>
      </c>
    </row>
    <row r="33" customFormat="false" ht="15" hidden="false" customHeight="false" outlineLevel="0" collapsed="false">
      <c r="A33" s="219" t="s">
        <v>572</v>
      </c>
      <c r="B33" s="404" t="n">
        <f aca="false">'Income Statement'!I13/1000000</f>
        <v>170.317748046407</v>
      </c>
      <c r="C33" s="407" t="n">
        <v>116.89912442438</v>
      </c>
      <c r="D33" s="407" t="n">
        <v>214.755888215365</v>
      </c>
      <c r="E33" s="407" t="n">
        <v>174.741926152093</v>
      </c>
      <c r="F33" s="407" t="n">
        <v>170.317748046407</v>
      </c>
      <c r="G33" s="407" t="n">
        <v>170.317748046407</v>
      </c>
    </row>
    <row r="34" customFormat="false" ht="15" hidden="false" customHeight="false" outlineLevel="0" collapsed="false">
      <c r="A34" s="219" t="s">
        <v>573</v>
      </c>
      <c r="B34" s="405" t="n">
        <f aca="false">('Income Statement'!I13/'Income Statement'!D13)^(1/5)-1</f>
        <v>0.290708646106224</v>
      </c>
      <c r="C34" s="408" t="n">
        <v>0.19712221396895</v>
      </c>
      <c r="D34" s="408" t="n">
        <v>0.351964394403047</v>
      </c>
      <c r="E34" s="408" t="n">
        <v>0.297345535832646</v>
      </c>
      <c r="F34" s="408" t="n">
        <v>0.290708646106224</v>
      </c>
      <c r="G34" s="408" t="n">
        <v>0.290708646106224</v>
      </c>
    </row>
    <row r="35" customFormat="false" ht="15" hidden="false" customHeight="false" outlineLevel="0" collapsed="false">
      <c r="A35" s="219" t="s">
        <v>574</v>
      </c>
      <c r="B35" s="405" t="n">
        <f aca="false">'Income Statement'!I65/'Income Statement'!I13</f>
        <v>0.202178779341621</v>
      </c>
      <c r="C35" s="408" t="n">
        <v>0.134680571987898</v>
      </c>
      <c r="D35" s="408" t="n">
        <v>0.236717269833196</v>
      </c>
      <c r="E35" s="408" t="n">
        <v>0.205576458474854</v>
      </c>
      <c r="F35" s="408" t="n">
        <v>0.202178779341621</v>
      </c>
      <c r="G35" s="408" t="n">
        <v>0.202178779341621</v>
      </c>
    </row>
    <row r="36" customFormat="false" ht="15" hidden="false" customHeight="false" outlineLevel="0" collapsed="false">
      <c r="A36" s="219" t="s">
        <v>575</v>
      </c>
      <c r="B36" s="404" t="n">
        <f aca="false">'Income Statement'!I80/1000000</f>
        <v>13.8547081054738</v>
      </c>
      <c r="C36" s="407" t="n">
        <v>0.741524451807471</v>
      </c>
      <c r="D36" s="407" t="n">
        <v>25.7551750415791</v>
      </c>
      <c r="E36" s="407" t="n">
        <v>12.0783670152248</v>
      </c>
      <c r="F36" s="407" t="n">
        <v>15.5962432480855</v>
      </c>
      <c r="G36" s="407" t="n">
        <v>13.4193243198209</v>
      </c>
    </row>
    <row r="37" customFormat="false" ht="15" hidden="false" customHeight="false" outlineLevel="0" collapsed="false">
      <c r="A37" s="219" t="s">
        <v>576</v>
      </c>
      <c r="B37" s="404" t="n">
        <f aca="false">SUM(DCF!C10:G10)/1000000</f>
        <v>-38.9101417044818</v>
      </c>
      <c r="C37" s="407" t="n">
        <v>-48.9284577387253</v>
      </c>
      <c r="D37" s="407" t="n">
        <v>-29.3028257591151</v>
      </c>
      <c r="E37" s="407" t="n">
        <v>-58.6164081489496</v>
      </c>
      <c r="F37" s="407" t="n">
        <v>-38.9101417044818</v>
      </c>
      <c r="G37" s="407" t="n">
        <v>-38.9101417044818</v>
      </c>
    </row>
    <row r="38" customFormat="false" ht="15" hidden="false" customHeight="false" outlineLevel="0" collapsed="false">
      <c r="A38" s="219" t="s">
        <v>577</v>
      </c>
      <c r="B38" s="404" t="n">
        <f aca="false">'Pro Forma'!B63/1000000</f>
        <v>37.6107630979458</v>
      </c>
      <c r="C38" s="407" t="n">
        <v>48.2462503367326</v>
      </c>
      <c r="D38" s="407" t="n">
        <v>32.9869343761415</v>
      </c>
      <c r="E38" s="407" t="n">
        <v>45.1512100082203</v>
      </c>
      <c r="F38" s="407" t="n">
        <v>59.5826123012385</v>
      </c>
      <c r="G38" s="407" t="n">
        <v>34.6003952085742</v>
      </c>
    </row>
    <row r="39" customFormat="false" ht="15" hidden="false" customHeight="false" outlineLevel="0" collapsed="false">
      <c r="A39" s="219" t="s">
        <v>578</v>
      </c>
      <c r="B39" s="404" t="n">
        <f aca="false">SUM(Drivers!F114:J114)/1000000</f>
        <v>31.0988418323515</v>
      </c>
      <c r="C39" s="407" t="n">
        <v>26.7232236071539</v>
      </c>
      <c r="D39" s="407" t="n">
        <v>34.1350185294756</v>
      </c>
      <c r="E39" s="407" t="n">
        <v>39.5054538456031</v>
      </c>
      <c r="F39" s="407" t="n">
        <v>0</v>
      </c>
      <c r="G39" s="407" t="n">
        <v>38.8735522904393</v>
      </c>
    </row>
    <row r="40" customFormat="false" ht="15" hidden="false" customHeight="false" outlineLevel="0" collapsed="false">
      <c r="A40" s="219" t="s">
        <v>197</v>
      </c>
      <c r="B40" s="405" t="n">
        <f aca="false">'Discount rate'!E5</f>
        <v>0.138360839936764</v>
      </c>
      <c r="C40" s="408" t="n">
        <v>0.137565220514249</v>
      </c>
      <c r="D40" s="408" t="n">
        <v>0.138754913860505</v>
      </c>
      <c r="E40" s="408" t="n">
        <v>0.132941644517362</v>
      </c>
      <c r="F40" s="408" t="n">
        <v>0.132895436355552</v>
      </c>
      <c r="G40" s="408" t="n">
        <v>0.139461032458486</v>
      </c>
    </row>
    <row r="41" customFormat="false" ht="15" hidden="false" customHeight="false" outlineLevel="0" collapsed="false">
      <c r="A41" s="219" t="s">
        <v>579</v>
      </c>
      <c r="B41" s="404" t="n">
        <f aca="false">B5</f>
        <v>38.9357739132009</v>
      </c>
      <c r="C41" s="407" t="n">
        <v>-25.933596799514</v>
      </c>
      <c r="D41" s="407" t="n">
        <v>97.3523200671171</v>
      </c>
      <c r="E41" s="407" t="n">
        <v>31.9334177515774</v>
      </c>
      <c r="F41" s="407" t="n">
        <v>45.1999839476426</v>
      </c>
      <c r="G41" s="407" t="n">
        <v>37.7763446008908</v>
      </c>
    </row>
    <row r="42" customFormat="false" ht="15" hidden="false" customHeight="false" outlineLevel="0" collapsed="false">
      <c r="A42" s="219" t="s">
        <v>580</v>
      </c>
      <c r="B42" s="404" t="n">
        <f aca="false">B6</f>
        <v>24.7530142793452</v>
      </c>
      <c r="C42" s="407" t="n">
        <v>-28.4791652929517</v>
      </c>
      <c r="D42" s="407" t="n">
        <v>68.0135314641312</v>
      </c>
      <c r="E42" s="407" t="n">
        <v>16.0133559121635</v>
      </c>
      <c r="F42" s="407" t="n">
        <v>11.7037190716273</v>
      </c>
      <c r="G42" s="407" t="n">
        <v>26.0524173983647</v>
      </c>
    </row>
    <row r="43" customFormat="false" ht="15" hidden="false" customHeight="false" outlineLevel="0" collapsed="false">
      <c r="A43" s="219" t="s">
        <v>581</v>
      </c>
      <c r="B43" s="404" t="n">
        <f aca="false">B7</f>
        <v>31.844394096273</v>
      </c>
      <c r="C43" s="407" t="n">
        <v>-27.2063810462328</v>
      </c>
      <c r="D43" s="407" t="n">
        <v>82.6829257656242</v>
      </c>
      <c r="E43" s="407" t="n">
        <v>23.9733868318704</v>
      </c>
      <c r="F43" s="407" t="n">
        <v>28.4518515096349</v>
      </c>
      <c r="G43" s="407" t="n">
        <v>31.9143809996278</v>
      </c>
    </row>
    <row r="44" customFormat="false" ht="15" hidden="false" customHeight="false" outlineLevel="0" collapsed="false">
      <c r="A44" s="219" t="s">
        <v>582</v>
      </c>
      <c r="B44" s="405" t="n">
        <f aca="false">E7</f>
        <v>0.541511453105982</v>
      </c>
      <c r="C44" s="408" t="s">
        <v>583</v>
      </c>
      <c r="D44" s="408" t="n">
        <v>0.285181760708559</v>
      </c>
      <c r="E44" s="408" t="n">
        <v>0.653185871198219</v>
      </c>
      <c r="F44" s="408" t="n">
        <v>0.676810077803635</v>
      </c>
      <c r="G44" s="408" t="n">
        <v>0.520191109119415</v>
      </c>
    </row>
    <row r="45" customFormat="false" ht="15" hidden="false" customHeight="false" outlineLevel="0" collapsed="false">
      <c r="A45" s="219" t="s">
        <v>584</v>
      </c>
      <c r="B45" s="405" t="n">
        <f aca="false">IF(ISNUMBER(E7),1-E7,"n.m.")</f>
        <v>0.458488546894018</v>
      </c>
      <c r="C45" s="408" t="s">
        <v>583</v>
      </c>
      <c r="D45" s="408" t="n">
        <v>0.714818239291441</v>
      </c>
      <c r="E45" s="408" t="n">
        <v>0.346814128801781</v>
      </c>
      <c r="F45" s="408" t="n">
        <v>0.323189922196365</v>
      </c>
      <c r="G45" s="408" t="n">
        <v>0.479808890880586</v>
      </c>
    </row>
    <row r="48" customFormat="false" ht="15" hidden="false" customHeight="false" outlineLevel="0" collapsed="false">
      <c r="A48" s="250" t="s">
        <v>585</v>
      </c>
    </row>
    <row r="49" customFormat="false" ht="15" hidden="false" customHeight="false" outlineLevel="0" collapsed="false">
      <c r="A49" s="219" t="s">
        <v>586</v>
      </c>
      <c r="B49" s="403" t="n">
        <f aca="false">C7</f>
        <v>37.6107630979458</v>
      </c>
    </row>
    <row r="50" customFormat="false" ht="15" hidden="false" customHeight="false" outlineLevel="0" collapsed="false">
      <c r="A50" s="219" t="s">
        <v>587</v>
      </c>
      <c r="B50" s="397" t="n">
        <v>0.55</v>
      </c>
    </row>
    <row r="51" customFormat="false" ht="15" hidden="false" customHeight="false" outlineLevel="0" collapsed="false">
      <c r="A51" s="219" t="s">
        <v>588</v>
      </c>
      <c r="B51" s="403" t="n">
        <f aca="false">B49*B50</f>
        <v>20.6859197038702</v>
      </c>
    </row>
    <row r="52" customFormat="false" ht="15" hidden="false" customHeight="false" outlineLevel="0" collapsed="false">
      <c r="A52" s="219" t="s">
        <v>589</v>
      </c>
      <c r="B52" s="403" t="n">
        <f aca="false">B7</f>
        <v>31.844394096273</v>
      </c>
    </row>
    <row r="53" customFormat="false" ht="15" hidden="false" customHeight="false" outlineLevel="0" collapsed="false">
      <c r="A53" s="219" t="s">
        <v>590</v>
      </c>
      <c r="B53" s="373" t="n">
        <f aca="false">IF(B52&lt;=0,"n.m.",B51/(B52+B51))</f>
        <v>0.393790141489956</v>
      </c>
    </row>
    <row r="54" customFormat="false" ht="15" hidden="false" customHeight="false" outlineLevel="0" collapsed="false">
      <c r="A54" s="219" t="s">
        <v>591</v>
      </c>
      <c r="B54" s="403" t="n">
        <f aca="false">B49-B51</f>
        <v>16.9248433940756</v>
      </c>
    </row>
    <row r="55" customFormat="false" ht="15" hidden="false" customHeight="false" outlineLevel="0" collapsed="false">
      <c r="A55" s="219" t="s">
        <v>592</v>
      </c>
      <c r="B55" s="397" t="n">
        <v>0.25</v>
      </c>
    </row>
    <row r="56" customFormat="false" ht="15" hidden="false" customHeight="false" outlineLevel="0" collapsed="false">
      <c r="A56" s="219" t="s">
        <v>593</v>
      </c>
      <c r="B56" s="409" t="n">
        <f aca="false">VCM!B5-2</f>
        <v>3</v>
      </c>
    </row>
    <row r="57" customFormat="false" ht="15" hidden="false" customHeight="false" outlineLevel="0" collapsed="false">
      <c r="A57" s="219" t="s">
        <v>594</v>
      </c>
      <c r="B57" s="403" t="n">
        <f aca="false">VCM!E6/1000000*(1-B55)/(1+VCM!B7)^B56</f>
        <v>101.018826793901</v>
      </c>
    </row>
    <row r="58" customFormat="false" ht="15" hidden="false" customHeight="false" outlineLevel="0" collapsed="false">
      <c r="A58" s="219" t="s">
        <v>595</v>
      </c>
      <c r="B58" s="373" t="n">
        <f aca="false">B54/B57</f>
        <v>0.167541476487405</v>
      </c>
    </row>
    <row r="59" customFormat="false" ht="15" hidden="false" customHeight="false" outlineLevel="0" collapsed="false">
      <c r="A59" s="186" t="s">
        <v>596</v>
      </c>
      <c r="B59" s="405" t="n">
        <f aca="false">IF(ISNUMBER(B53),B53*(1-B58)+B58,"n.m.")</f>
        <v>0.49535543624595</v>
      </c>
    </row>
    <row r="60" customFormat="false" ht="15" hidden="false" customHeight="false" outlineLevel="0" collapsed="false">
      <c r="A60" s="186" t="s">
        <v>597</v>
      </c>
      <c r="B60" s="405" t="n">
        <f aca="false">IF(ISNUMBER(B59),1-B59,"n.m.")</f>
        <v>0.50464456375405</v>
      </c>
    </row>
    <row r="61" customFormat="false" ht="15" hidden="false" customHeight="false" outlineLevel="0" collapsed="false">
      <c r="A61" s="219" t="s">
        <v>598</v>
      </c>
      <c r="B61" s="373" t="n">
        <f aca="false">E7</f>
        <v>0.541511453105982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B1E2B"/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64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8" min="2" style="0" width="14"/>
  </cols>
  <sheetData>
    <row r="1" customFormat="false" ht="16.15" hidden="false" customHeight="false" outlineLevel="0" collapsed="false">
      <c r="A1" s="402" t="s">
        <v>599</v>
      </c>
    </row>
    <row r="2" customFormat="false" ht="15" hidden="false" customHeight="false" outlineLevel="0" collapsed="false">
      <c r="A2" s="245" t="s">
        <v>600</v>
      </c>
    </row>
    <row r="4" customFormat="false" ht="15" hidden="false" customHeight="false" outlineLevel="0" collapsed="false">
      <c r="A4" s="186" t="s">
        <v>601</v>
      </c>
    </row>
    <row r="5" customFormat="false" ht="15" hidden="false" customHeight="false" outlineLevel="0" collapsed="false">
      <c r="A5" s="247" t="s">
        <v>602</v>
      </c>
      <c r="B5" s="410" t="n">
        <f aca="false">Assumption!$D$16+(-0.02)</f>
        <v>0.03</v>
      </c>
      <c r="C5" s="410" t="n">
        <f aca="false">Assumption!$D$16+(-0.01)</f>
        <v>0.04</v>
      </c>
      <c r="D5" s="410" t="n">
        <f aca="false">Assumption!$D$16+(0)</f>
        <v>0.05</v>
      </c>
      <c r="E5" s="410" t="n">
        <f aca="false">Assumption!$D$16+(0.01)</f>
        <v>0.06</v>
      </c>
      <c r="F5" s="410" t="n">
        <f aca="false">Assumption!$D$16+(0.02)</f>
        <v>0.07</v>
      </c>
    </row>
    <row r="6" customFormat="false" ht="15" hidden="false" customHeight="false" outlineLevel="0" collapsed="false">
      <c r="A6" s="410" t="n">
        <f aca="false">Assumption!$D$18+(-0.02)</f>
        <v>0.118360839936764</v>
      </c>
      <c r="B6" s="262" t="n">
        <f aca="false">(SUMPRODUCT(DCF!$C$10:$G$10,1/(1+$A6)^DCF!$C$3:$G$3)+(DCF!$G$5*(1+B$5)*(1-B$5/Assumption!$D$19)/($A6-B$5))/(1+$A6)^DCF!$G$3+'Balance Sheet'!$G$7-'Balance Sheet'!$G$48-'Balance Sheet'!$G$61)/1000000</f>
        <v>54.8279430290814</v>
      </c>
      <c r="C6" s="262" t="n">
        <f aca="false">(SUMPRODUCT(DCF!$C$10:$G$10,1/(1+$A6)^DCF!$C$3:$G$3)+(DCF!$G$5*(1+C$5)*(1-C$5/Assumption!$D$19)/($A6-C$5))/(1+$A6)^DCF!$G$3+'Balance Sheet'!$G$7-'Balance Sheet'!$G$48-'Balance Sheet'!$G$61)/1000000</f>
        <v>60.298613883322</v>
      </c>
      <c r="D6" s="262" t="n">
        <f aca="false">(SUMPRODUCT(DCF!$C$10:$G$10,1/(1+$A6)^DCF!$C$3:$G$3)+(DCF!$G$5*(1+D$5)*(1-D$5/Assumption!$D$19)/($A6-D$5))/(1+$A6)^DCF!$G$3+'Balance Sheet'!$G$7-'Balance Sheet'!$G$48-'Balance Sheet'!$G$61)/1000000</f>
        <v>67.2237239890328</v>
      </c>
      <c r="E6" s="262" t="n">
        <f aca="false">(SUMPRODUCT(DCF!$C$10:$G$10,1/(1+$A6)^DCF!$C$3:$G$3)+(DCF!$G$5*(1+E$5)*(1-E$5/Assumption!$D$19)/($A6-E$5))/(1+$A6)^DCF!$G$3+'Balance Sheet'!$G$7-'Balance Sheet'!$G$48-'Balance Sheet'!$G$61)/1000000</f>
        <v>76.3509181297945</v>
      </c>
      <c r="F6" s="262" t="n">
        <f aca="false">(SUMPRODUCT(DCF!$C$10:$G$10,1/(1+$A6)^DCF!$C$3:$G$3)+(DCF!$G$5*(1+F$5)*(1-F$5/Assumption!$D$19)/($A6-F$5))/(1+$A6)^DCF!$G$3+'Balance Sheet'!$G$7-'Balance Sheet'!$G$48-'Balance Sheet'!$G$61)/1000000</f>
        <v>89.0462296734706</v>
      </c>
    </row>
    <row r="7" customFormat="false" ht="15" hidden="false" customHeight="false" outlineLevel="0" collapsed="false">
      <c r="A7" s="410" t="n">
        <f aca="false">Assumption!$D$18+(-0.01)</f>
        <v>0.128360839936764</v>
      </c>
      <c r="B7" s="262" t="n">
        <f aca="false">(SUMPRODUCT(DCF!$C$10:$G$10,1/(1+$A7)^DCF!$C$3:$G$3)+(DCF!$G$5*(1+B$5)*(1-B$5/Assumption!$D$19)/($A7-B$5))/(1+$A7)^DCF!$G$3+'Balance Sheet'!$G$7-'Balance Sheet'!$G$48-'Balance Sheet'!$G$61)/1000000</f>
        <v>42.9501488476064</v>
      </c>
      <c r="C7" s="262" t="n">
        <f aca="false">(SUMPRODUCT(DCF!$C$10:$G$10,1/(1+$A7)^DCF!$C$3:$G$3)+(DCF!$G$5*(1+C$5)*(1-C$5/Assumption!$D$19)/($A7-C$5))/(1+$A7)^DCF!$G$3+'Balance Sheet'!$G$7-'Balance Sheet'!$G$48-'Balance Sheet'!$G$61)/1000000</f>
        <v>46.6296496669979</v>
      </c>
      <c r="D7" s="262" t="n">
        <f aca="false">(SUMPRODUCT(DCF!$C$10:$G$10,1/(1+$A7)^DCF!$C$3:$G$3)+(DCF!$G$5*(1+D$5)*(1-D$5/Assumption!$D$19)/($A7-D$5))/(1+$A7)^DCF!$G$3+'Balance Sheet'!$G$7-'Balance Sheet'!$G$48-'Balance Sheet'!$G$61)/1000000</f>
        <v>51.1263704929234</v>
      </c>
      <c r="E7" s="262" t="n">
        <f aca="false">(SUMPRODUCT(DCF!$C$10:$G$10,1/(1+$A7)^DCF!$C$3:$G$3)+(DCF!$G$5*(1+E$5)*(1-E$5/Assumption!$D$19)/($A7-E$5))/(1+$A7)^DCF!$G$3+'Balance Sheet'!$G$7-'Balance Sheet'!$G$48-'Balance Sheet'!$G$61)/1000000</f>
        <v>56.7989464770092</v>
      </c>
      <c r="F7" s="262" t="n">
        <f aca="false">(SUMPRODUCT(DCF!$C$10:$G$10,1/(1+$A7)^DCF!$C$3:$G$3)+(DCF!$G$5*(1+F$5)*(1-F$5/Assumption!$D$19)/($A7-F$5))/(1+$A7)^DCF!$G$3+'Balance Sheet'!$G$7-'Balance Sheet'!$G$48-'Balance Sheet'!$G$61)/1000000</f>
        <v>64.2518181102255</v>
      </c>
    </row>
    <row r="8" customFormat="false" ht="15" hidden="false" customHeight="false" outlineLevel="0" collapsed="false">
      <c r="A8" s="410" t="n">
        <f aca="false">Assumption!$D$18+(0)</f>
        <v>0.138360839936764</v>
      </c>
      <c r="B8" s="262" t="n">
        <f aca="false">(SUMPRODUCT(DCF!$C$10:$G$10,1/(1+$A8)^DCF!$C$3:$G$3)+(DCF!$G$5*(1+B$5)*(1-B$5/Assumption!$D$19)/($A8-B$5))/(1+$A8)^DCF!$G$3+'Balance Sheet'!$G$7-'Balance Sheet'!$G$48-'Balance Sheet'!$G$61)/1000000</f>
        <v>33.4971722930856</v>
      </c>
      <c r="C8" s="262" t="n">
        <f aca="false">(SUMPRODUCT(DCF!$C$10:$G$10,1/(1+$A8)^DCF!$C$3:$G$3)+(DCF!$G$5*(1+C$5)*(1-C$5/Assumption!$D$19)/($A8-C$5))/(1+$A8)^DCF!$G$3+'Balance Sheet'!$G$7-'Balance Sheet'!$G$48-'Balance Sheet'!$G$61)/1000000</f>
        <v>35.9864715667601</v>
      </c>
      <c r="D8" s="411" t="n">
        <f aca="false">(SUMPRODUCT(DCF!$C$10:$G$10,1/(1+$A8)^DCF!$C$3:$G$3)+(DCF!$G$5*(1+D$5)*(1-D$5/Assumption!$D$19)/($A8-D$5))/(1+$A8)^DCF!$G$3+'Balance Sheet'!$G$7-'Balance Sheet'!$G$48-'Balance Sheet'!$G$61)/1000000</f>
        <v>38.9357739132009</v>
      </c>
      <c r="E8" s="262" t="n">
        <f aca="false">(SUMPRODUCT(DCF!$C$10:$G$10,1/(1+$A8)^DCF!$C$3:$G$3)+(DCF!$G$5*(1+E$5)*(1-E$5/Assumption!$D$19)/($A8-E$5))/(1+$A8)^DCF!$G$3+'Balance Sheet'!$G$7-'Balance Sheet'!$G$48-'Balance Sheet'!$G$61)/1000000</f>
        <v>42.5211888814395</v>
      </c>
      <c r="F8" s="262" t="n">
        <f aca="false">(SUMPRODUCT(DCF!$C$10:$G$10,1/(1+$A8)^DCF!$C$3:$G$3)+(DCF!$G$5*(1+F$5)*(1-F$5/Assumption!$D$19)/($A8-F$5))/(1+$A8)^DCF!$G$3+'Balance Sheet'!$G$7-'Balance Sheet'!$G$48-'Balance Sheet'!$G$61)/1000000</f>
        <v>47.0218730569067</v>
      </c>
    </row>
    <row r="9" customFormat="false" ht="15" hidden="false" customHeight="false" outlineLevel="0" collapsed="false">
      <c r="A9" s="410" t="n">
        <f aca="false">Assumption!$D$18+(0.01)</f>
        <v>0.148360839936764</v>
      </c>
      <c r="B9" s="262" t="n">
        <f aca="false">(SUMPRODUCT(DCF!$C$10:$G$10,1/(1+$A9)^DCF!$C$3:$G$3)+(DCF!$G$5*(1+B$5)*(1-B$5/Assumption!$D$19)/($A9-B$5))/(1+$A9)^DCF!$G$3+'Balance Sheet'!$G$7-'Balance Sheet'!$G$48-'Balance Sheet'!$G$61)/1000000</f>
        <v>25.8443638867388</v>
      </c>
      <c r="C9" s="262" t="n">
        <f aca="false">(SUMPRODUCT(DCF!$C$10:$G$10,1/(1+$A9)^DCF!$C$3:$G$3)+(DCF!$G$5*(1+C$5)*(1-C$5/Assumption!$D$19)/($A9-C$5))/(1+$A9)^DCF!$G$3+'Balance Sheet'!$G$7-'Balance Sheet'!$G$48-'Balance Sheet'!$G$61)/1000000</f>
        <v>27.5209754500936</v>
      </c>
      <c r="D9" s="262" t="n">
        <f aca="false">(SUMPRODUCT(DCF!$C$10:$G$10,1/(1+$A9)^DCF!$C$3:$G$3)+(DCF!$G$5*(1+D$5)*(1-D$5/Assumption!$D$19)/($A9-D$5))/(1+$A9)^DCF!$G$3+'Balance Sheet'!$G$7-'Balance Sheet'!$G$48-'Balance Sheet'!$G$61)/1000000</f>
        <v>29.4495529357517</v>
      </c>
      <c r="E9" s="262" t="n">
        <f aca="false">(SUMPRODUCT(DCF!$C$10:$G$10,1/(1+$A9)^DCF!$C$3:$G$3)+(DCF!$G$5*(1+E$5)*(1-E$5/Assumption!$D$19)/($A9-E$5))/(1+$A9)^DCF!$G$3+'Balance Sheet'!$G$7-'Balance Sheet'!$G$48-'Balance Sheet'!$G$61)/1000000</f>
        <v>31.7156430369601</v>
      </c>
      <c r="F9" s="262" t="n">
        <f aca="false">(SUMPRODUCT(DCF!$C$10:$G$10,1/(1+$A9)^DCF!$C$3:$G$3)+(DCF!$G$5*(1+F$5)*(1-F$5/Assumption!$D$19)/($A9-F$5))/(1+$A9)^DCF!$G$3+'Balance Sheet'!$G$7-'Balance Sheet'!$G$48-'Balance Sheet'!$G$61)/1000000</f>
        <v>34.4484605308277</v>
      </c>
    </row>
    <row r="10" customFormat="false" ht="15" hidden="false" customHeight="false" outlineLevel="0" collapsed="false">
      <c r="A10" s="410" t="n">
        <f aca="false">Assumption!$D$18+(0.02)</f>
        <v>0.158360839936764</v>
      </c>
      <c r="B10" s="262" t="n">
        <f aca="false">(SUMPRODUCT(DCF!$C$10:$G$10,1/(1+$A10)^DCF!$C$3:$G$3)+(DCF!$G$5*(1+B$5)*(1-B$5/Assumption!$D$19)/($A10-B$5))/(1+$A10)^DCF!$G$3+'Balance Sheet'!$G$7-'Balance Sheet'!$G$48-'Balance Sheet'!$G$61)/1000000</f>
        <v>19.562249899058</v>
      </c>
      <c r="C10" s="262" t="n">
        <f aca="false">(SUMPRODUCT(DCF!$C$10:$G$10,1/(1+$A10)^DCF!$C$3:$G$3)+(DCF!$G$5*(1+C$5)*(1-C$5/Assumption!$D$19)/($A10-C$5))/(1+$A10)^DCF!$G$3+'Balance Sheet'!$G$7-'Balance Sheet'!$G$48-'Balance Sheet'!$G$61)/1000000</f>
        <v>20.6722025694224</v>
      </c>
      <c r="D10" s="262" t="n">
        <f aca="false">(SUMPRODUCT(DCF!$C$10:$G$10,1/(1+$A10)^DCF!$C$3:$G$3)+(DCF!$G$5*(1+D$5)*(1-D$5/Assumption!$D$19)/($A10-D$5))/(1+$A10)^DCF!$G$3+'Balance Sheet'!$G$7-'Balance Sheet'!$G$48-'Balance Sheet'!$G$61)/1000000</f>
        <v>21.9097065629902</v>
      </c>
      <c r="E10" s="262" t="n">
        <f aca="false">(SUMPRODUCT(DCF!$C$10:$G$10,1/(1+$A10)^DCF!$C$3:$G$3)+(DCF!$G$5*(1+E$5)*(1-E$5/Assumption!$D$19)/($A10-E$5))/(1+$A10)^DCF!$G$3+'Balance Sheet'!$G$7-'Balance Sheet'!$G$48-'Balance Sheet'!$G$61)/1000000</f>
        <v>23.3136649604849</v>
      </c>
      <c r="F10" s="262" t="n">
        <f aca="false">(SUMPRODUCT(DCF!$C$10:$G$10,1/(1+$A10)^DCF!$C$3:$G$3)+(DCF!$G$5*(1+F$5)*(1-F$5/Assumption!$D$19)/($A10-F$5))/(1+$A10)^DCF!$G$3+'Balance Sheet'!$G$7-'Balance Sheet'!$G$48-'Balance Sheet'!$G$61)/1000000</f>
        <v>24.9405918480263</v>
      </c>
    </row>
    <row r="11" customFormat="false" ht="15" hidden="false" customHeight="false" outlineLevel="0" collapsed="false">
      <c r="A11" s="245" t="s">
        <v>603</v>
      </c>
      <c r="B11" s="254" t="n">
        <f aca="false">ROUND(D8-DCF!B22/1000000,6)</f>
        <v>0</v>
      </c>
    </row>
    <row r="13" customFormat="false" ht="15" hidden="false" customHeight="false" outlineLevel="0" collapsed="false">
      <c r="A13" s="186" t="s">
        <v>604</v>
      </c>
    </row>
    <row r="14" customFormat="false" ht="15" hidden="false" customHeight="false" outlineLevel="0" collapsed="false">
      <c r="A14" s="247" t="s">
        <v>605</v>
      </c>
      <c r="B14" s="412" t="n">
        <v>-0.3</v>
      </c>
      <c r="C14" s="412" t="n">
        <v>-0.15</v>
      </c>
      <c r="D14" s="412" t="n">
        <v>0</v>
      </c>
      <c r="E14" s="412" t="n">
        <v>0.15</v>
      </c>
      <c r="F14" s="412" t="n">
        <v>0.3</v>
      </c>
    </row>
    <row r="15" customFormat="false" ht="15" hidden="false" customHeight="false" outlineLevel="0" collapsed="false">
      <c r="A15" s="413" t="n">
        <v>0.3</v>
      </c>
      <c r="B15" s="262" t="n">
        <f aca="false">(VCM!$E$6*(1+B$14)*(1-$A15)/(1+VCM!$B$7)^VCM!$B$5-VCM!$E$5)/1000000</f>
        <v>13.3196550935085</v>
      </c>
      <c r="C15" s="262" t="n">
        <f aca="false">(VCM!$E$6*(1+C$14)*(1-$A15)/(1+VCM!$B$7)^VCM!$B$5-VCM!$E$5)/1000000</f>
        <v>24.2333161345344</v>
      </c>
      <c r="D15" s="262" t="n">
        <f aca="false">(VCM!$E$6*(1+D$14)*(1-$A15)/(1+VCM!$B$7)^VCM!$B$5-VCM!$E$5)/1000000</f>
        <v>35.1469771755604</v>
      </c>
      <c r="E15" s="262" t="n">
        <f aca="false">(VCM!$E$6*(1+E$14)*(1-$A15)/(1+VCM!$B$7)^VCM!$B$5-VCM!$E$5)/1000000</f>
        <v>46.0606382165863</v>
      </c>
      <c r="F15" s="262" t="n">
        <f aca="false">(VCM!$E$6*(1+F$14)*(1-$A15)/(1+VCM!$B$7)^VCM!$B$5-VCM!$E$5)/1000000</f>
        <v>56.9742992576122</v>
      </c>
    </row>
    <row r="16" customFormat="false" ht="15" hidden="false" customHeight="false" outlineLevel="0" collapsed="false">
      <c r="A16" s="413" t="n">
        <v>0.35</v>
      </c>
      <c r="B16" s="262" t="n">
        <f aca="false">(VCM!$E$6*(1+B$14)*(1-$A16)/(1+VCM!$B$7)^VCM!$B$5-VCM!$E$5)/1000000</f>
        <v>9.6817680798332</v>
      </c>
      <c r="C16" s="262" t="n">
        <f aca="false">(VCM!$E$6*(1+C$14)*(1-$A16)/(1+VCM!$B$7)^VCM!$B$5-VCM!$E$5)/1000000</f>
        <v>19.815881903643</v>
      </c>
      <c r="D16" s="262" t="n">
        <f aca="false">(VCM!$E$6*(1+D$14)*(1-$A16)/(1+VCM!$B$7)^VCM!$B$5-VCM!$E$5)/1000000</f>
        <v>29.9499957274528</v>
      </c>
      <c r="E16" s="262" t="n">
        <f aca="false">(VCM!$E$6*(1+E$14)*(1-$A16)/(1+VCM!$B$7)^VCM!$B$5-VCM!$E$5)/1000000</f>
        <v>40.0841095512626</v>
      </c>
      <c r="F16" s="262" t="n">
        <f aca="false">(VCM!$E$6*(1+F$14)*(1-$A16)/(1+VCM!$B$7)^VCM!$B$5-VCM!$E$5)/1000000</f>
        <v>50.2182233750724</v>
      </c>
    </row>
    <row r="17" customFormat="false" ht="15" hidden="false" customHeight="false" outlineLevel="0" collapsed="false">
      <c r="A17" s="413" t="n">
        <v>0.4</v>
      </c>
      <c r="B17" s="262" t="n">
        <f aca="false">(VCM!$E$6*(1+B$14)*(1-$A17)/(1+VCM!$B$7)^VCM!$B$5-VCM!$E$5)/1000000</f>
        <v>6.04388106615789</v>
      </c>
      <c r="C17" s="262" t="n">
        <f aca="false">(VCM!$E$6*(1+C$14)*(1-$A17)/(1+VCM!$B$7)^VCM!$B$5-VCM!$E$5)/1000000</f>
        <v>15.3984476727515</v>
      </c>
      <c r="D17" s="411" t="n">
        <f aca="false">(VCM!$E$6*(1+D$14)*(1-$A17)/(1+VCM!$B$7)^VCM!$B$5-VCM!$E$5)/1000000</f>
        <v>24.7530142793452</v>
      </c>
      <c r="E17" s="262" t="n">
        <f aca="false">(VCM!$E$6*(1+E$14)*(1-$A17)/(1+VCM!$B$7)^VCM!$B$5-VCM!$E$5)/1000000</f>
        <v>34.1075808859388</v>
      </c>
      <c r="F17" s="262" t="n">
        <f aca="false">(VCM!$E$6*(1+F$14)*(1-$A17)/(1+VCM!$B$7)^VCM!$B$5-VCM!$E$5)/1000000</f>
        <v>43.4621474925325</v>
      </c>
    </row>
    <row r="18" customFormat="false" ht="15" hidden="false" customHeight="false" outlineLevel="0" collapsed="false">
      <c r="A18" s="413" t="n">
        <v>0.45</v>
      </c>
      <c r="B18" s="262" t="n">
        <f aca="false">(VCM!$E$6*(1+B$14)*(1-$A18)/(1+VCM!$B$7)^VCM!$B$5-VCM!$E$5)/1000000</f>
        <v>2.40599405248258</v>
      </c>
      <c r="C18" s="262" t="n">
        <f aca="false">(VCM!$E$6*(1+C$14)*(1-$A18)/(1+VCM!$B$7)^VCM!$B$5-VCM!$E$5)/1000000</f>
        <v>10.9810134418601</v>
      </c>
      <c r="D18" s="262" t="n">
        <f aca="false">(VCM!$E$6*(1+D$14)*(1-$A18)/(1+VCM!$B$7)^VCM!$B$5-VCM!$E$5)/1000000</f>
        <v>19.5560328312376</v>
      </c>
      <c r="E18" s="262" t="n">
        <f aca="false">(VCM!$E$6*(1+E$14)*(1-$A18)/(1+VCM!$B$7)^VCM!$B$5-VCM!$E$5)/1000000</f>
        <v>28.1310522206151</v>
      </c>
      <c r="F18" s="262" t="n">
        <f aca="false">(VCM!$E$6*(1+F$14)*(1-$A18)/(1+VCM!$B$7)^VCM!$B$5-VCM!$E$5)/1000000</f>
        <v>36.7060716099927</v>
      </c>
    </row>
    <row r="19" customFormat="false" ht="15" hidden="false" customHeight="false" outlineLevel="0" collapsed="false">
      <c r="A19" s="413" t="n">
        <v>0.5</v>
      </c>
      <c r="B19" s="262" t="n">
        <f aca="false">(VCM!$E$6*(1+B$14)*(1-$A19)/(1+VCM!$B$7)^VCM!$B$5-VCM!$E$5)/1000000</f>
        <v>-1.23189296119273</v>
      </c>
      <c r="C19" s="262" t="n">
        <f aca="false">(VCM!$E$6*(1+C$14)*(1-$A19)/(1+VCM!$B$7)^VCM!$B$5-VCM!$E$5)/1000000</f>
        <v>6.56357921096865</v>
      </c>
      <c r="D19" s="262" t="n">
        <f aca="false">(VCM!$E$6*(1+D$14)*(1-$A19)/(1+VCM!$B$7)^VCM!$B$5-VCM!$E$5)/1000000</f>
        <v>14.35905138313</v>
      </c>
      <c r="E19" s="262" t="n">
        <f aca="false">(VCM!$E$6*(1+E$14)*(1-$A19)/(1+VCM!$B$7)^VCM!$B$5-VCM!$E$5)/1000000</f>
        <v>22.1545235552914</v>
      </c>
      <c r="F19" s="262" t="n">
        <f aca="false">(VCM!$E$6*(1+F$14)*(1-$A19)/(1+VCM!$B$7)^VCM!$B$5-VCM!$E$5)/1000000</f>
        <v>29.9499957274528</v>
      </c>
    </row>
    <row r="20" customFormat="false" ht="15" hidden="false" customHeight="false" outlineLevel="0" collapsed="false">
      <c r="A20" s="245" t="s">
        <v>606</v>
      </c>
      <c r="B20" s="254" t="n">
        <f aca="false">ROUND(D17-VCM!E11/1000000,6)</f>
        <v>0</v>
      </c>
    </row>
    <row r="22" customFormat="false" ht="15" hidden="false" customHeight="false" outlineLevel="0" collapsed="false">
      <c r="A22" s="186" t="s">
        <v>607</v>
      </c>
    </row>
    <row r="23" customFormat="false" ht="15" hidden="false" customHeight="false" outlineLevel="0" collapsed="false">
      <c r="A23" s="247" t="s">
        <v>608</v>
      </c>
      <c r="B23" s="410" t="n">
        <f aca="false">Assumption!$D$19+(-0.04)</f>
        <v>0.14</v>
      </c>
      <c r="C23" s="410" t="n">
        <f aca="false">Assumption!$D$19+(-0.02)</f>
        <v>0.16</v>
      </c>
      <c r="D23" s="410" t="n">
        <f aca="false">Assumption!$D$19+(0)</f>
        <v>0.18</v>
      </c>
      <c r="E23" s="410" t="n">
        <f aca="false">Assumption!$D$19+(0.02)</f>
        <v>0.2</v>
      </c>
      <c r="F23" s="410" t="n">
        <f aca="false">Assumption!$D$19+(0.04)</f>
        <v>0.22</v>
      </c>
    </row>
    <row r="24" customFormat="false" ht="15" hidden="false" customHeight="false" outlineLevel="0" collapsed="false">
      <c r="A24" s="410" t="n">
        <f aca="false">Assumption!$D$18+(-0.02)</f>
        <v>0.118360839936764</v>
      </c>
      <c r="B24" s="262" t="n">
        <f aca="false">(SUMPRODUCT(DCF!$C$10:$G$10,1/(1+$A24)^DCF!$C$3:$G$3)+(DCF!$G$5*(1+Assumption!$D$16)*(1-Assumption!$D$16/B$23)/($A24-Assumption!$D$16))/(1+$A24)^DCF!$G$3+'Balance Sheet'!$G$7-'Balance Sheet'!$G$48-'Balance Sheet'!$G$61)/1000000</f>
        <v>56.267091259081</v>
      </c>
      <c r="C24" s="262" t="n">
        <f aca="false">(SUMPRODUCT(DCF!$C$10:$G$10,1/(1+$A24)^DCF!$C$3:$G$3)+(DCF!$G$5*(1+Assumption!$D$16)*(1-Assumption!$D$16/C$23)/($A24-Assumption!$D$16))/(1+$A24)^DCF!$G$3+'Balance Sheet'!$G$7-'Balance Sheet'!$G$48-'Balance Sheet'!$G$61)/1000000</f>
        <v>62.4301971696789</v>
      </c>
      <c r="D24" s="262" t="n">
        <f aca="false">(SUMPRODUCT(DCF!$C$10:$G$10,1/(1+$A24)^DCF!$C$3:$G$3)+(DCF!$G$5*(1+Assumption!$D$16)*(1-Assumption!$D$16/D$23)/($A24-Assumption!$D$16))/(1+$A24)^DCF!$G$3+'Balance Sheet'!$G$7-'Balance Sheet'!$G$48-'Balance Sheet'!$G$61)/1000000</f>
        <v>67.2237239890328</v>
      </c>
      <c r="E24" s="262" t="n">
        <f aca="false">(SUMPRODUCT(DCF!$C$10:$G$10,1/(1+$A24)^DCF!$C$3:$G$3)+(DCF!$G$5*(1+Assumption!$D$16)*(1-Assumption!$D$16/E$23)/($A24-Assumption!$D$16))/(1+$A24)^DCF!$G$3+'Balance Sheet'!$G$7-'Balance Sheet'!$G$48-'Balance Sheet'!$G$61)/1000000</f>
        <v>71.0585454445159</v>
      </c>
      <c r="F24" s="262" t="n">
        <f aca="false">(SUMPRODUCT(DCF!$C$10:$G$10,1/(1+$A24)^DCF!$C$3:$G$3)+(DCF!$G$5*(1+Assumption!$D$16)*(1-Assumption!$D$16/F$23)/($A24-Assumption!$D$16))/(1+$A24)^DCF!$G$3+'Balance Sheet'!$G$7-'Balance Sheet'!$G$48-'Balance Sheet'!$G$61)/1000000</f>
        <v>74.1961266353657</v>
      </c>
    </row>
    <row r="25" customFormat="false" ht="15" hidden="false" customHeight="false" outlineLevel="0" collapsed="false">
      <c r="A25" s="410" t="n">
        <f aca="false">Assumption!$D$18+(-0.01)</f>
        <v>0.128360839936764</v>
      </c>
      <c r="B25" s="262" t="n">
        <f aca="false">(SUMPRODUCT(DCF!$C$10:$G$10,1/(1+$A25)^DCF!$C$3:$G$3)+(DCF!$G$5*(1+Assumption!$D$16)*(1-Assumption!$D$16/B$23)/($A25-Assumption!$D$16))/(1+$A25)^DCF!$G$3+'Balance Sheet'!$G$7-'Balance Sheet'!$G$48-'Balance Sheet'!$G$61)/1000000</f>
        <v>41.9840773490499</v>
      </c>
      <c r="C25" s="262" t="n">
        <f aca="false">(SUMPRODUCT(DCF!$C$10:$G$10,1/(1+$A25)^DCF!$C$3:$G$3)+(DCF!$G$5*(1+Assumption!$D$16)*(1-Assumption!$D$16/C$23)/($A25-Assumption!$D$16))/(1+$A25)^DCF!$G$3+'Balance Sheet'!$G$7-'Balance Sheet'!$G$48-'Balance Sheet'!$G$61)/1000000</f>
        <v>47.1266172424787</v>
      </c>
      <c r="D25" s="262" t="n">
        <f aca="false">(SUMPRODUCT(DCF!$C$10:$G$10,1/(1+$A25)^DCF!$C$3:$G$3)+(DCF!$G$5*(1+Assumption!$D$16)*(1-Assumption!$D$16/D$23)/($A25-Assumption!$D$16))/(1+$A25)^DCF!$G$3+'Balance Sheet'!$G$7-'Balance Sheet'!$G$48-'Balance Sheet'!$G$61)/1000000</f>
        <v>51.1263704929234</v>
      </c>
      <c r="E25" s="262" t="n">
        <f aca="false">(SUMPRODUCT(DCF!$C$10:$G$10,1/(1+$A25)^DCF!$C$3:$G$3)+(DCF!$G$5*(1+Assumption!$D$16)*(1-Assumption!$D$16/E$23)/($A25-Assumption!$D$16))/(1+$A25)^DCF!$G$3+'Balance Sheet'!$G$7-'Balance Sheet'!$G$48-'Balance Sheet'!$G$61)/1000000</f>
        <v>54.3261730932791</v>
      </c>
      <c r="F25" s="262" t="n">
        <f aca="false">(SUMPRODUCT(DCF!$C$10:$G$10,1/(1+$A25)^DCF!$C$3:$G$3)+(DCF!$G$5*(1+Assumption!$D$16)*(1-Assumption!$D$16/F$23)/($A25-Assumption!$D$16))/(1+$A25)^DCF!$G$3+'Balance Sheet'!$G$7-'Balance Sheet'!$G$48-'Balance Sheet'!$G$61)/1000000</f>
        <v>56.9441934026611</v>
      </c>
    </row>
    <row r="26" customFormat="false" ht="15" hidden="false" customHeight="false" outlineLevel="0" collapsed="false">
      <c r="A26" s="410" t="n">
        <f aca="false">Assumption!$D$18+(0)</f>
        <v>0.138360839936764</v>
      </c>
      <c r="B26" s="262" t="n">
        <f aca="false">(SUMPRODUCT(DCF!$C$10:$G$10,1/(1+$A26)^DCF!$C$3:$G$3)+(DCF!$G$5*(1+Assumption!$D$16)*(1-Assumption!$D$16/B$23)/($A26-Assumption!$D$16))/(1+$A26)^DCF!$G$3+'Balance Sheet'!$G$7-'Balance Sheet'!$G$48-'Balance Sheet'!$G$61)/1000000</f>
        <v>31.1780435683103</v>
      </c>
      <c r="C26" s="262" t="n">
        <f aca="false">(SUMPRODUCT(DCF!$C$10:$G$10,1/(1+$A26)^DCF!$C$3:$G$3)+(DCF!$G$5*(1+Assumption!$D$16)*(1-Assumption!$D$16/C$23)/($A26-Assumption!$D$16))/(1+$A26)^DCF!$G$3+'Balance Sheet'!$G$7-'Balance Sheet'!$G$48-'Balance Sheet'!$G$61)/1000000</f>
        <v>35.5417668873113</v>
      </c>
      <c r="D26" s="411" t="n">
        <f aca="false">(SUMPRODUCT(DCF!$C$10:$G$10,1/(1+$A26)^DCF!$C$3:$G$3)+(DCF!$G$5*(1+Assumption!$D$16)*(1-Assumption!$D$16/D$23)/($A26-Assumption!$D$16))/(1+$A26)^DCF!$G$3+'Balance Sheet'!$G$7-'Balance Sheet'!$G$48-'Balance Sheet'!$G$61)/1000000</f>
        <v>38.9357739132009</v>
      </c>
      <c r="E26" s="262" t="n">
        <f aca="false">(SUMPRODUCT(DCF!$C$10:$G$10,1/(1+$A26)^DCF!$C$3:$G$3)+(DCF!$G$5*(1+Assumption!$D$16)*(1-Assumption!$D$16/E$23)/($A26-Assumption!$D$16))/(1+$A26)^DCF!$G$3+'Balance Sheet'!$G$7-'Balance Sheet'!$G$48-'Balance Sheet'!$G$61)/1000000</f>
        <v>41.6509795339126</v>
      </c>
      <c r="F26" s="262" t="n">
        <f aca="false">(SUMPRODUCT(DCF!$C$10:$G$10,1/(1+$A26)^DCF!$C$3:$G$3)+(DCF!$G$5*(1+Assumption!$D$16)*(1-Assumption!$D$16/F$23)/($A26-Assumption!$D$16))/(1+$A26)^DCF!$G$3+'Balance Sheet'!$G$7-'Balance Sheet'!$G$48-'Balance Sheet'!$G$61)/1000000</f>
        <v>43.872511405404</v>
      </c>
    </row>
    <row r="27" customFormat="false" ht="15" hidden="false" customHeight="false" outlineLevel="0" collapsed="false">
      <c r="A27" s="410" t="n">
        <f aca="false">Assumption!$D$18+(0.01)</f>
        <v>0.148360839936764</v>
      </c>
      <c r="B27" s="262" t="n">
        <f aca="false">(SUMPRODUCT(DCF!$C$10:$G$10,1/(1+$A27)^DCF!$C$3:$G$3)+(DCF!$G$5*(1+Assumption!$D$16)*(1-Assumption!$D$16/B$23)/($A27-Assumption!$D$16))/(1+$A27)^DCF!$G$3+'Balance Sheet'!$G$7-'Balance Sheet'!$G$48-'Balance Sheet'!$G$61)/1000000</f>
        <v>22.7787186488152</v>
      </c>
      <c r="C27" s="262" t="n">
        <f aca="false">(SUMPRODUCT(DCF!$C$10:$G$10,1/(1+$A27)^DCF!$C$3:$G$3)+(DCF!$G$5*(1+Assumption!$D$16)*(1-Assumption!$D$16/C$23)/($A27-Assumption!$D$16))/(1+$A27)^DCF!$G$3+'Balance Sheet'!$G$7-'Balance Sheet'!$G$48-'Balance Sheet'!$G$61)/1000000</f>
        <v>26.531062935217</v>
      </c>
      <c r="D27" s="262" t="n">
        <f aca="false">(SUMPRODUCT(DCF!$C$10:$G$10,1/(1+$A27)^DCF!$C$3:$G$3)+(DCF!$G$5*(1+Assumption!$D$16)*(1-Assumption!$D$16/D$23)/($A27-Assumption!$D$16))/(1+$A27)^DCF!$G$3+'Balance Sheet'!$G$7-'Balance Sheet'!$G$48-'Balance Sheet'!$G$61)/1000000</f>
        <v>29.4495529357517</v>
      </c>
      <c r="E27" s="262" t="n">
        <f aca="false">(SUMPRODUCT(DCF!$C$10:$G$10,1/(1+$A27)^DCF!$C$3:$G$3)+(DCF!$G$5*(1+Assumption!$D$16)*(1-Assumption!$D$16/E$23)/($A27-Assumption!$D$16))/(1+$A27)^DCF!$G$3+'Balance Sheet'!$G$7-'Balance Sheet'!$G$48-'Balance Sheet'!$G$61)/1000000</f>
        <v>31.7843449361795</v>
      </c>
      <c r="F27" s="262" t="n">
        <f aca="false">(SUMPRODUCT(DCF!$C$10:$G$10,1/(1+$A27)^DCF!$C$3:$G$3)+(DCF!$G$5*(1+Assumption!$D$16)*(1-Assumption!$D$16/F$23)/($A27-Assumption!$D$16))/(1+$A27)^DCF!$G$3+'Balance Sheet'!$G$7-'Balance Sheet'!$G$48-'Balance Sheet'!$G$61)/1000000</f>
        <v>33.6946293001659</v>
      </c>
    </row>
    <row r="28" customFormat="false" ht="15" hidden="false" customHeight="false" outlineLevel="0" collapsed="false">
      <c r="A28" s="410" t="n">
        <f aca="false">Assumption!$D$18+(0.02)</f>
        <v>0.158360839936764</v>
      </c>
      <c r="B28" s="262" t="n">
        <f aca="false">(SUMPRODUCT(DCF!$C$10:$G$10,1/(1+$A28)^DCF!$C$3:$G$3)+(DCF!$G$5*(1+Assumption!$D$16)*(1-Assumption!$D$16/B$23)/($A28-Assumption!$D$16))/(1+$A28)^DCF!$G$3+'Balance Sheet'!$G$7-'Balance Sheet'!$G$48-'Balance Sheet'!$G$61)/1000000</f>
        <v>16.1113815674334</v>
      </c>
      <c r="C28" s="262" t="n">
        <f aca="false">(SUMPRODUCT(DCF!$C$10:$G$10,1/(1+$A28)^DCF!$C$3:$G$3)+(DCF!$G$5*(1+Assumption!$D$16)*(1-Assumption!$D$16/C$23)/($A28-Assumption!$D$16))/(1+$A28)^DCF!$G$3+'Balance Sheet'!$G$7-'Balance Sheet'!$G$48-'Balance Sheet'!$G$61)/1000000</f>
        <v>19.3729393774341</v>
      </c>
      <c r="D28" s="262" t="n">
        <f aca="false">(SUMPRODUCT(DCF!$C$10:$G$10,1/(1+$A28)^DCF!$C$3:$G$3)+(DCF!$G$5*(1+Assumption!$D$16)*(1-Assumption!$D$16/D$23)/($A28-Assumption!$D$16))/(1+$A28)^DCF!$G$3+'Balance Sheet'!$G$7-'Balance Sheet'!$G$48-'Balance Sheet'!$G$61)/1000000</f>
        <v>21.9097065629902</v>
      </c>
      <c r="E28" s="262" t="n">
        <f aca="false">(SUMPRODUCT(DCF!$C$10:$G$10,1/(1+$A28)^DCF!$C$3:$G$3)+(DCF!$G$5*(1+Assumption!$D$16)*(1-Assumption!$D$16/E$23)/($A28-Assumption!$D$16))/(1+$A28)^DCF!$G$3+'Balance Sheet'!$G$7-'Balance Sheet'!$G$48-'Balance Sheet'!$G$61)/1000000</f>
        <v>23.9391203114351</v>
      </c>
      <c r="F28" s="262" t="n">
        <f aca="false">(SUMPRODUCT(DCF!$C$10:$G$10,1/(1+$A28)^DCF!$C$3:$G$3)+(DCF!$G$5*(1+Assumption!$D$16)*(1-Assumption!$D$16/F$23)/($A28-Assumption!$D$16))/(1+$A28)^DCF!$G$3+'Balance Sheet'!$G$7-'Balance Sheet'!$G$48-'Balance Sheet'!$G$61)/1000000</f>
        <v>25.5995497419809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64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</cols>
  <sheetData>
    <row r="1" customFormat="false" ht="16.15" hidden="false" customHeight="false" outlineLevel="0" collapsed="false">
      <c r="A1" s="402" t="s">
        <v>609</v>
      </c>
    </row>
    <row r="3" customFormat="false" ht="15" hidden="false" customHeight="false" outlineLevel="0" collapsed="false">
      <c r="A3" s="247" t="s">
        <v>610</v>
      </c>
      <c r="B3" s="247" t="s">
        <v>240</v>
      </c>
      <c r="C3" s="247" t="s">
        <v>241</v>
      </c>
      <c r="D3" s="247" t="s">
        <v>242</v>
      </c>
      <c r="E3" s="247" t="s">
        <v>243</v>
      </c>
      <c r="F3" s="247" t="s">
        <v>244</v>
      </c>
      <c r="G3" s="247" t="s">
        <v>611</v>
      </c>
    </row>
    <row r="4" customFormat="false" ht="15" hidden="false" customHeight="false" outlineLevel="0" collapsed="false">
      <c r="A4" s="219" t="s">
        <v>612</v>
      </c>
      <c r="B4" s="255" t="n">
        <f aca="false">ROUND('Balance Sheet'!H34-'Balance Sheet'!H78,0)</f>
        <v>0</v>
      </c>
      <c r="C4" s="255" t="n">
        <f aca="false">ROUND('Balance Sheet'!I34-'Balance Sheet'!I78,0)</f>
        <v>0</v>
      </c>
      <c r="D4" s="255" t="n">
        <f aca="false">ROUND('Balance Sheet'!J34-'Balance Sheet'!J78,0)</f>
        <v>0</v>
      </c>
      <c r="E4" s="255" t="n">
        <f aca="false">ROUND('Balance Sheet'!K34-'Balance Sheet'!K78,0)</f>
        <v>0</v>
      </c>
      <c r="F4" s="255" t="n">
        <f aca="false">ROUND('Balance Sheet'!L34-'Balance Sheet'!L78,0)</f>
        <v>0</v>
      </c>
      <c r="G4" s="186" t="str">
        <f aca="false">IF(SUMPRODUCT(ABS(B4:F4))=0,"OK","LỖI")</f>
        <v>OK</v>
      </c>
    </row>
    <row r="5" customFormat="false" ht="15" hidden="false" customHeight="false" outlineLevel="0" collapsed="false">
      <c r="A5" s="219" t="s">
        <v>613</v>
      </c>
      <c r="B5" s="255" t="n">
        <f aca="false">ROUND('Cash Flow Statement'!F36-'Balance Sheet'!H7,0)</f>
        <v>0</v>
      </c>
      <c r="C5" s="255" t="n">
        <f aca="false">ROUND('Cash Flow Statement'!G36-'Balance Sheet'!I7,0)</f>
        <v>0</v>
      </c>
      <c r="D5" s="255" t="n">
        <f aca="false">ROUND('Cash Flow Statement'!H36-'Balance Sheet'!J7,0)</f>
        <v>0</v>
      </c>
      <c r="E5" s="255" t="n">
        <f aca="false">ROUND('Cash Flow Statement'!I36-'Balance Sheet'!K7,0)</f>
        <v>0</v>
      </c>
      <c r="F5" s="255" t="n">
        <f aca="false">ROUND('Cash Flow Statement'!J36-'Balance Sheet'!L7,0)</f>
        <v>0</v>
      </c>
      <c r="G5" s="186" t="str">
        <f aca="false">IF(SUMPRODUCT(ABS(B5:F5))=0,"OK","LỖI")</f>
        <v>OK</v>
      </c>
    </row>
    <row r="6" customFormat="false" ht="15" hidden="false" customHeight="false" outlineLevel="0" collapsed="false">
      <c r="A6" s="219" t="s">
        <v>614</v>
      </c>
      <c r="B6" s="255" t="n">
        <f aca="false">ROUND('Income Statement'!E80-'Cash Flow Statement'!F6,0)</f>
        <v>0</v>
      </c>
      <c r="C6" s="255" t="n">
        <f aca="false">ROUND('Income Statement'!F80-'Cash Flow Statement'!G6,0)</f>
        <v>0</v>
      </c>
      <c r="D6" s="255" t="n">
        <f aca="false">ROUND('Income Statement'!G80-'Cash Flow Statement'!H6,0)</f>
        <v>0</v>
      </c>
      <c r="E6" s="255" t="n">
        <f aca="false">ROUND('Income Statement'!H80-'Cash Flow Statement'!I6,0)</f>
        <v>0</v>
      </c>
      <c r="F6" s="255" t="n">
        <f aca="false">ROUND('Income Statement'!I80-'Cash Flow Statement'!J6,0)</f>
        <v>0</v>
      </c>
      <c r="G6" s="186" t="str">
        <f aca="false">IF(SUMPRODUCT(ABS(B6:F6))=0,"OK","LỖI")</f>
        <v>OK</v>
      </c>
    </row>
    <row r="7" customFormat="false" ht="15" hidden="false" customHeight="false" outlineLevel="0" collapsed="false">
      <c r="A7" s="219" t="s">
        <v>615</v>
      </c>
      <c r="B7" s="255" t="n">
        <f aca="false">ROUND('Pro Forma'!C4-'Income Statement'!E13,0)</f>
        <v>0</v>
      </c>
      <c r="C7" s="255" t="n">
        <f aca="false">ROUND('Pro Forma'!D4-'Income Statement'!F13,0)</f>
        <v>0</v>
      </c>
      <c r="D7" s="255" t="n">
        <f aca="false">ROUND('Pro Forma'!E4-'Income Statement'!G13,0)</f>
        <v>0</v>
      </c>
      <c r="E7" s="255" t="n">
        <f aca="false">ROUND('Pro Forma'!F4-'Income Statement'!H13,0)</f>
        <v>0</v>
      </c>
      <c r="F7" s="255" t="n">
        <f aca="false">ROUND('Pro Forma'!G4-'Income Statement'!I13,0)</f>
        <v>0</v>
      </c>
      <c r="G7" s="186" t="str">
        <f aca="false">IF(SUMPRODUCT(ABS(B7:F7))=0,"OK","LỖI")</f>
        <v>OK</v>
      </c>
    </row>
    <row r="8" customFormat="false" ht="15" hidden="false" customHeight="false" outlineLevel="0" collapsed="false">
      <c r="A8" s="219" t="s">
        <v>616</v>
      </c>
      <c r="B8" s="255" t="n">
        <f aca="false">ROUND('Pro Forma'!C14-'Income Statement'!E80,0)</f>
        <v>0</v>
      </c>
      <c r="C8" s="255" t="n">
        <f aca="false">ROUND('Pro Forma'!D14-'Income Statement'!F80,0)</f>
        <v>0</v>
      </c>
      <c r="D8" s="255" t="n">
        <f aca="false">ROUND('Pro Forma'!E14-'Income Statement'!G80,0)</f>
        <v>-0</v>
      </c>
      <c r="E8" s="255" t="n">
        <f aca="false">ROUND('Pro Forma'!F14-'Income Statement'!H80,0)</f>
        <v>0</v>
      </c>
      <c r="F8" s="255" t="n">
        <f aca="false">ROUND('Pro Forma'!G14-'Income Statement'!I80,0)</f>
        <v>0</v>
      </c>
      <c r="G8" s="186" t="str">
        <f aca="false">IF(SUMPRODUCT(ABS(B8:F8))=0,"OK","LỖI")</f>
        <v>OK</v>
      </c>
    </row>
    <row r="9" customFormat="false" ht="15" hidden="false" customHeight="false" outlineLevel="0" collapsed="false">
      <c r="A9" s="219" t="s">
        <v>617</v>
      </c>
      <c r="B9" s="255" t="n">
        <f aca="false">ROUND('Pro Forma'!C36-Drivers!F104,0)</f>
        <v>0</v>
      </c>
      <c r="C9" s="255" t="n">
        <f aca="false">ROUND('Pro Forma'!D36-Drivers!G104,0)</f>
        <v>0</v>
      </c>
      <c r="D9" s="255" t="n">
        <f aca="false">ROUND('Pro Forma'!E36-Drivers!H104,0)</f>
        <v>0</v>
      </c>
      <c r="E9" s="255" t="n">
        <f aca="false">ROUND('Pro Forma'!F36-Drivers!I104,0)</f>
        <v>0</v>
      </c>
      <c r="F9" s="255" t="n">
        <f aca="false">ROUND('Pro Forma'!G36-Drivers!J104,0)</f>
        <v>0</v>
      </c>
      <c r="G9" s="186" t="str">
        <f aca="false">IF(SUMPRODUCT(ABS(B9:F9))=0,"OK","LỖI")</f>
        <v>OK</v>
      </c>
    </row>
    <row r="10" customFormat="false" ht="15" hidden="false" customHeight="false" outlineLevel="0" collapsed="false">
      <c r="A10" s="219" t="s">
        <v>618</v>
      </c>
      <c r="B10" s="255" t="n">
        <f aca="false">ROUND('Pro Forma'!C9-'Income Statement'!E71,0)</f>
        <v>0</v>
      </c>
      <c r="C10" s="255" t="n">
        <f aca="false">ROUND('Pro Forma'!D9-'Income Statement'!F71,0)</f>
        <v>0</v>
      </c>
      <c r="D10" s="255" t="n">
        <f aca="false">ROUND('Pro Forma'!E9-'Income Statement'!G71,0)</f>
        <v>0</v>
      </c>
      <c r="E10" s="255" t="n">
        <f aca="false">ROUND('Pro Forma'!F9-'Income Statement'!H71,0)</f>
        <v>0</v>
      </c>
      <c r="F10" s="255" t="n">
        <f aca="false">ROUND('Pro Forma'!G9-'Income Statement'!I71,0)</f>
        <v>0</v>
      </c>
      <c r="G10" s="186" t="str">
        <f aca="false">IF(SUMPRODUCT(ABS(B10:F10))=0,"OK","LỖI")</f>
        <v>OK</v>
      </c>
    </row>
    <row r="11" customFormat="false" ht="15" hidden="false" customHeight="false" outlineLevel="0" collapsed="false">
      <c r="A11" s="219" t="s">
        <v>619</v>
      </c>
      <c r="B11" s="255" t="n">
        <f aca="false">ROUND(Drivers!F85+'Cash Flow Statement'!F22,0)</f>
        <v>0</v>
      </c>
      <c r="C11" s="255" t="n">
        <f aca="false">ROUND(Drivers!G85+'Cash Flow Statement'!G22,0)</f>
        <v>0</v>
      </c>
      <c r="D11" s="255" t="n">
        <f aca="false">ROUND(Drivers!H85+'Cash Flow Statement'!H22,0)</f>
        <v>0</v>
      </c>
      <c r="E11" s="255" t="n">
        <f aca="false">ROUND(Drivers!I85+'Cash Flow Statement'!I22,0)</f>
        <v>0</v>
      </c>
      <c r="F11" s="255" t="n">
        <f aca="false">ROUND(Drivers!J85+'Cash Flow Statement'!J22,0)</f>
        <v>0</v>
      </c>
      <c r="G11" s="186" t="str">
        <f aca="false">IF(SUMPRODUCT(ABS(B11:F11))=0,"OK","LỖI")</f>
        <v>OK</v>
      </c>
    </row>
    <row r="12" customFormat="false" ht="15" hidden="false" customHeight="false" outlineLevel="0" collapsed="false">
      <c r="A12" s="219" t="s">
        <v>620</v>
      </c>
      <c r="B12" s="255" t="n">
        <f aca="false">ROUND(MIN(0,'Balance Sheet'!H7-Drivers!F110),0)</f>
        <v>0</v>
      </c>
      <c r="C12" s="255" t="n">
        <f aca="false">ROUND(MIN(0,'Balance Sheet'!I7-Drivers!G110),0)</f>
        <v>0</v>
      </c>
      <c r="D12" s="255" t="n">
        <f aca="false">ROUND(MIN(0,'Balance Sheet'!J7-Drivers!H110),0)</f>
        <v>0</v>
      </c>
      <c r="E12" s="255" t="n">
        <f aca="false">ROUND(MIN(0,'Balance Sheet'!K7-Drivers!I110),0)</f>
        <v>0</v>
      </c>
      <c r="F12" s="255" t="n">
        <f aca="false">ROUND(MIN(0,'Balance Sheet'!L7-Drivers!J110),0)</f>
        <v>0</v>
      </c>
      <c r="G12" s="186" t="str">
        <f aca="false">IF(SUMPRODUCT(ABS(B12:F12))=0,"OK","LỖI")</f>
        <v>OK</v>
      </c>
    </row>
    <row r="13" customFormat="false" ht="15" hidden="false" customHeight="false" outlineLevel="0" collapsed="false">
      <c r="A13" s="219" t="s">
        <v>621</v>
      </c>
      <c r="B13" s="223" t="n">
        <f aca="false">INDEX(Drivers!F83:J83,Drivers!C4-2025)</f>
        <v>0.65</v>
      </c>
      <c r="G13" s="186" t="str">
        <f aca="false">IF(ROUND(B13,4)=Drivers!C148,"OK","LỖI")</f>
        <v>OK</v>
      </c>
    </row>
    <row r="14" customFormat="false" ht="15" hidden="false" customHeight="false" outlineLevel="0" collapsed="false">
      <c r="A14" s="219" t="s">
        <v>622</v>
      </c>
      <c r="B14" s="254" t="n">
        <f aca="false">Sensitivity!B11</f>
        <v>0</v>
      </c>
      <c r="C14" s="254" t="n">
        <f aca="false">Sensitivity!B20</f>
        <v>0</v>
      </c>
      <c r="G14" s="186" t="str">
        <f aca="false">IF(AND(B14=0,C14=0),"OK","LỖI")</f>
        <v>OK</v>
      </c>
    </row>
    <row r="15" customFormat="false" ht="15" hidden="false" customHeight="false" outlineLevel="0" collapsed="false">
      <c r="A15" s="219" t="s">
        <v>623</v>
      </c>
      <c r="G15" s="186" t="str">
        <f aca="false">IF(Assumption!D16&lt;Assumption!D18,"OK","LỖI")</f>
        <v>OK</v>
      </c>
    </row>
    <row r="17" customFormat="false" ht="15" hidden="false" customHeight="false" outlineLevel="0" collapsed="false">
      <c r="A17" s="186" t="s">
        <v>624</v>
      </c>
      <c r="G17" s="186" t="str">
        <f aca="false">IF(COUNTIF(G4:G15,"LỖI")=0,"TẤT CẢ OK","CÓ LỖI")</f>
        <v>TẤT CẢ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640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J6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664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1" min="2" style="0" width="12"/>
  </cols>
  <sheetData>
    <row r="1" customFormat="false" ht="15" hidden="false" customHeight="false" outlineLevel="0" collapsed="false">
      <c r="A1" s="414" t="s">
        <v>625</v>
      </c>
    </row>
    <row r="2" customFormat="false" ht="15" hidden="false" customHeight="false" outlineLevel="0" collapsed="false">
      <c r="A2" s="248" t="s">
        <v>626</v>
      </c>
    </row>
    <row r="4" customFormat="false" ht="15" hidden="false" customHeight="false" outlineLevel="0" collapsed="false">
      <c r="A4" s="415" t="s">
        <v>627</v>
      </c>
      <c r="B4" s="415" t="s">
        <v>628</v>
      </c>
      <c r="C4" s="415" t="s">
        <v>629</v>
      </c>
      <c r="D4" s="415" t="s">
        <v>630</v>
      </c>
      <c r="E4" s="415" t="s">
        <v>631</v>
      </c>
    </row>
    <row r="5" customFormat="false" ht="15" hidden="false" customHeight="false" outlineLevel="0" collapsed="false">
      <c r="A5" s="416" t="s">
        <v>632</v>
      </c>
      <c r="B5" s="416" t="s">
        <v>633</v>
      </c>
      <c r="C5" s="416" t="s">
        <v>634</v>
      </c>
      <c r="D5" s="416" t="s">
        <v>9</v>
      </c>
      <c r="E5" s="416" t="s">
        <v>635</v>
      </c>
    </row>
    <row r="6" customFormat="false" ht="15" hidden="false" customHeight="false" outlineLevel="0" collapsed="false">
      <c r="A6" s="416" t="s">
        <v>636</v>
      </c>
      <c r="B6" s="416" t="s">
        <v>637</v>
      </c>
      <c r="C6" s="416" t="s">
        <v>638</v>
      </c>
      <c r="D6" s="416" t="s">
        <v>639</v>
      </c>
      <c r="E6" s="416" t="s">
        <v>635</v>
      </c>
    </row>
    <row r="7" customFormat="false" ht="15" hidden="false" customHeight="false" outlineLevel="0" collapsed="false">
      <c r="A7" s="416" t="s">
        <v>640</v>
      </c>
      <c r="B7" s="416" t="s">
        <v>641</v>
      </c>
      <c r="C7" s="416" t="s">
        <v>642</v>
      </c>
      <c r="D7" s="416" t="s">
        <v>643</v>
      </c>
      <c r="E7" s="416" t="s">
        <v>635</v>
      </c>
    </row>
    <row r="8" customFormat="false" ht="15" hidden="false" customHeight="false" outlineLevel="0" collapsed="false">
      <c r="A8" s="416" t="s">
        <v>644</v>
      </c>
      <c r="B8" s="416" t="s">
        <v>645</v>
      </c>
      <c r="C8" s="416" t="s">
        <v>646</v>
      </c>
      <c r="D8" s="416" t="s">
        <v>647</v>
      </c>
      <c r="E8" s="416" t="s">
        <v>635</v>
      </c>
    </row>
    <row r="9" customFormat="false" ht="15" hidden="false" customHeight="false" outlineLevel="0" collapsed="false">
      <c r="A9" s="416" t="s">
        <v>648</v>
      </c>
      <c r="B9" s="416" t="s">
        <v>649</v>
      </c>
      <c r="C9" s="416" t="s">
        <v>650</v>
      </c>
      <c r="D9" s="416" t="s">
        <v>9</v>
      </c>
      <c r="E9" s="416" t="s">
        <v>651</v>
      </c>
    </row>
    <row r="10" customFormat="false" ht="15" hidden="false" customHeight="false" outlineLevel="0" collapsed="false">
      <c r="A10" s="416" t="s">
        <v>652</v>
      </c>
      <c r="B10" s="416" t="s">
        <v>653</v>
      </c>
      <c r="C10" s="416" t="s">
        <v>654</v>
      </c>
      <c r="D10" s="416" t="s">
        <v>9</v>
      </c>
      <c r="E10" s="416" t="s">
        <v>651</v>
      </c>
    </row>
    <row r="11" customFormat="false" ht="15" hidden="false" customHeight="false" outlineLevel="0" collapsed="false">
      <c r="A11" s="416" t="s">
        <v>655</v>
      </c>
      <c r="B11" s="416" t="s">
        <v>656</v>
      </c>
      <c r="C11" s="416" t="s">
        <v>657</v>
      </c>
      <c r="D11" s="416" t="s">
        <v>658</v>
      </c>
      <c r="E11" s="416" t="s">
        <v>651</v>
      </c>
    </row>
    <row r="12" customFormat="false" ht="15" hidden="false" customHeight="false" outlineLevel="0" collapsed="false">
      <c r="A12" s="416" t="s">
        <v>659</v>
      </c>
      <c r="B12" s="416" t="s">
        <v>660</v>
      </c>
      <c r="C12" s="416" t="s">
        <v>661</v>
      </c>
      <c r="D12" s="416" t="s">
        <v>9</v>
      </c>
      <c r="E12" s="416" t="s">
        <v>651</v>
      </c>
    </row>
    <row r="13" customFormat="false" ht="15" hidden="false" customHeight="false" outlineLevel="0" collapsed="false">
      <c r="A13" s="416" t="s">
        <v>662</v>
      </c>
      <c r="B13" s="416" t="s">
        <v>663</v>
      </c>
      <c r="C13" s="416" t="s">
        <v>642</v>
      </c>
      <c r="D13" s="416" t="s">
        <v>643</v>
      </c>
      <c r="E13" s="416" t="s">
        <v>651</v>
      </c>
    </row>
    <row r="14" customFormat="false" ht="15" hidden="false" customHeight="false" outlineLevel="0" collapsed="false">
      <c r="A14" s="416" t="s">
        <v>664</v>
      </c>
      <c r="B14" s="416" t="s">
        <v>665</v>
      </c>
      <c r="C14" s="416" t="s">
        <v>642</v>
      </c>
      <c r="D14" s="416" t="s">
        <v>643</v>
      </c>
      <c r="E14" s="416" t="s">
        <v>651</v>
      </c>
    </row>
    <row r="15" customFormat="false" ht="15" hidden="false" customHeight="false" outlineLevel="0" collapsed="false">
      <c r="A15" s="416" t="s">
        <v>666</v>
      </c>
      <c r="B15" s="416" t="s">
        <v>667</v>
      </c>
      <c r="C15" s="416" t="s">
        <v>668</v>
      </c>
      <c r="D15" s="416" t="s">
        <v>9</v>
      </c>
      <c r="E15" s="416" t="s">
        <v>669</v>
      </c>
    </row>
    <row r="16" customFormat="false" ht="15" hidden="false" customHeight="false" outlineLevel="0" collapsed="false">
      <c r="A16" s="416" t="s">
        <v>670</v>
      </c>
      <c r="B16" s="416" t="s">
        <v>671</v>
      </c>
      <c r="C16" s="416" t="s">
        <v>672</v>
      </c>
      <c r="D16" s="416" t="s">
        <v>40</v>
      </c>
      <c r="E16" s="416" t="s">
        <v>669</v>
      </c>
    </row>
    <row r="17" customFormat="false" ht="15" hidden="false" customHeight="false" outlineLevel="0" collapsed="false">
      <c r="A17" s="416" t="s">
        <v>673</v>
      </c>
      <c r="B17" s="416" t="s">
        <v>674</v>
      </c>
      <c r="C17" s="416" t="s">
        <v>675</v>
      </c>
      <c r="D17" s="416" t="s">
        <v>676</v>
      </c>
      <c r="E17" s="416" t="s">
        <v>669</v>
      </c>
    </row>
    <row r="18" customFormat="false" ht="15" hidden="false" customHeight="false" outlineLevel="0" collapsed="false">
      <c r="A18" s="416" t="s">
        <v>677</v>
      </c>
      <c r="B18" s="416" t="s">
        <v>678</v>
      </c>
      <c r="C18" s="416" t="s">
        <v>679</v>
      </c>
      <c r="D18" s="416" t="s">
        <v>680</v>
      </c>
      <c r="E18" s="416" t="s">
        <v>669</v>
      </c>
    </row>
    <row r="19" customFormat="false" ht="15" hidden="false" customHeight="false" outlineLevel="0" collapsed="false">
      <c r="A19" s="416" t="s">
        <v>681</v>
      </c>
      <c r="B19" s="416" t="s">
        <v>682</v>
      </c>
      <c r="C19" s="416" t="s">
        <v>683</v>
      </c>
      <c r="D19" s="416" t="s">
        <v>684</v>
      </c>
      <c r="E19" s="416" t="s">
        <v>669</v>
      </c>
    </row>
    <row r="20" customFormat="false" ht="15" hidden="false" customHeight="false" outlineLevel="0" collapsed="false">
      <c r="A20" s="416" t="s">
        <v>685</v>
      </c>
      <c r="B20" s="416" t="s">
        <v>686</v>
      </c>
      <c r="C20" s="416" t="s">
        <v>687</v>
      </c>
      <c r="D20" s="416" t="s">
        <v>688</v>
      </c>
      <c r="E20" s="416" t="s">
        <v>669</v>
      </c>
    </row>
    <row r="21" customFormat="false" ht="15" hidden="false" customHeight="false" outlineLevel="0" collapsed="false">
      <c r="A21" s="416" t="s">
        <v>689</v>
      </c>
      <c r="B21" s="416" t="s">
        <v>690</v>
      </c>
      <c r="C21" s="416" t="s">
        <v>691</v>
      </c>
      <c r="D21" s="416" t="s">
        <v>692</v>
      </c>
      <c r="E21" s="416" t="s">
        <v>693</v>
      </c>
    </row>
    <row r="22" customFormat="false" ht="15" hidden="false" customHeight="false" outlineLevel="0" collapsed="false">
      <c r="A22" s="416" t="s">
        <v>694</v>
      </c>
      <c r="B22" s="416" t="s">
        <v>695</v>
      </c>
      <c r="C22" s="416" t="s">
        <v>696</v>
      </c>
      <c r="D22" s="416" t="s">
        <v>658</v>
      </c>
      <c r="E22" s="416" t="s">
        <v>693</v>
      </c>
    </row>
    <row r="23" customFormat="false" ht="15" hidden="false" customHeight="false" outlineLevel="0" collapsed="false">
      <c r="A23" s="416" t="s">
        <v>697</v>
      </c>
      <c r="B23" s="416" t="s">
        <v>698</v>
      </c>
      <c r="C23" s="416" t="s">
        <v>699</v>
      </c>
      <c r="D23" s="416" t="s">
        <v>692</v>
      </c>
      <c r="E23" s="416" t="s">
        <v>693</v>
      </c>
    </row>
    <row r="24" customFormat="false" ht="15" hidden="false" customHeight="false" outlineLevel="0" collapsed="false">
      <c r="A24" s="416" t="s">
        <v>700</v>
      </c>
      <c r="B24" s="416" t="s">
        <v>701</v>
      </c>
      <c r="C24" s="416" t="s">
        <v>702</v>
      </c>
      <c r="D24" s="416" t="s">
        <v>692</v>
      </c>
      <c r="E24" s="416" t="s">
        <v>693</v>
      </c>
    </row>
    <row r="25" customFormat="false" ht="15" hidden="false" customHeight="false" outlineLevel="0" collapsed="false">
      <c r="A25" s="416" t="s">
        <v>703</v>
      </c>
      <c r="B25" s="416" t="s">
        <v>704</v>
      </c>
      <c r="C25" s="416" t="s">
        <v>705</v>
      </c>
      <c r="D25" s="416" t="s">
        <v>692</v>
      </c>
      <c r="E25" s="416" t="s">
        <v>693</v>
      </c>
    </row>
    <row r="26" customFormat="false" ht="15" hidden="false" customHeight="false" outlineLevel="0" collapsed="false">
      <c r="A26" s="416" t="s">
        <v>706</v>
      </c>
      <c r="B26" s="416" t="s">
        <v>707</v>
      </c>
      <c r="C26" s="416" t="s">
        <v>642</v>
      </c>
      <c r="D26" s="416" t="s">
        <v>643</v>
      </c>
      <c r="E26" s="416" t="s">
        <v>693</v>
      </c>
    </row>
    <row r="27" customFormat="false" ht="15" hidden="false" customHeight="false" outlineLevel="0" collapsed="false">
      <c r="A27" s="416" t="s">
        <v>708</v>
      </c>
      <c r="B27" s="416" t="s">
        <v>709</v>
      </c>
      <c r="C27" s="416" t="s">
        <v>710</v>
      </c>
      <c r="D27" s="416" t="s">
        <v>658</v>
      </c>
      <c r="E27" s="416" t="s">
        <v>711</v>
      </c>
    </row>
    <row r="28" customFormat="false" ht="15" hidden="false" customHeight="false" outlineLevel="0" collapsed="false">
      <c r="A28" s="416" t="s">
        <v>712</v>
      </c>
      <c r="B28" s="416" t="s">
        <v>713</v>
      </c>
      <c r="C28" s="416" t="s">
        <v>714</v>
      </c>
      <c r="D28" s="416" t="s">
        <v>658</v>
      </c>
      <c r="E28" s="416" t="s">
        <v>711</v>
      </c>
    </row>
    <row r="29" customFormat="false" ht="15" hidden="false" customHeight="false" outlineLevel="0" collapsed="false">
      <c r="A29" s="416" t="s">
        <v>715</v>
      </c>
      <c r="B29" s="416" t="s">
        <v>716</v>
      </c>
      <c r="C29" s="416" t="s">
        <v>717</v>
      </c>
      <c r="D29" s="416" t="s">
        <v>718</v>
      </c>
      <c r="E29" s="416" t="s">
        <v>711</v>
      </c>
    </row>
    <row r="30" customFormat="false" ht="15" hidden="false" customHeight="false" outlineLevel="0" collapsed="false">
      <c r="A30" s="416" t="s">
        <v>719</v>
      </c>
      <c r="B30" s="416" t="s">
        <v>720</v>
      </c>
      <c r="C30" s="416" t="s">
        <v>642</v>
      </c>
      <c r="D30" s="416" t="s">
        <v>643</v>
      </c>
      <c r="E30" s="416" t="s">
        <v>711</v>
      </c>
    </row>
    <row r="31" customFormat="false" ht="15" hidden="false" customHeight="false" outlineLevel="0" collapsed="false">
      <c r="A31" s="416" t="s">
        <v>721</v>
      </c>
      <c r="B31" s="416" t="s">
        <v>722</v>
      </c>
      <c r="C31" s="416" t="s">
        <v>642</v>
      </c>
      <c r="D31" s="416" t="s">
        <v>643</v>
      </c>
      <c r="E31" s="416" t="s">
        <v>723</v>
      </c>
    </row>
    <row r="32" customFormat="false" ht="15" hidden="false" customHeight="false" outlineLevel="0" collapsed="false">
      <c r="A32" s="416" t="s">
        <v>724</v>
      </c>
      <c r="B32" s="416" t="s">
        <v>725</v>
      </c>
      <c r="C32" s="416" t="s">
        <v>726</v>
      </c>
      <c r="D32" s="416" t="s">
        <v>9</v>
      </c>
      <c r="E32" s="416" t="s">
        <v>727</v>
      </c>
    </row>
    <row r="33" customFormat="false" ht="15" hidden="false" customHeight="false" outlineLevel="0" collapsed="false">
      <c r="A33" s="416" t="s">
        <v>728</v>
      </c>
      <c r="B33" s="416" t="s">
        <v>729</v>
      </c>
      <c r="C33" s="416" t="s">
        <v>730</v>
      </c>
      <c r="D33" s="416" t="s">
        <v>9</v>
      </c>
      <c r="E33" s="416" t="s">
        <v>727</v>
      </c>
    </row>
    <row r="34" customFormat="false" ht="15" hidden="false" customHeight="false" outlineLevel="0" collapsed="false">
      <c r="A34" s="416" t="s">
        <v>731</v>
      </c>
      <c r="B34" s="416" t="s">
        <v>732</v>
      </c>
      <c r="C34" s="416" t="s">
        <v>733</v>
      </c>
      <c r="D34" s="416" t="s">
        <v>40</v>
      </c>
      <c r="E34" s="416" t="s">
        <v>727</v>
      </c>
    </row>
    <row r="35" customFormat="false" ht="15" hidden="false" customHeight="false" outlineLevel="0" collapsed="false">
      <c r="A35" s="416" t="s">
        <v>734</v>
      </c>
      <c r="B35" s="416" t="s">
        <v>735</v>
      </c>
      <c r="C35" s="416" t="s">
        <v>736</v>
      </c>
      <c r="D35" s="416" t="s">
        <v>9</v>
      </c>
      <c r="E35" s="416" t="s">
        <v>727</v>
      </c>
    </row>
    <row r="36" customFormat="false" ht="15" hidden="false" customHeight="false" outlineLevel="0" collapsed="false">
      <c r="A36" s="416" t="s">
        <v>737</v>
      </c>
      <c r="B36" s="416" t="s">
        <v>738</v>
      </c>
      <c r="C36" s="416" t="s">
        <v>739</v>
      </c>
      <c r="D36" s="416" t="s">
        <v>9</v>
      </c>
      <c r="E36" s="416" t="s">
        <v>727</v>
      </c>
    </row>
    <row r="37" customFormat="false" ht="15" hidden="false" customHeight="false" outlineLevel="0" collapsed="false">
      <c r="A37" s="416" t="s">
        <v>740</v>
      </c>
      <c r="B37" s="416" t="s">
        <v>741</v>
      </c>
      <c r="C37" s="416" t="s">
        <v>742</v>
      </c>
      <c r="D37" s="416" t="s">
        <v>40</v>
      </c>
      <c r="E37" s="416" t="s">
        <v>727</v>
      </c>
    </row>
    <row r="38" customFormat="false" ht="15" hidden="false" customHeight="false" outlineLevel="0" collapsed="false">
      <c r="A38" s="416" t="s">
        <v>743</v>
      </c>
      <c r="B38" s="416" t="s">
        <v>744</v>
      </c>
      <c r="C38" s="416" t="s">
        <v>745</v>
      </c>
      <c r="D38" s="416" t="s">
        <v>746</v>
      </c>
      <c r="E38" s="416" t="s">
        <v>727</v>
      </c>
    </row>
    <row r="39" customFormat="false" ht="15" hidden="false" customHeight="false" outlineLevel="0" collapsed="false">
      <c r="A39" s="416" t="s">
        <v>747</v>
      </c>
      <c r="B39" s="416" t="s">
        <v>748</v>
      </c>
      <c r="C39" s="416" t="s">
        <v>749</v>
      </c>
      <c r="D39" s="416" t="s">
        <v>750</v>
      </c>
      <c r="E39" s="416" t="s">
        <v>727</v>
      </c>
    </row>
    <row r="40" customFormat="false" ht="15" hidden="false" customHeight="false" outlineLevel="0" collapsed="false">
      <c r="A40" s="416" t="s">
        <v>751</v>
      </c>
      <c r="B40" s="416" t="s">
        <v>752</v>
      </c>
      <c r="C40" s="416" t="s">
        <v>753</v>
      </c>
      <c r="D40" s="416" t="s">
        <v>13</v>
      </c>
      <c r="E40" s="416" t="s">
        <v>727</v>
      </c>
    </row>
    <row r="41" customFormat="false" ht="15" hidden="false" customHeight="false" outlineLevel="0" collapsed="false">
      <c r="A41" s="416" t="s">
        <v>754</v>
      </c>
      <c r="B41" s="416" t="s">
        <v>755</v>
      </c>
      <c r="C41" s="416" t="s">
        <v>756</v>
      </c>
      <c r="D41" s="416" t="s">
        <v>757</v>
      </c>
      <c r="E41" s="416" t="s">
        <v>727</v>
      </c>
    </row>
    <row r="42" customFormat="false" ht="15" hidden="false" customHeight="false" outlineLevel="0" collapsed="false">
      <c r="A42" s="416" t="s">
        <v>758</v>
      </c>
      <c r="B42" s="416" t="s">
        <v>759</v>
      </c>
      <c r="C42" s="416" t="s">
        <v>760</v>
      </c>
      <c r="D42" s="416" t="s">
        <v>17</v>
      </c>
      <c r="E42" s="416" t="s">
        <v>761</v>
      </c>
    </row>
    <row r="43" customFormat="false" ht="15" hidden="false" customHeight="false" outlineLevel="0" collapsed="false">
      <c r="A43" s="416" t="s">
        <v>762</v>
      </c>
      <c r="B43" s="416" t="s">
        <v>763</v>
      </c>
      <c r="C43" s="416" t="s">
        <v>764</v>
      </c>
      <c r="D43" s="416" t="s">
        <v>552</v>
      </c>
      <c r="E43" s="416" t="s">
        <v>761</v>
      </c>
    </row>
    <row r="44" customFormat="false" ht="15" hidden="false" customHeight="false" outlineLevel="0" collapsed="false">
      <c r="A44" s="416" t="s">
        <v>765</v>
      </c>
      <c r="B44" s="416" t="s">
        <v>766</v>
      </c>
      <c r="C44" s="416" t="s">
        <v>767</v>
      </c>
      <c r="D44" s="416" t="s">
        <v>552</v>
      </c>
      <c r="E44" s="416" t="s">
        <v>761</v>
      </c>
    </row>
    <row r="45" customFormat="false" ht="15" hidden="false" customHeight="false" outlineLevel="0" collapsed="false">
      <c r="A45" s="416" t="s">
        <v>768</v>
      </c>
      <c r="B45" s="416" t="s">
        <v>769</v>
      </c>
      <c r="C45" s="416" t="s">
        <v>770</v>
      </c>
      <c r="D45" s="416" t="s">
        <v>771</v>
      </c>
      <c r="E45" s="416" t="s">
        <v>761</v>
      </c>
    </row>
    <row r="46" customFormat="false" ht="15" hidden="false" customHeight="false" outlineLevel="0" collapsed="false">
      <c r="A46" s="416" t="s">
        <v>772</v>
      </c>
      <c r="B46" s="416" t="s">
        <v>773</v>
      </c>
      <c r="C46" s="416" t="s">
        <v>774</v>
      </c>
      <c r="D46" s="416" t="s">
        <v>684</v>
      </c>
      <c r="E46" s="416" t="s">
        <v>761</v>
      </c>
    </row>
    <row r="47" customFormat="false" ht="15" hidden="false" customHeight="false" outlineLevel="0" collapsed="false">
      <c r="A47" s="416" t="s">
        <v>775</v>
      </c>
      <c r="B47" s="416" t="s">
        <v>776</v>
      </c>
      <c r="C47" s="416" t="s">
        <v>777</v>
      </c>
      <c r="D47" s="416" t="s">
        <v>639</v>
      </c>
      <c r="E47" s="416" t="s">
        <v>761</v>
      </c>
    </row>
    <row r="48" customFormat="false" ht="15" hidden="false" customHeight="false" outlineLevel="0" collapsed="false">
      <c r="A48" s="416" t="s">
        <v>778</v>
      </c>
      <c r="B48" s="416" t="s">
        <v>779</v>
      </c>
      <c r="C48" s="416" t="s">
        <v>780</v>
      </c>
      <c r="D48" s="416" t="s">
        <v>639</v>
      </c>
      <c r="E48" s="416" t="s">
        <v>761</v>
      </c>
    </row>
    <row r="49" customFormat="false" ht="15" hidden="false" customHeight="false" outlineLevel="0" collapsed="false">
      <c r="A49" s="416" t="s">
        <v>781</v>
      </c>
      <c r="B49" s="416" t="s">
        <v>782</v>
      </c>
      <c r="C49" s="416" t="s">
        <v>783</v>
      </c>
      <c r="D49" s="416" t="s">
        <v>784</v>
      </c>
      <c r="E49" s="416" t="s">
        <v>785</v>
      </c>
    </row>
    <row r="50" customFormat="false" ht="15" hidden="false" customHeight="false" outlineLevel="0" collapsed="false">
      <c r="A50" s="416" t="s">
        <v>786</v>
      </c>
      <c r="B50" s="416" t="s">
        <v>787</v>
      </c>
      <c r="C50" s="416" t="s">
        <v>642</v>
      </c>
      <c r="D50" s="416" t="s">
        <v>643</v>
      </c>
      <c r="E50" s="416" t="s">
        <v>785</v>
      </c>
    </row>
    <row r="51" customFormat="false" ht="15" hidden="false" customHeight="false" outlineLevel="0" collapsed="false">
      <c r="A51" s="416" t="s">
        <v>788</v>
      </c>
      <c r="B51" s="416" t="s">
        <v>789</v>
      </c>
      <c r="C51" s="416" t="s">
        <v>790</v>
      </c>
      <c r="D51" s="416" t="s">
        <v>639</v>
      </c>
      <c r="E51" s="416" t="s">
        <v>785</v>
      </c>
    </row>
    <row r="52" customFormat="false" ht="15" hidden="false" customHeight="false" outlineLevel="0" collapsed="false">
      <c r="A52" s="416" t="s">
        <v>791</v>
      </c>
      <c r="B52" s="416" t="s">
        <v>792</v>
      </c>
      <c r="C52" s="416" t="s">
        <v>793</v>
      </c>
      <c r="D52" s="416" t="s">
        <v>639</v>
      </c>
      <c r="E52" s="416" t="s">
        <v>785</v>
      </c>
    </row>
    <row r="53" customFormat="false" ht="15" hidden="false" customHeight="false" outlineLevel="0" collapsed="false">
      <c r="A53" s="416" t="s">
        <v>794</v>
      </c>
      <c r="B53" s="416" t="s">
        <v>795</v>
      </c>
      <c r="C53" s="416" t="s">
        <v>796</v>
      </c>
      <c r="D53" s="416" t="s">
        <v>797</v>
      </c>
      <c r="E53" s="416" t="s">
        <v>785</v>
      </c>
    </row>
    <row r="54" customFormat="false" ht="15" hidden="false" customHeight="false" outlineLevel="0" collapsed="false">
      <c r="A54" s="416" t="s">
        <v>798</v>
      </c>
      <c r="B54" s="416" t="s">
        <v>799</v>
      </c>
      <c r="C54" s="416" t="s">
        <v>800</v>
      </c>
      <c r="D54" s="416" t="s">
        <v>801</v>
      </c>
      <c r="E54" s="416" t="s">
        <v>785</v>
      </c>
    </row>
    <row r="55" customFormat="false" ht="15" hidden="false" customHeight="false" outlineLevel="0" collapsed="false">
      <c r="A55" s="416" t="s">
        <v>802</v>
      </c>
      <c r="B55" s="416" t="s">
        <v>803</v>
      </c>
      <c r="C55" s="416" t="s">
        <v>804</v>
      </c>
      <c r="D55" s="416" t="s">
        <v>805</v>
      </c>
      <c r="E55" s="416" t="s">
        <v>806</v>
      </c>
    </row>
    <row r="56" customFormat="false" ht="15" hidden="false" customHeight="false" outlineLevel="0" collapsed="false">
      <c r="A56" s="416" t="s">
        <v>807</v>
      </c>
      <c r="B56" s="416" t="s">
        <v>808</v>
      </c>
      <c r="C56" s="416" t="s">
        <v>642</v>
      </c>
      <c r="D56" s="416" t="s">
        <v>643</v>
      </c>
      <c r="E56" s="416" t="s">
        <v>806</v>
      </c>
    </row>
    <row r="57" customFormat="false" ht="15" hidden="false" customHeight="false" outlineLevel="0" collapsed="false">
      <c r="A57" s="416" t="s">
        <v>809</v>
      </c>
      <c r="B57" s="416" t="s">
        <v>810</v>
      </c>
      <c r="C57" s="416" t="s">
        <v>811</v>
      </c>
      <c r="D57" s="416" t="s">
        <v>684</v>
      </c>
      <c r="E57" s="416" t="s">
        <v>812</v>
      </c>
    </row>
    <row r="58" customFormat="false" ht="15" hidden="false" customHeight="false" outlineLevel="0" collapsed="false">
      <c r="A58" s="416" t="s">
        <v>813</v>
      </c>
      <c r="B58" s="416" t="s">
        <v>814</v>
      </c>
      <c r="C58" s="416" t="s">
        <v>815</v>
      </c>
      <c r="D58" s="416" t="s">
        <v>40</v>
      </c>
      <c r="E58" s="416" t="s">
        <v>816</v>
      </c>
    </row>
    <row r="59" customFormat="false" ht="15" hidden="false" customHeight="false" outlineLevel="0" collapsed="false">
      <c r="A59" s="416" t="s">
        <v>817</v>
      </c>
      <c r="B59" s="416" t="s">
        <v>818</v>
      </c>
      <c r="C59" s="416" t="s">
        <v>819</v>
      </c>
      <c r="D59" s="416" t="s">
        <v>108</v>
      </c>
      <c r="E59" s="416" t="s">
        <v>816</v>
      </c>
    </row>
    <row r="60" customFormat="false" ht="15" hidden="false" customHeight="false" outlineLevel="0" collapsed="false">
      <c r="A60" s="416" t="s">
        <v>820</v>
      </c>
      <c r="B60" s="416" t="s">
        <v>821</v>
      </c>
      <c r="C60" s="416" t="s">
        <v>822</v>
      </c>
      <c r="D60" s="416" t="s">
        <v>676</v>
      </c>
      <c r="E60" s="416" t="s">
        <v>816</v>
      </c>
    </row>
    <row r="61" customFormat="false" ht="15" hidden="false" customHeight="false" outlineLevel="0" collapsed="false">
      <c r="A61" s="416" t="s">
        <v>823</v>
      </c>
      <c r="B61" s="416" t="s">
        <v>824</v>
      </c>
      <c r="C61" s="416" t="s">
        <v>825</v>
      </c>
      <c r="D61" s="416" t="s">
        <v>9</v>
      </c>
      <c r="E61" s="416" t="s">
        <v>816</v>
      </c>
    </row>
    <row r="62" customFormat="false" ht="15" hidden="false" customHeight="false" outlineLevel="0" collapsed="false">
      <c r="A62" s="416" t="s">
        <v>826</v>
      </c>
      <c r="B62" s="416" t="s">
        <v>827</v>
      </c>
      <c r="C62" s="416" t="s">
        <v>828</v>
      </c>
      <c r="D62" s="416" t="s">
        <v>771</v>
      </c>
      <c r="E62" s="416" t="s">
        <v>816</v>
      </c>
    </row>
    <row r="65" customFormat="false" ht="15" hidden="false" customHeight="false" outlineLevel="0" collapsed="false">
      <c r="A65" s="417" t="s">
        <v>829</v>
      </c>
    </row>
    <row r="66" customFormat="false" ht="15" hidden="false" customHeight="false" outlineLevel="0" collapsed="false">
      <c r="A66" s="415" t="s">
        <v>235</v>
      </c>
      <c r="B66" s="415" t="s">
        <v>237</v>
      </c>
      <c r="C66" s="415" t="s">
        <v>238</v>
      </c>
      <c r="D66" s="415" t="s">
        <v>239</v>
      </c>
      <c r="E66" s="415" t="s">
        <v>240</v>
      </c>
      <c r="F66" s="415" t="s">
        <v>241</v>
      </c>
      <c r="G66" s="415" t="s">
        <v>242</v>
      </c>
      <c r="H66" s="415" t="s">
        <v>243</v>
      </c>
      <c r="I66" s="415" t="s">
        <v>244</v>
      </c>
    </row>
    <row r="67" customFormat="false" ht="15" hidden="false" customHeight="false" outlineLevel="0" collapsed="false">
      <c r="A67" s="416" t="s">
        <v>830</v>
      </c>
      <c r="B67" s="418" t="n">
        <f aca="false">Drivers!C39/1000000</f>
        <v>19.43824</v>
      </c>
      <c r="C67" s="418" t="n">
        <f aca="false">Drivers!D39/1000000</f>
        <v>30.928285</v>
      </c>
      <c r="D67" s="418" t="n">
        <f aca="false">Drivers!E39/1000000</f>
        <v>47.5465281</v>
      </c>
      <c r="E67" s="418" t="n">
        <f aca="false">Drivers!F39/1000000</f>
        <v>63.67381698996</v>
      </c>
      <c r="F67" s="418" t="n">
        <f aca="false">Drivers!G39/1000000</f>
        <v>79.7406200829525</v>
      </c>
      <c r="G67" s="418" t="n">
        <f aca="false">Drivers!H39/1000000</f>
        <v>110.401664919354</v>
      </c>
      <c r="H67" s="418" t="n">
        <f aca="false">Drivers!I39/1000000</f>
        <v>141.604332588451</v>
      </c>
      <c r="I67" s="418" t="n">
        <f aca="false">Drivers!J39/1000000</f>
        <v>170.317748046407</v>
      </c>
    </row>
    <row r="68" customFormat="false" ht="15" hidden="false" customHeight="false" outlineLevel="0" collapsed="false">
      <c r="A68" s="416" t="s">
        <v>831</v>
      </c>
      <c r="C68" s="419" t="n">
        <f aca="false">Drivers!D40</f>
        <v>0.591105213229181</v>
      </c>
      <c r="D68" s="419" t="n">
        <f aca="false">Drivers!E40</f>
        <v>0.537315376523464</v>
      </c>
      <c r="E68" s="419" t="n">
        <f aca="false">Drivers!F40</f>
        <v>0.339189621922363</v>
      </c>
      <c r="F68" s="419" t="n">
        <f aca="false">Drivers!G40</f>
        <v>0.252329824918865</v>
      </c>
      <c r="G68" s="419" t="n">
        <f aca="false">Drivers!H40</f>
        <v>0.384509736750299</v>
      </c>
      <c r="H68" s="419" t="n">
        <f aca="false">Drivers!I40</f>
        <v>0.28262859705866</v>
      </c>
      <c r="I68" s="419" t="n">
        <f aca="false">Drivers!J40</f>
        <v>0.202772153458088</v>
      </c>
    </row>
    <row r="69" customFormat="false" ht="15" hidden="false" customHeight="false" outlineLevel="0" collapsed="false">
      <c r="A69" s="416" t="s">
        <v>341</v>
      </c>
      <c r="B69" s="419" t="n">
        <f aca="false">Drivers!C80</f>
        <v>-0.142117352188264</v>
      </c>
      <c r="C69" s="419" t="n">
        <f aca="false">Drivers!D80</f>
        <v>0.0651366136208328</v>
      </c>
      <c r="D69" s="419" t="n">
        <f aca="false">Drivers!E80</f>
        <v>0.161833671626173</v>
      </c>
      <c r="E69" s="419" t="n">
        <f aca="false">Drivers!F80</f>
        <v>0.178789407841557</v>
      </c>
      <c r="F69" s="419" t="n">
        <f aca="false">Drivers!G80</f>
        <v>0.178952390484925</v>
      </c>
      <c r="G69" s="419" t="n">
        <f aca="false">Drivers!H80</f>
        <v>0.160844626537491</v>
      </c>
      <c r="H69" s="419" t="n">
        <f aca="false">Drivers!I80</f>
        <v>0.19015424005941</v>
      </c>
      <c r="I69" s="419" t="n">
        <f aca="false">Drivers!J80</f>
        <v>0.202178779341621</v>
      </c>
    </row>
    <row r="70" customFormat="false" ht="15" hidden="false" customHeight="false" outlineLevel="0" collapsed="false">
      <c r="A70" s="248" t="s">
        <v>832</v>
      </c>
    </row>
    <row r="72" customFormat="false" ht="15" hidden="false" customHeight="false" outlineLevel="0" collapsed="false">
      <c r="A72" s="417" t="s">
        <v>833</v>
      </c>
    </row>
    <row r="73" customFormat="false" ht="15" hidden="false" customHeight="false" outlineLevel="0" collapsed="false">
      <c r="A73" s="415" t="s">
        <v>531</v>
      </c>
      <c r="B73" s="415" t="s">
        <v>503</v>
      </c>
      <c r="C73" s="415" t="s">
        <v>550</v>
      </c>
      <c r="D73" s="415" t="s">
        <v>504</v>
      </c>
    </row>
    <row r="74" customFormat="false" ht="15" hidden="false" customHeight="false" outlineLevel="0" collapsed="false">
      <c r="A74" s="416" t="s">
        <v>834</v>
      </c>
      <c r="B74" s="418" t="n">
        <f aca="false">Summary!B18</f>
        <v>27.5209754500936</v>
      </c>
      <c r="C74" s="418" t="n">
        <f aca="false">Summary!C18</f>
        <v>38.9357739132009</v>
      </c>
      <c r="D74" s="418" t="n">
        <f aca="false">Summary!D18</f>
        <v>56.7989464770092</v>
      </c>
    </row>
    <row r="75" customFormat="false" ht="15" hidden="false" customHeight="false" outlineLevel="0" collapsed="false">
      <c r="A75" s="416" t="s">
        <v>835</v>
      </c>
      <c r="B75" s="418" t="n">
        <f aca="false">Summary!B19</f>
        <v>10.9810134418601</v>
      </c>
      <c r="C75" s="418" t="n">
        <f aca="false">Summary!C19</f>
        <v>24.7530142793452</v>
      </c>
      <c r="D75" s="418" t="n">
        <f aca="false">Summary!D19</f>
        <v>40.0841095512626</v>
      </c>
    </row>
    <row r="76" customFormat="false" ht="15" hidden="false" customHeight="false" outlineLevel="0" collapsed="false">
      <c r="A76" s="416" t="s">
        <v>836</v>
      </c>
      <c r="B76" s="418" t="n">
        <f aca="false">Summary!B20</f>
        <v>66.2208447629858</v>
      </c>
      <c r="C76" s="418" t="n">
        <f aca="false">Summary!C20</f>
        <v>79.3126794028295</v>
      </c>
      <c r="D76" s="418" t="n">
        <f aca="false">Summary!D20</f>
        <v>92.4045140426731</v>
      </c>
    </row>
    <row r="77" customFormat="false" ht="15" hidden="false" customHeight="false" outlineLevel="0" collapsed="false">
      <c r="A77" s="416" t="s">
        <v>837</v>
      </c>
      <c r="B77" s="418" t="n">
        <f aca="false">Summary!B21</f>
        <v>19.2509944459768</v>
      </c>
      <c r="C77" s="418" t="n">
        <f aca="false">Summary!C21</f>
        <v>31.844394096273</v>
      </c>
      <c r="D77" s="418" t="n">
        <f aca="false">Summary!D21</f>
        <v>48.4415280141359</v>
      </c>
    </row>
    <row r="78" customFormat="false" ht="15" hidden="false" customHeight="false" outlineLevel="0" collapsed="false">
      <c r="A78" s="416" t="s">
        <v>838</v>
      </c>
      <c r="C78" s="418" t="n">
        <f aca="false">Summary!B24</f>
        <v>37.6107630979458</v>
      </c>
    </row>
    <row r="79" customFormat="false" ht="15" hidden="false" customHeight="false" outlineLevel="0" collapsed="false">
      <c r="A79" s="248" t="s">
        <v>839</v>
      </c>
    </row>
    <row r="81" customFormat="false" ht="15" hidden="false" customHeight="false" outlineLevel="0" collapsed="false">
      <c r="A81" s="417" t="s">
        <v>840</v>
      </c>
    </row>
    <row r="82" customFormat="false" ht="15" hidden="false" customHeight="false" outlineLevel="0" collapsed="false">
      <c r="A82" s="415" t="s">
        <v>235</v>
      </c>
      <c r="B82" s="415" t="s">
        <v>237</v>
      </c>
      <c r="C82" s="415" t="s">
        <v>238</v>
      </c>
      <c r="D82" s="415" t="s">
        <v>239</v>
      </c>
      <c r="E82" s="415" t="s">
        <v>240</v>
      </c>
      <c r="F82" s="415" t="s">
        <v>241</v>
      </c>
      <c r="G82" s="415" t="s">
        <v>242</v>
      </c>
      <c r="H82" s="415" t="s">
        <v>243</v>
      </c>
      <c r="I82" s="415" t="s">
        <v>244</v>
      </c>
    </row>
    <row r="83" customFormat="false" ht="15" hidden="false" customHeight="false" outlineLevel="0" collapsed="false">
      <c r="A83" s="416" t="s">
        <v>49</v>
      </c>
      <c r="B83" s="418" t="n">
        <f aca="false">Drivers!C39/1000000</f>
        <v>19.43824</v>
      </c>
      <c r="C83" s="418" t="n">
        <f aca="false">Drivers!D39/1000000</f>
        <v>30.928285</v>
      </c>
      <c r="D83" s="418" t="n">
        <f aca="false">Drivers!E39/1000000</f>
        <v>47.5465281</v>
      </c>
      <c r="E83" s="418" t="n">
        <f aca="false">Drivers!F39/1000000</f>
        <v>63.67381698996</v>
      </c>
      <c r="F83" s="418" t="n">
        <f aca="false">Drivers!G39/1000000</f>
        <v>79.7406200829525</v>
      </c>
      <c r="G83" s="418" t="n">
        <f aca="false">Drivers!H39/1000000</f>
        <v>110.401664919354</v>
      </c>
      <c r="H83" s="418" t="n">
        <f aca="false">Drivers!I39/1000000</f>
        <v>141.604332588451</v>
      </c>
      <c r="I83" s="418" t="n">
        <f aca="false">Drivers!J39/1000000</f>
        <v>170.317748046407</v>
      </c>
    </row>
    <row r="84" customFormat="false" ht="15" hidden="false" customHeight="false" outlineLevel="0" collapsed="false">
      <c r="A84" s="416" t="s">
        <v>841</v>
      </c>
      <c r="C84" s="419" t="n">
        <f aca="false">Drivers!D40</f>
        <v>0.591105213229181</v>
      </c>
      <c r="D84" s="419" t="n">
        <f aca="false">Drivers!E40</f>
        <v>0.537315376523464</v>
      </c>
      <c r="E84" s="419" t="n">
        <f aca="false">Drivers!F40</f>
        <v>0.339189621922363</v>
      </c>
      <c r="F84" s="419" t="n">
        <f aca="false">Drivers!G40</f>
        <v>0.252329824918865</v>
      </c>
      <c r="G84" s="419" t="n">
        <f aca="false">Drivers!H40</f>
        <v>0.384509736750299</v>
      </c>
      <c r="H84" s="419" t="n">
        <f aca="false">Drivers!I40</f>
        <v>0.28262859705866</v>
      </c>
      <c r="I84" s="419" t="n">
        <f aca="false">Drivers!J40</f>
        <v>0.202772153458088</v>
      </c>
    </row>
    <row r="85" customFormat="false" ht="15" hidden="false" customHeight="false" outlineLevel="0" collapsed="false">
      <c r="A85" s="416" t="s">
        <v>340</v>
      </c>
      <c r="B85" s="418" t="n">
        <f aca="false">Drivers!C79/1000000</f>
        <v>-2.7625112</v>
      </c>
      <c r="C85" s="418" t="n">
        <f aca="false">Drivers!D79/1000000</f>
        <v>2.01456375</v>
      </c>
      <c r="D85" s="418" t="n">
        <f aca="false">Drivers!E79/1000000</f>
        <v>7.6946292155</v>
      </c>
      <c r="E85" s="418" t="n">
        <f aca="false">Drivers!F79/1000000</f>
        <v>11.3842040346466</v>
      </c>
      <c r="F85" s="418" t="n">
        <f aca="false">Drivers!G79/1000000</f>
        <v>14.2697745825946</v>
      </c>
      <c r="G85" s="418" t="n">
        <f aca="false">Drivers!H79/1000000</f>
        <v>17.7575145630708</v>
      </c>
      <c r="H85" s="418" t="n">
        <f aca="false">Drivers!I79/1000000</f>
        <v>26.926664252477</v>
      </c>
      <c r="I85" s="418" t="n">
        <f aca="false">Drivers!J79/1000000</f>
        <v>34.4346344002363</v>
      </c>
    </row>
    <row r="86" customFormat="false" ht="15" hidden="false" customHeight="false" outlineLevel="0" collapsed="false">
      <c r="A86" s="416" t="s">
        <v>341</v>
      </c>
      <c r="B86" s="419" t="n">
        <f aca="false">Drivers!C80</f>
        <v>-0.142117352188264</v>
      </c>
      <c r="C86" s="419" t="n">
        <f aca="false">Drivers!D80</f>
        <v>0.0651366136208328</v>
      </c>
      <c r="D86" s="419" t="n">
        <f aca="false">Drivers!E80</f>
        <v>0.161833671626173</v>
      </c>
      <c r="E86" s="419" t="n">
        <f aca="false">Drivers!F80</f>
        <v>0.178789407841557</v>
      </c>
      <c r="F86" s="419" t="n">
        <f aca="false">Drivers!G80</f>
        <v>0.178952390484925</v>
      </c>
      <c r="G86" s="419" t="n">
        <f aca="false">Drivers!H80</f>
        <v>0.160844626537491</v>
      </c>
      <c r="H86" s="419" t="n">
        <f aca="false">Drivers!I80</f>
        <v>0.19015424005941</v>
      </c>
      <c r="I86" s="419" t="n">
        <f aca="false">Drivers!J80</f>
        <v>0.202178779341621</v>
      </c>
    </row>
    <row r="87" customFormat="false" ht="15" hidden="false" customHeight="false" outlineLevel="0" collapsed="false">
      <c r="A87" s="416" t="s">
        <v>842</v>
      </c>
      <c r="B87" s="418" t="n">
        <f aca="false">'Income Statement'!B80/1000000</f>
        <v>-4.3090112</v>
      </c>
      <c r="C87" s="418" t="n">
        <f aca="false">'Income Statement'!C80/1000000</f>
        <v>-0.50327625</v>
      </c>
      <c r="D87" s="418" t="n">
        <f aca="false">'Income Statement'!D80/1000000</f>
        <v>4.4204952155</v>
      </c>
      <c r="E87" s="418" t="n">
        <f aca="false">'Income Statement'!E80/1000000</f>
        <v>6.5791398766217</v>
      </c>
      <c r="F87" s="418" t="n">
        <f aca="false">'Income Statement'!F80/1000000</f>
        <v>5.82744518657437</v>
      </c>
      <c r="G87" s="418" t="n">
        <f aca="false">'Income Statement'!G80/1000000</f>
        <v>2.39786880448502</v>
      </c>
      <c r="H87" s="418" t="n">
        <f aca="false">'Income Statement'!H80/1000000</f>
        <v>8.71015211079786</v>
      </c>
      <c r="I87" s="418" t="n">
        <f aca="false">'Income Statement'!I80/1000000</f>
        <v>13.8547081054738</v>
      </c>
    </row>
    <row r="88" customFormat="false" ht="15" hidden="false" customHeight="false" outlineLevel="0" collapsed="false">
      <c r="A88" s="416" t="s">
        <v>843</v>
      </c>
      <c r="B88" s="420" t="n">
        <f aca="false">('Cash Flow Statement'!C19+'Cash Flow Statement'!C22)/1000000</f>
        <v>-8.9660112</v>
      </c>
      <c r="C88" s="420" t="n">
        <f aca="false">('Cash Flow Statement'!D19+'Cash Flow Statement'!D22)/1000000</f>
        <v>-5.60845625</v>
      </c>
      <c r="D88" s="420" t="n">
        <f aca="false">('Cash Flow Statement'!E19+'Cash Flow Statement'!E22)/1000000</f>
        <v>1.19794921549999</v>
      </c>
      <c r="E88" s="420" t="n">
        <f aca="false">DCF!C10/1000000</f>
        <v>-4.86489964943638</v>
      </c>
      <c r="F88" s="420" t="n">
        <f aca="false">DCF!D10/1000000</f>
        <v>-42.6417458610666</v>
      </c>
      <c r="G88" s="420" t="n">
        <f aca="false">DCF!E10/1000000</f>
        <v>-3.68333239197345</v>
      </c>
      <c r="H88" s="420" t="n">
        <f aca="false">DCF!F10/1000000</f>
        <v>3.62304912114108</v>
      </c>
      <c r="I88" s="420" t="n">
        <f aca="false">DCF!G10/1000000</f>
        <v>8.65678707685356</v>
      </c>
    </row>
    <row r="89" customFormat="false" ht="15" hidden="false" customHeight="false" outlineLevel="0" collapsed="false">
      <c r="A89" s="416" t="s">
        <v>844</v>
      </c>
      <c r="B89" s="419" t="n">
        <f aca="false">Drivers!C83</f>
        <v>0.257687938825737</v>
      </c>
      <c r="C89" s="419" t="n">
        <f aca="false">Drivers!D83</f>
        <v>0.2038781005801</v>
      </c>
      <c r="D89" s="419" t="n">
        <f aca="false">Drivers!E83</f>
        <v>0.106937776598666</v>
      </c>
      <c r="E89" s="419" t="n">
        <f aca="false">Drivers!F83</f>
        <v>0.2</v>
      </c>
      <c r="F89" s="419" t="n">
        <f aca="false">Drivers!G83</f>
        <v>0.65</v>
      </c>
      <c r="G89" s="419" t="n">
        <f aca="false">Drivers!H83</f>
        <v>0.12</v>
      </c>
      <c r="H89" s="419" t="n">
        <f aca="false">Drivers!I83</f>
        <v>0.1</v>
      </c>
      <c r="I89" s="419" t="n">
        <f aca="false">Drivers!J83</f>
        <v>0.1</v>
      </c>
    </row>
    <row r="90" customFormat="false" ht="15" hidden="false" customHeight="false" outlineLevel="0" collapsed="false">
      <c r="A90" s="416" t="s">
        <v>845</v>
      </c>
      <c r="D90" s="421" t="n">
        <f aca="false">('Income Statement'!D65-'Income Statement'!D71)*(1-Assumption!$D$15)/(Drivers!E90+Drivers!E104)</f>
        <v>0.12744318375483</v>
      </c>
      <c r="E90" s="421" t="n">
        <f aca="false">DCF!C5/(Drivers!F90+Drivers!F104)</f>
        <v>0.16689273549338</v>
      </c>
      <c r="F90" s="421" t="n">
        <f aca="false">DCF!D5/(Drivers!G90+Drivers!G104)</f>
        <v>0.0799425729606493</v>
      </c>
      <c r="G90" s="421" t="n">
        <f aca="false">DCF!E5/(Drivers!H90+Drivers!H104)</f>
        <v>0.0507708980889595</v>
      </c>
      <c r="H90" s="421" t="n">
        <f aca="false">DCF!F5/(Drivers!I90+Drivers!I104)</f>
        <v>0.104296417970394</v>
      </c>
      <c r="I90" s="421" t="n">
        <f aca="false">DCF!G5/(Drivers!J90+Drivers!J104)</f>
        <v>0.138811531585547</v>
      </c>
    </row>
    <row r="91" customFormat="false" ht="15" hidden="false" customHeight="false" outlineLevel="0" collapsed="false">
      <c r="A91" s="416" t="s">
        <v>846</v>
      </c>
      <c r="B91" s="418" t="n">
        <f aca="false">'Balance Sheet'!E76/1000000</f>
        <v>19.0549888</v>
      </c>
      <c r="C91" s="418" t="n">
        <f aca="false">'Balance Sheet'!F76/1000000</f>
        <v>25.55171255</v>
      </c>
      <c r="D91" s="418" t="n">
        <f aca="false">'Balance Sheet'!G76/1000000</f>
        <v>29.9722077655</v>
      </c>
      <c r="E91" s="418" t="n">
        <f aca="false">'Balance Sheet'!H76/1000000</f>
        <v>74.1621107400676</v>
      </c>
      <c r="F91" s="418" t="n">
        <f aca="false">'Balance Sheet'!I76/1000000</f>
        <v>79.9895559266419</v>
      </c>
      <c r="G91" s="418" t="n">
        <f aca="false">'Balance Sheet'!J76/1000000</f>
        <v>82.3874247311269</v>
      </c>
      <c r="H91" s="418" t="n">
        <f aca="false">'Balance Sheet'!K76/1000000</f>
        <v>91.0975768419248</v>
      </c>
      <c r="I91" s="418" t="n">
        <f aca="false">'Balance Sheet'!L76/1000000</f>
        <v>104.952284947399</v>
      </c>
    </row>
    <row r="92" customFormat="false" ht="15" hidden="false" customHeight="false" outlineLevel="0" collapsed="false">
      <c r="A92" s="416" t="s">
        <v>847</v>
      </c>
      <c r="B92" s="418" t="n">
        <f aca="false">('Balance Sheet'!E48+'Balance Sheet'!E61)/1000000</f>
        <v>1.29</v>
      </c>
      <c r="C92" s="418" t="n">
        <f aca="false">('Balance Sheet'!F48+'Balance Sheet'!F61)/1000000</f>
        <v>1.608</v>
      </c>
      <c r="D92" s="418" t="n">
        <f aca="false">('Balance Sheet'!G48+'Balance Sheet'!G61)/1000000</f>
        <v>1.6026</v>
      </c>
      <c r="E92" s="418" t="n">
        <f aca="false">('Balance Sheet'!H48+'Balance Sheet'!H61)/1000000</f>
        <v>1.6026</v>
      </c>
      <c r="F92" s="418" t="n">
        <f aca="false">('Balance Sheet'!I48+'Balance Sheet'!I61)/1000000</f>
        <v>32.7014418323515</v>
      </c>
      <c r="G92" s="418" t="n">
        <f aca="false">('Balance Sheet'!J48+'Balance Sheet'!J61)/1000000</f>
        <v>32.7014418323515</v>
      </c>
      <c r="H92" s="418" t="n">
        <f aca="false">('Balance Sheet'!K48+'Balance Sheet'!K61)/1000000</f>
        <v>26.4816734658812</v>
      </c>
      <c r="I92" s="418" t="n">
        <f aca="false">('Balance Sheet'!L48+'Balance Sheet'!L61)/1000000</f>
        <v>20.2619050994109</v>
      </c>
    </row>
    <row r="93" customFormat="false" ht="15" hidden="false" customHeight="false" outlineLevel="0" collapsed="false">
      <c r="A93" s="248" t="s">
        <v>848</v>
      </c>
    </row>
    <row r="95" customFormat="false" ht="15" hidden="false" customHeight="false" outlineLevel="0" collapsed="false">
      <c r="A95" s="417" t="s">
        <v>849</v>
      </c>
    </row>
    <row r="96" customFormat="false" ht="15" hidden="false" customHeight="false" outlineLevel="0" collapsed="false">
      <c r="A96" s="415" t="s">
        <v>850</v>
      </c>
      <c r="B96" s="415" t="s">
        <v>237</v>
      </c>
      <c r="C96" s="415" t="s">
        <v>238</v>
      </c>
      <c r="D96" s="415" t="s">
        <v>239</v>
      </c>
      <c r="E96" s="415" t="s">
        <v>240</v>
      </c>
      <c r="F96" s="415" t="s">
        <v>241</v>
      </c>
      <c r="G96" s="415" t="s">
        <v>242</v>
      </c>
      <c r="H96" s="415" t="s">
        <v>243</v>
      </c>
      <c r="I96" s="415" t="s">
        <v>244</v>
      </c>
    </row>
    <row r="97" customFormat="false" ht="15" hidden="false" customHeight="false" outlineLevel="0" collapsed="false">
      <c r="A97" s="416" t="s">
        <v>851</v>
      </c>
      <c r="B97" s="418" t="n">
        <f aca="false">Drivers!C14/1000000</f>
        <v>15.055</v>
      </c>
      <c r="C97" s="418" t="n">
        <f aca="false">Drivers!D14/1000000</f>
        <v>24.088</v>
      </c>
      <c r="D97" s="418" t="n">
        <f aca="false">Drivers!E14/1000000</f>
        <v>38.05904</v>
      </c>
      <c r="E97" s="418" t="n">
        <f aca="false">Drivers!F14/1000000</f>
        <v>51.242691456</v>
      </c>
      <c r="F97" s="418" t="n">
        <f aca="false">Drivers!G14/1000000</f>
        <v>63.7664052478464</v>
      </c>
      <c r="G97" s="418" t="n">
        <f aca="false">Drivers!H14/1000000</f>
        <v>87.8063400262845</v>
      </c>
      <c r="H97" s="418" t="n">
        <f aca="false">Drivers!I14/1000000</f>
        <v>111.953083533513</v>
      </c>
      <c r="I97" s="418" t="n">
        <f aca="false">Drivers!J14/1000000</f>
        <v>133.604809888894</v>
      </c>
    </row>
    <row r="98" customFormat="false" ht="15" hidden="false" customHeight="false" outlineLevel="0" collapsed="false">
      <c r="A98" s="416" t="s">
        <v>852</v>
      </c>
      <c r="B98" s="418" t="n">
        <f aca="false">Drivers!C21/1000000</f>
        <v>3.02</v>
      </c>
      <c r="C98" s="418" t="n">
        <f aca="false">Drivers!D21/1000000</f>
        <v>4.228</v>
      </c>
      <c r="D98" s="418" t="n">
        <f aca="false">Drivers!E21/1000000</f>
        <v>5.89806</v>
      </c>
      <c r="E98" s="418" t="n">
        <f aca="false">Drivers!F21/1000000</f>
        <v>7.339545864</v>
      </c>
      <c r="F98" s="418" t="n">
        <f aca="false">Drivers!G21/1000000</f>
        <v>8.8338774019104</v>
      </c>
      <c r="G98" s="418" t="n">
        <f aca="false">Drivers!H21/1000000</f>
        <v>11.5335103359342</v>
      </c>
      <c r="H98" s="418" t="n">
        <f aca="false">Drivers!I21/1000000</f>
        <v>14.1170166511835</v>
      </c>
      <c r="I98" s="418" t="n">
        <f aca="false">Drivers!J21/1000000</f>
        <v>16.5592605318382</v>
      </c>
    </row>
    <row r="99" customFormat="false" ht="15" hidden="false" customHeight="false" outlineLevel="0" collapsed="false">
      <c r="A99" s="416" t="s">
        <v>853</v>
      </c>
      <c r="B99" s="418" t="n">
        <f aca="false">Drivers!C28/1000000</f>
        <v>1.52</v>
      </c>
      <c r="C99" s="418" t="n">
        <f aca="false">Drivers!D28/1000000</f>
        <v>2.28</v>
      </c>
      <c r="D99" s="418" t="n">
        <f aca="false">Drivers!E28/1000000</f>
        <v>2.736</v>
      </c>
      <c r="E99" s="418" t="n">
        <f aca="false">Drivers!F28/1000000</f>
        <v>3.610152</v>
      </c>
      <c r="F99" s="418" t="n">
        <f aca="false">Drivers!G28/1000000</f>
        <v>4.763595564</v>
      </c>
      <c r="G99" s="418" t="n">
        <f aca="false">Drivers!H28/1000000</f>
        <v>6.769069296444</v>
      </c>
      <c r="H99" s="418" t="n">
        <f aca="false">Drivers!I28/1000000</f>
        <v>9.06919904337567</v>
      </c>
      <c r="I99" s="418" t="n">
        <f aca="false">Drivers!J28/1000000</f>
        <v>11.5065462862829</v>
      </c>
    </row>
    <row r="100" customFormat="false" ht="15" hidden="false" customHeight="false" outlineLevel="0" collapsed="false">
      <c r="A100" s="416" t="s">
        <v>854</v>
      </c>
      <c r="B100" s="418" t="n">
        <f aca="false">Drivers!C35/1000000</f>
        <v>0</v>
      </c>
      <c r="C100" s="418" t="n">
        <f aca="false">Drivers!D35/1000000</f>
        <v>0.566</v>
      </c>
      <c r="D100" s="418" t="n">
        <f aca="false">Drivers!E35/1000000</f>
        <v>1.1886</v>
      </c>
      <c r="E100" s="418" t="n">
        <f aca="false">Drivers!F35/1000000</f>
        <v>1.9302864</v>
      </c>
      <c r="F100" s="418" t="n">
        <f aca="false">Drivers!G35/1000000</f>
        <v>2.938861044</v>
      </c>
      <c r="G100" s="418" t="n">
        <f aca="false">Drivers!H35/1000000</f>
        <v>5.071004731422</v>
      </c>
      <c r="H100" s="418" t="n">
        <f aca="false">Drivers!I35/1000000</f>
        <v>7.46325121347033</v>
      </c>
      <c r="I100" s="418" t="n">
        <f aca="false">Drivers!J35/1000000</f>
        <v>9.84775997617409</v>
      </c>
    </row>
    <row r="101" customFormat="false" ht="15" hidden="false" customHeight="false" outlineLevel="0" collapsed="false">
      <c r="A101" s="416" t="s">
        <v>855</v>
      </c>
      <c r="B101" s="419" t="n">
        <f aca="false">Drivers!C41</f>
        <v>0.768308241898444</v>
      </c>
      <c r="C101" s="419" t="n">
        <f aca="false">Drivers!D41</f>
        <v>0.772992747577177</v>
      </c>
      <c r="D101" s="419" t="n">
        <f aca="false">Drivers!E41</f>
        <v>0.794855654665561</v>
      </c>
      <c r="E101" s="419" t="n">
        <f aca="false">Drivers!F41</f>
        <v>0.799135265031015</v>
      </c>
      <c r="F101" s="419" t="n">
        <f aca="false">Drivers!G41</f>
        <v>0.794075094289974</v>
      </c>
      <c r="G101" s="419" t="n">
        <f aca="false">Drivers!H41</f>
        <v>0.789767941541389</v>
      </c>
      <c r="H101" s="419" t="n">
        <f aca="false">Drivers!I41</f>
        <v>0.78507069604906</v>
      </c>
      <c r="I101" s="419" t="n">
        <f aca="false">Drivers!J41</f>
        <v>0.778953325425152</v>
      </c>
    </row>
    <row r="102" customFormat="false" ht="15" hidden="false" customHeight="false" outlineLevel="0" collapsed="false">
      <c r="A102" s="248" t="s">
        <v>856</v>
      </c>
    </row>
    <row r="104" customFormat="false" ht="15" hidden="false" customHeight="false" outlineLevel="0" collapsed="false">
      <c r="A104" s="417" t="s">
        <v>857</v>
      </c>
    </row>
    <row r="105" customFormat="false" ht="32.8" hidden="false" customHeight="false" outlineLevel="0" collapsed="false">
      <c r="A105" s="415" t="s">
        <v>850</v>
      </c>
      <c r="B105" s="415" t="s">
        <v>858</v>
      </c>
      <c r="C105" s="415" t="s">
        <v>859</v>
      </c>
      <c r="D105" s="415" t="s">
        <v>860</v>
      </c>
      <c r="E105" s="415" t="s">
        <v>861</v>
      </c>
    </row>
    <row r="106" customFormat="false" ht="15" hidden="false" customHeight="false" outlineLevel="0" collapsed="false">
      <c r="A106" s="416" t="s">
        <v>862</v>
      </c>
      <c r="B106" s="422" t="n">
        <v>1.7</v>
      </c>
      <c r="C106" s="422" t="n">
        <v>3.7</v>
      </c>
      <c r="D106" s="420" t="n">
        <f aca="false">Drivers!E10</f>
        <v>2.5</v>
      </c>
      <c r="E106" s="420" t="s">
        <v>863</v>
      </c>
    </row>
    <row r="107" customFormat="false" ht="15" hidden="false" customHeight="false" outlineLevel="0" collapsed="false">
      <c r="A107" s="416" t="s">
        <v>864</v>
      </c>
      <c r="B107" s="422" t="n">
        <v>25</v>
      </c>
      <c r="C107" s="422" t="n">
        <v>55</v>
      </c>
      <c r="D107" s="420" t="n">
        <f aca="false">Drivers!E31</f>
        <v>40</v>
      </c>
      <c r="E107" s="420" t="s">
        <v>275</v>
      </c>
    </row>
    <row r="108" customFormat="false" ht="15" hidden="false" customHeight="false" outlineLevel="0" collapsed="false">
      <c r="A108" s="416" t="s">
        <v>865</v>
      </c>
      <c r="B108" s="422" t="n">
        <v>15</v>
      </c>
      <c r="C108" s="422" t="n">
        <v>30</v>
      </c>
      <c r="D108" s="420" t="n">
        <f aca="false">Drivers!E24</f>
        <v>22.5</v>
      </c>
      <c r="E108" s="420" t="s">
        <v>275</v>
      </c>
    </row>
    <row r="109" customFormat="false" ht="15" hidden="false" customHeight="false" outlineLevel="0" collapsed="false">
      <c r="A109" s="416" t="s">
        <v>866</v>
      </c>
      <c r="D109" s="420" t="n">
        <f aca="false">Drivers!E17/1000</f>
        <v>20</v>
      </c>
      <c r="E109" s="420" t="s">
        <v>867</v>
      </c>
    </row>
    <row r="110" customFormat="false" ht="15" hidden="false" customHeight="false" outlineLevel="0" collapsed="false">
      <c r="A110" s="248" t="s">
        <v>868</v>
      </c>
    </row>
    <row r="112" customFormat="false" ht="15" hidden="false" customHeight="false" outlineLevel="0" collapsed="false">
      <c r="A112" s="417" t="s">
        <v>869</v>
      </c>
    </row>
    <row r="113" customFormat="false" ht="15" hidden="false" customHeight="false" outlineLevel="0" collapsed="false">
      <c r="A113" s="415" t="s">
        <v>235</v>
      </c>
      <c r="B113" s="415" t="s">
        <v>870</v>
      </c>
      <c r="C113" s="415" t="s">
        <v>861</v>
      </c>
    </row>
    <row r="114" customFormat="false" ht="15" hidden="false" customHeight="false" outlineLevel="0" collapsed="false">
      <c r="A114" s="416" t="s">
        <v>871</v>
      </c>
      <c r="B114" s="423" t="n">
        <f aca="false">Drivers!E10*1000</f>
        <v>2500</v>
      </c>
      <c r="C114" s="423" t="s">
        <v>872</v>
      </c>
    </row>
    <row r="115" customFormat="false" ht="15" hidden="false" customHeight="false" outlineLevel="0" collapsed="false">
      <c r="A115" s="416" t="s">
        <v>873</v>
      </c>
      <c r="B115" s="424" t="n">
        <f aca="false">Drivers!E10*1000*(1-Drivers!E38)</f>
        <v>2482.5</v>
      </c>
      <c r="C115" s="424" t="s">
        <v>872</v>
      </c>
    </row>
    <row r="116" customFormat="false" ht="15" hidden="false" customHeight="false" outlineLevel="0" collapsed="false">
      <c r="A116" s="416" t="s">
        <v>874</v>
      </c>
      <c r="B116" s="419" t="n">
        <f aca="false">Drivers!E54</f>
        <v>0.245</v>
      </c>
      <c r="C116" s="419" t="s">
        <v>259</v>
      </c>
    </row>
    <row r="117" customFormat="false" ht="15" hidden="false" customHeight="false" outlineLevel="0" collapsed="false">
      <c r="A117" s="416" t="s">
        <v>875</v>
      </c>
      <c r="B117" s="424" t="n">
        <f aca="false">Drivers!E10*1000*(1-Drivers!E38)*Drivers!E54</f>
        <v>608.2125</v>
      </c>
      <c r="C117" s="424" t="s">
        <v>872</v>
      </c>
    </row>
    <row r="118" customFormat="false" ht="15" hidden="false" customHeight="false" outlineLevel="0" collapsed="false">
      <c r="A118" s="416" t="s">
        <v>876</v>
      </c>
      <c r="B118" s="424" t="n">
        <f aca="false">Drivers!E10*1000*(1-Drivers!E38)*(1-Drivers!E54)</f>
        <v>1874.2875</v>
      </c>
      <c r="C118" s="424" t="s">
        <v>872</v>
      </c>
    </row>
    <row r="119" customFormat="false" ht="15" hidden="false" customHeight="false" outlineLevel="0" collapsed="false">
      <c r="A119" s="416" t="s">
        <v>877</v>
      </c>
      <c r="B119" s="425" t="n">
        <f aca="false">Drivers!E94</f>
        <v>105.853379584676</v>
      </c>
      <c r="C119" s="425" t="s">
        <v>355</v>
      </c>
    </row>
    <row r="120" customFormat="false" ht="15" hidden="false" customHeight="false" outlineLevel="0" collapsed="false">
      <c r="A120" s="248" t="s">
        <v>878</v>
      </c>
    </row>
    <row r="122" customFormat="false" ht="15" hidden="false" customHeight="false" outlineLevel="0" collapsed="false">
      <c r="A122" s="417" t="s">
        <v>879</v>
      </c>
    </row>
    <row r="123" customFormat="false" ht="15" hidden="false" customHeight="false" outlineLevel="0" collapsed="false">
      <c r="A123" s="415" t="s">
        <v>880</v>
      </c>
      <c r="B123" s="415" t="s">
        <v>239</v>
      </c>
      <c r="C123" s="415" t="s">
        <v>244</v>
      </c>
    </row>
    <row r="124" customFormat="false" ht="15" hidden="false" customHeight="false" outlineLevel="0" collapsed="false">
      <c r="A124" s="416" t="s">
        <v>881</v>
      </c>
      <c r="B124" s="418" t="n">
        <f aca="false">Drivers!E50</f>
        <v>1129.79</v>
      </c>
      <c r="C124" s="418" t="n">
        <f aca="false">Drivers!J50</f>
        <v>1384.50362699509</v>
      </c>
    </row>
    <row r="125" customFormat="false" ht="15" hidden="false" customHeight="false" outlineLevel="0" collapsed="false">
      <c r="A125" s="416" t="s">
        <v>882</v>
      </c>
      <c r="B125" s="418" t="n">
        <f aca="false">Drivers!E48</f>
        <v>33.93</v>
      </c>
      <c r="C125" s="418" t="n">
        <f aca="false">Drivers!J48</f>
        <v>42.7503207287255</v>
      </c>
    </row>
    <row r="126" customFormat="false" ht="15" hidden="false" customHeight="false" outlineLevel="0" collapsed="false">
      <c r="A126" s="416" t="s">
        <v>883</v>
      </c>
      <c r="B126" s="426" t="n">
        <f aca="false">Drivers!E47</f>
        <v>1.46380923076923</v>
      </c>
      <c r="C126" s="426" t="n">
        <f aca="false">Drivers!J47</f>
        <v>4.69316321334589</v>
      </c>
    </row>
    <row r="127" customFormat="false" ht="15" hidden="false" customHeight="false" outlineLevel="0" collapsed="false">
      <c r="A127" s="416" t="s">
        <v>884</v>
      </c>
      <c r="B127" s="419" t="n">
        <f aca="false">Drivers!E49</f>
        <v>0.0431420345054297</v>
      </c>
      <c r="C127" s="419" t="n">
        <f aca="false">Drivers!J49</f>
        <v>0.109780772011668</v>
      </c>
    </row>
    <row r="128" customFormat="false" ht="15" hidden="false" customHeight="false" outlineLevel="0" collapsed="false">
      <c r="A128" s="248" t="s">
        <v>885</v>
      </c>
    </row>
    <row r="130" customFormat="false" ht="15" hidden="false" customHeight="false" outlineLevel="0" collapsed="false">
      <c r="A130" s="417" t="s">
        <v>886</v>
      </c>
    </row>
    <row r="131" customFormat="false" ht="15" hidden="false" customHeight="false" outlineLevel="0" collapsed="false">
      <c r="A131" s="415" t="s">
        <v>235</v>
      </c>
      <c r="B131" s="415" t="s">
        <v>237</v>
      </c>
      <c r="C131" s="415" t="s">
        <v>238</v>
      </c>
      <c r="D131" s="415" t="s">
        <v>239</v>
      </c>
    </row>
    <row r="132" customFormat="false" ht="15" hidden="false" customHeight="false" outlineLevel="0" collapsed="false">
      <c r="A132" s="416" t="s">
        <v>887</v>
      </c>
      <c r="B132" s="419" t="n">
        <f aca="false">Drivers!C63</f>
        <v>0.35970334762818</v>
      </c>
      <c r="C132" s="419" t="n">
        <f aca="false">Drivers!D63</f>
        <v>0.248678515475397</v>
      </c>
      <c r="D132" s="419" t="n">
        <f aca="false">Drivers!E63</f>
        <v>0.226466167568605</v>
      </c>
    </row>
    <row r="133" customFormat="false" ht="15" hidden="false" customHeight="false" outlineLevel="0" collapsed="false">
      <c r="A133" s="416" t="s">
        <v>888</v>
      </c>
      <c r="B133" s="421" t="n">
        <f aca="false">(Drivers!C77-Drivers!C64-Drivers!C68)/Drivers!C39</f>
        <v>0.268542831038201</v>
      </c>
      <c r="C133" s="421" t="n">
        <f aca="false">(Drivers!D77-Drivers!D64-Drivers!D68)/Drivers!D39</f>
        <v>0.225069058953641</v>
      </c>
      <c r="D133" s="421" t="n">
        <f aca="false">(Drivers!E77-Drivers!E64-Drivers!E68)/Drivers!E39</f>
        <v>0.180634640281968</v>
      </c>
    </row>
    <row r="134" customFormat="false" ht="15" hidden="false" customHeight="false" outlineLevel="0" collapsed="false">
      <c r="A134" s="416" t="s">
        <v>50</v>
      </c>
      <c r="B134" s="419" t="n">
        <f aca="false">Drivers!C60</f>
        <v>0.309274461062318</v>
      </c>
      <c r="C134" s="419" t="n">
        <f aca="false">Drivers!D60</f>
        <v>0.287522287446588</v>
      </c>
      <c r="D134" s="419" t="n">
        <f aca="false">Drivers!E60</f>
        <v>0.271848437751652</v>
      </c>
    </row>
    <row r="135" customFormat="false" ht="15" hidden="false" customHeight="false" outlineLevel="0" collapsed="false">
      <c r="A135" s="416" t="s">
        <v>59</v>
      </c>
      <c r="B135" s="421" t="n">
        <f aca="false">Drivers!C68/Drivers!C39</f>
        <v>0.204596712459564</v>
      </c>
      <c r="C135" s="421" t="n">
        <f aca="false">Drivers!D68/Drivers!D39</f>
        <v>0.173593524503541</v>
      </c>
      <c r="D135" s="421" t="n">
        <f aca="false">Drivers!E68/Drivers!E39</f>
        <v>0.159217082771602</v>
      </c>
    </row>
    <row r="136" customFormat="false" ht="15" hidden="false" customHeight="false" outlineLevel="0" collapsed="false">
      <c r="A136" s="416" t="s">
        <v>101</v>
      </c>
      <c r="B136" s="419" t="n">
        <f aca="false">Drivers!C91</f>
        <v>0.0736795100791018</v>
      </c>
      <c r="C136" s="419" t="n">
        <f aca="false">Drivers!D91</f>
        <v>0.0767996026937801</v>
      </c>
      <c r="D136" s="419" t="n">
        <f aca="false">Drivers!E91</f>
        <v>0.0658713080671815</v>
      </c>
    </row>
    <row r="137" customFormat="false" ht="15" hidden="false" customHeight="false" outlineLevel="0" collapsed="false">
      <c r="A137" s="248" t="s">
        <v>889</v>
      </c>
    </row>
    <row r="139" customFormat="false" ht="15" hidden="false" customHeight="false" outlineLevel="0" collapsed="false">
      <c r="A139" s="417" t="s">
        <v>890</v>
      </c>
    </row>
    <row r="140" customFormat="false" ht="15" hidden="false" customHeight="false" outlineLevel="0" collapsed="false">
      <c r="A140" s="415" t="s">
        <v>235</v>
      </c>
      <c r="B140" s="415" t="s">
        <v>891</v>
      </c>
      <c r="C140" s="415" t="s">
        <v>892</v>
      </c>
    </row>
    <row r="141" customFormat="false" ht="15" hidden="false" customHeight="false" outlineLevel="0" collapsed="false">
      <c r="A141" s="416" t="s">
        <v>893</v>
      </c>
      <c r="B141" s="421" t="n">
        <f aca="false">'Income Statement'!D20/1000000</f>
        <v>34.6210787155</v>
      </c>
      <c r="C141" s="421" t="n">
        <f aca="false">'Income Statement'!D20/'Income Statement'!D13</f>
        <v>0.728151562248348</v>
      </c>
    </row>
    <row r="142" customFormat="false" ht="15" hidden="false" customHeight="false" outlineLevel="0" collapsed="false">
      <c r="A142" s="416" t="s">
        <v>894</v>
      </c>
      <c r="B142" s="421" t="n">
        <f aca="false">-0.7*'Income Statement'!D55/1000000</f>
        <v>-7.537376</v>
      </c>
      <c r="C142" s="421" t="n">
        <f aca="false">-0.7*'Income Statement'!D55/'Income Statement'!D13</f>
        <v>-0.158526317298024</v>
      </c>
    </row>
    <row r="143" customFormat="false" ht="15" hidden="false" customHeight="false" outlineLevel="0" collapsed="false">
      <c r="A143" s="416" t="s">
        <v>895</v>
      </c>
      <c r="B143" s="421" t="n">
        <f aca="false">-('Income Statement'!D30+'Income Statement'!D28)/1000000</f>
        <v>-4.33335</v>
      </c>
      <c r="C143" s="421" t="n">
        <f aca="false">-('Income Statement'!D30+'Income Statement'!D28)/'Income Statement'!D13</f>
        <v>-0.0911391467088004</v>
      </c>
    </row>
    <row r="144" customFormat="false" ht="15" hidden="false" customHeight="false" outlineLevel="0" collapsed="false">
      <c r="A144" s="416" t="s">
        <v>896</v>
      </c>
      <c r="B144" s="421" t="n">
        <f aca="false">-'Income Statement'!D71/1000000</f>
        <v>-3.131952</v>
      </c>
      <c r="C144" s="421" t="n">
        <f aca="false">-'Income Statement'!D71/'Income Statement'!D13</f>
        <v>-0.0658713080671815</v>
      </c>
    </row>
    <row r="145" customFormat="false" ht="15" hidden="false" customHeight="false" outlineLevel="0" collapsed="false">
      <c r="A145" s="416" t="s">
        <v>897</v>
      </c>
      <c r="B145" s="421" t="n">
        <f aca="false">SUM(B141:B144)</f>
        <v>19.6184007155</v>
      </c>
      <c r="C145" s="421" t="n">
        <f aca="false">SUM(C141:C144)</f>
        <v>0.412614790174343</v>
      </c>
    </row>
    <row r="146" customFormat="false" ht="15" hidden="false" customHeight="false" outlineLevel="0" collapsed="false">
      <c r="A146" s="416" t="s">
        <v>898</v>
      </c>
      <c r="C146" s="427" t="n">
        <v>0.097</v>
      </c>
    </row>
    <row r="147" customFormat="false" ht="15" hidden="false" customHeight="false" outlineLevel="0" collapsed="false">
      <c r="A147" s="416" t="s">
        <v>899</v>
      </c>
      <c r="C147" s="427" t="n">
        <v>0.209</v>
      </c>
    </row>
    <row r="148" customFormat="false" ht="15" hidden="false" customHeight="false" outlineLevel="0" collapsed="false">
      <c r="A148" s="248" t="s">
        <v>900</v>
      </c>
    </row>
    <row r="150" customFormat="false" ht="15" hidden="false" customHeight="false" outlineLevel="0" collapsed="false">
      <c r="A150" s="417" t="s">
        <v>901</v>
      </c>
    </row>
    <row r="151" customFormat="false" ht="15" hidden="false" customHeight="false" outlineLevel="0" collapsed="false">
      <c r="A151" s="415" t="s">
        <v>235</v>
      </c>
      <c r="B151" s="415" t="s">
        <v>237</v>
      </c>
      <c r="C151" s="415" t="s">
        <v>238</v>
      </c>
      <c r="D151" s="415" t="s">
        <v>239</v>
      </c>
    </row>
    <row r="152" customFormat="false" ht="15" hidden="false" customHeight="false" outlineLevel="0" collapsed="false">
      <c r="A152" s="416" t="s">
        <v>902</v>
      </c>
      <c r="B152" s="426" t="n">
        <f aca="false">'Cash Flow Statement'!C19/1000000</f>
        <v>-3.9570112</v>
      </c>
      <c r="C152" s="426" t="n">
        <f aca="false">'Cash Flow Statement'!D19/1000000</f>
        <v>0.69714375</v>
      </c>
      <c r="D152" s="426" t="n">
        <f aca="false">'Cash Flow Statement'!E19/1000000</f>
        <v>6.2824692155</v>
      </c>
    </row>
    <row r="153" customFormat="false" ht="15" hidden="false" customHeight="false" outlineLevel="0" collapsed="false">
      <c r="A153" s="416" t="s">
        <v>347</v>
      </c>
      <c r="B153" s="426" t="n">
        <f aca="false">'Cash Flow Statement'!C22/1000000</f>
        <v>-5.009</v>
      </c>
      <c r="C153" s="426" t="n">
        <f aca="false">'Cash Flow Statement'!D22/1000000</f>
        <v>-6.3056</v>
      </c>
      <c r="D153" s="426" t="n">
        <f aca="false">'Cash Flow Statement'!E22/1000000</f>
        <v>-5.08452</v>
      </c>
    </row>
    <row r="154" customFormat="false" ht="15" hidden="false" customHeight="false" outlineLevel="0" collapsed="false">
      <c r="A154" s="416" t="s">
        <v>903</v>
      </c>
      <c r="B154" s="428" t="n">
        <f aca="false">('Cash Flow Statement'!C19+'Cash Flow Statement'!C22)/1000000</f>
        <v>-8.9660112</v>
      </c>
      <c r="C154" s="428" t="n">
        <f aca="false">('Cash Flow Statement'!D19+'Cash Flow Statement'!D22)/1000000</f>
        <v>-5.60845625</v>
      </c>
      <c r="D154" s="428" t="n">
        <f aca="false">('Cash Flow Statement'!E19+'Cash Flow Statement'!E22)/1000000</f>
        <v>1.19794921549999</v>
      </c>
    </row>
    <row r="155" customFormat="false" ht="15" hidden="false" customHeight="false" outlineLevel="0" collapsed="false">
      <c r="A155" s="416" t="s">
        <v>904</v>
      </c>
      <c r="B155" s="426" t="n">
        <f aca="false">'Cash Flow Statement'!C27/1000000</f>
        <v>8.1</v>
      </c>
      <c r="C155" s="426" t="n">
        <f aca="false">'Cash Flow Statement'!D27/1000000</f>
        <v>7</v>
      </c>
      <c r="D155" s="426" t="n">
        <f aca="false">'Cash Flow Statement'!E27/1000000</f>
        <v>0</v>
      </c>
    </row>
    <row r="156" customFormat="false" ht="15" hidden="false" customHeight="false" outlineLevel="0" collapsed="false">
      <c r="A156" s="416" t="s">
        <v>905</v>
      </c>
      <c r="B156" s="429" t="n">
        <f aca="false">'Cash Flow Statement'!C36/1000000</f>
        <v>0.0439888000000008</v>
      </c>
      <c r="C156" s="429" t="n">
        <f aca="false">'Cash Flow Statement'!D36/1000000</f>
        <v>1.73553255</v>
      </c>
      <c r="D156" s="429" t="n">
        <f aca="false">'Cash Flow Statement'!E36/1000000</f>
        <v>2.93348176549999</v>
      </c>
    </row>
    <row r="157" customFormat="false" ht="15" hidden="false" customHeight="false" outlineLevel="0" collapsed="false">
      <c r="A157" s="248" t="s">
        <v>906</v>
      </c>
    </row>
    <row r="159" customFormat="false" ht="15" hidden="false" customHeight="false" outlineLevel="0" collapsed="false">
      <c r="A159" s="417" t="s">
        <v>907</v>
      </c>
    </row>
    <row r="160" customFormat="false" ht="15" hidden="false" customHeight="false" outlineLevel="0" collapsed="false">
      <c r="A160" s="415" t="s">
        <v>908</v>
      </c>
      <c r="B160" s="415" t="s">
        <v>237</v>
      </c>
      <c r="C160" s="415" t="s">
        <v>238</v>
      </c>
      <c r="D160" s="415" t="s">
        <v>239</v>
      </c>
    </row>
    <row r="161" customFormat="false" ht="15" hidden="false" customHeight="false" outlineLevel="0" collapsed="false">
      <c r="A161" s="416" t="s">
        <v>909</v>
      </c>
      <c r="B161" s="421" t="n">
        <f aca="false">'Income Statement'!B20/'Income Statement'!B13</f>
        <v>0.690725538937682</v>
      </c>
      <c r="C161" s="421" t="n">
        <f aca="false">'Income Statement'!C20/'Income Statement'!C13</f>
        <v>0.712477712553412</v>
      </c>
      <c r="D161" s="421" t="n">
        <f aca="false">'Income Statement'!D20/'Income Statement'!D13</f>
        <v>0.728151562248348</v>
      </c>
    </row>
    <row r="162" customFormat="false" ht="15" hidden="false" customHeight="false" outlineLevel="0" collapsed="false">
      <c r="A162" s="416" t="s">
        <v>341</v>
      </c>
      <c r="B162" s="419" t="n">
        <f aca="false">Drivers!C80</f>
        <v>-0.142117352188264</v>
      </c>
      <c r="C162" s="419" t="n">
        <f aca="false">Drivers!D80</f>
        <v>0.0651366136208328</v>
      </c>
      <c r="D162" s="419" t="n">
        <f aca="false">Drivers!E80</f>
        <v>0.161833671626173</v>
      </c>
    </row>
    <row r="163" customFormat="false" ht="15" hidden="false" customHeight="false" outlineLevel="0" collapsed="false">
      <c r="A163" s="416" t="s">
        <v>910</v>
      </c>
      <c r="B163" s="421" t="n">
        <f aca="false">'Income Statement'!B80/'Income Statement'!B13</f>
        <v>-0.22167702425734</v>
      </c>
      <c r="C163" s="421" t="n">
        <f aca="false">'Income Statement'!C80/'Income Statement'!C13</f>
        <v>-0.0162723620142533</v>
      </c>
      <c r="D163" s="421" t="n">
        <f aca="false">'Income Statement'!D80/'Income Statement'!D13</f>
        <v>0.0929719874856645</v>
      </c>
    </row>
    <row r="164" customFormat="false" ht="15" hidden="false" customHeight="false" outlineLevel="0" collapsed="false">
      <c r="A164" s="416" t="s">
        <v>911</v>
      </c>
      <c r="B164" s="421" t="n">
        <f aca="false">'Income Statement'!B80/(('Balance Sheet'!E76+'Balance Sheet'!D76)/2)</f>
        <v>-0.251115277615639</v>
      </c>
      <c r="C164" s="421" t="n">
        <f aca="false">'Income Statement'!C80/(('Balance Sheet'!F76+'Balance Sheet'!E76)/2)</f>
        <v>-0.0225650512039039</v>
      </c>
      <c r="D164" s="421" t="n">
        <f aca="false">'Income Statement'!D80/(('Balance Sheet'!G76+'Balance Sheet'!F76)/2)</f>
        <v>0.159228497929602</v>
      </c>
    </row>
    <row r="165" customFormat="false" ht="15" hidden="false" customHeight="false" outlineLevel="0" collapsed="false">
      <c r="A165" s="416" t="s">
        <v>912</v>
      </c>
      <c r="B165" s="421" t="n">
        <f aca="false">'Income Statement'!B80/(('Balance Sheet'!E34+'Balance Sheet'!D34)/2)</f>
        <v>-0.231245874185055</v>
      </c>
      <c r="C165" s="421" t="n">
        <f aca="false">'Income Statement'!C80/(('Balance Sheet'!F34+'Balance Sheet'!E34)/2)</f>
        <v>-0.0209824588632599</v>
      </c>
      <c r="D165" s="421" t="n">
        <f aca="false">'Income Statement'!D80/(('Balance Sheet'!G34+'Balance Sheet'!F34)/2)</f>
        <v>0.14898647603738</v>
      </c>
    </row>
    <row r="166" customFormat="false" ht="15" hidden="false" customHeight="false" outlineLevel="0" collapsed="false">
      <c r="A166" s="416" t="s">
        <v>913</v>
      </c>
      <c r="B166" s="430" t="n">
        <f aca="false">'Income Statement'!B13/(('Balance Sheet'!E34+'Balance Sheet'!D34)/2)</f>
        <v>1.04316572707421</v>
      </c>
      <c r="C166" s="430" t="n">
        <f aca="false">'Income Statement'!C13/(('Balance Sheet'!F34+'Balance Sheet'!E34)/2)</f>
        <v>1.28945378949171</v>
      </c>
      <c r="D166" s="430" t="n">
        <f aca="false">'Income Statement'!D13/(('Balance Sheet'!G34+'Balance Sheet'!F34)/2)</f>
        <v>1.60248780376296</v>
      </c>
    </row>
    <row r="167" customFormat="false" ht="15" hidden="false" customHeight="false" outlineLevel="0" collapsed="false">
      <c r="A167" s="416" t="s">
        <v>914</v>
      </c>
      <c r="B167" s="430" t="n">
        <f aca="false">(('Balance Sheet'!E34+'Balance Sheet'!D34)/2)/(('Balance Sheet'!E76+'Balance Sheet'!D76)/2)</f>
        <v>1.08592327755298</v>
      </c>
      <c r="C167" s="430" t="n">
        <f aca="false">(('Balance Sheet'!F34+'Balance Sheet'!E34)/2)/(('Balance Sheet'!F76+'Balance Sheet'!E76)/2)</f>
        <v>1.07542454156387</v>
      </c>
      <c r="D167" s="430" t="n">
        <f aca="false">(('Balance Sheet'!G34+'Balance Sheet'!F34)/2)/(('Balance Sheet'!G76+'Balance Sheet'!F76)/2)</f>
        <v>1.06874464155829</v>
      </c>
    </row>
    <row r="168" customFormat="false" ht="15" hidden="false" customHeight="false" outlineLevel="0" collapsed="false">
      <c r="A168" s="416" t="s">
        <v>915</v>
      </c>
      <c r="B168" s="431" t="n">
        <f aca="false">'Balance Sheet'!E22/'Balance Sheet'!E58</f>
        <v>17.1994153005465</v>
      </c>
      <c r="C168" s="431" t="n">
        <f aca="false">'Balance Sheet'!F22/'Balance Sheet'!F58</f>
        <v>21.47570915402</v>
      </c>
      <c r="D168" s="431" t="n">
        <f aca="false">'Balance Sheet'!G22/'Balance Sheet'!G58</f>
        <v>23.6292289022572</v>
      </c>
    </row>
    <row r="169" customFormat="false" ht="15" hidden="false" customHeight="false" outlineLevel="0" collapsed="false">
      <c r="A169" s="416" t="s">
        <v>916</v>
      </c>
      <c r="B169" s="431" t="n">
        <f aca="false">('Balance Sheet'!E22-'Balance Sheet'!E9)/'Balance Sheet'!E58</f>
        <v>8.66457923497268</v>
      </c>
      <c r="C169" s="431" t="n">
        <f aca="false">('Balance Sheet'!F22-'Balance Sheet'!F9)/'Balance Sheet'!F58</f>
        <v>13.4066100258315</v>
      </c>
      <c r="D169" s="431" t="n">
        <f aca="false">('Balance Sheet'!G22-'Balance Sheet'!G9)/'Balance Sheet'!G58</f>
        <v>15.2119132815517</v>
      </c>
    </row>
    <row r="170" customFormat="false" ht="15" hidden="false" customHeight="false" outlineLevel="0" collapsed="false">
      <c r="A170" s="416" t="s">
        <v>917</v>
      </c>
      <c r="B170" s="421" t="n">
        <f aca="false">'Balance Sheet'!E7/'Balance Sheet'!E22</f>
        <v>0.00873488836988691</v>
      </c>
      <c r="C170" s="421" t="n">
        <f aca="false">'Balance Sheet'!F7/'Balance Sheet'!F22</f>
        <v>0.217451695477787</v>
      </c>
      <c r="D170" s="421" t="n">
        <f aca="false">'Balance Sheet'!G7/'Balance Sheet'!G22</f>
        <v>0.278772506813946</v>
      </c>
    </row>
    <row r="171" customFormat="false" ht="15" hidden="false" customHeight="false" outlineLevel="0" collapsed="false">
      <c r="A171" s="416" t="s">
        <v>918</v>
      </c>
      <c r="B171" s="421" t="n">
        <f aca="false">'Balance Sheet'!E66/'Balance Sheet'!E76</f>
        <v>0.078341688660557</v>
      </c>
      <c r="C171" s="421" t="n">
        <f aca="false">'Balance Sheet'!F66/'Balance Sheet'!F76</f>
        <v>0.0732491020450213</v>
      </c>
      <c r="D171" s="421" t="n">
        <f aca="false">'Balance Sheet'!G66/'Balance Sheet'!G76</f>
        <v>0.0649045280621338</v>
      </c>
    </row>
    <row r="172" customFormat="false" ht="15" hidden="false" customHeight="false" outlineLevel="0" collapsed="false">
      <c r="A172" s="416" t="s">
        <v>919</v>
      </c>
      <c r="B172" s="421" t="n">
        <f aca="false">('Balance Sheet'!E61+'Balance Sheet'!E48)/'Balance Sheet'!E76</f>
        <v>0.067698806519372</v>
      </c>
      <c r="C172" s="421" t="n">
        <f aca="false">('Balance Sheet'!F61+'Balance Sheet'!F48)/'Balance Sheet'!F76</f>
        <v>0.0629312026289212</v>
      </c>
      <c r="D172" s="421" t="n">
        <f aca="false">('Balance Sheet'!G61+'Balance Sheet'!G48)/'Balance Sheet'!G76</f>
        <v>0.0534695345948022</v>
      </c>
    </row>
    <row r="173" customFormat="false" ht="15" hidden="false" customHeight="false" outlineLevel="0" collapsed="false">
      <c r="A173" s="416" t="s">
        <v>920</v>
      </c>
      <c r="B173" s="425" t="n">
        <f aca="false">Drivers!C94</f>
        <v>151.72534086241</v>
      </c>
      <c r="C173" s="425" t="n">
        <f aca="false">Drivers!D94</f>
        <v>123.087234189999</v>
      </c>
      <c r="D173" s="425" t="n">
        <f aca="false">Drivers!E94</f>
        <v>105.853379584676</v>
      </c>
    </row>
    <row r="174" customFormat="false" ht="15" hidden="false" customHeight="false" outlineLevel="0" collapsed="false">
      <c r="A174" s="416" t="s">
        <v>921</v>
      </c>
      <c r="B174" s="425" t="n">
        <f aca="false">Drivers!C96</f>
        <v>23.6595494242277</v>
      </c>
      <c r="C174" s="425" t="n">
        <f aca="false">Drivers!D96</f>
        <v>18.1412580749304</v>
      </c>
      <c r="D174" s="425" t="n">
        <f aca="false">Drivers!E96</f>
        <v>13.5707006543765</v>
      </c>
    </row>
    <row r="175" customFormat="false" ht="15" hidden="false" customHeight="false" outlineLevel="0" collapsed="false">
      <c r="A175" s="416" t="s">
        <v>922</v>
      </c>
      <c r="B175" s="425" t="n">
        <f aca="false">Drivers!C100</f>
        <v>9.47144984975426</v>
      </c>
      <c r="C175" s="425" t="n">
        <f aca="false">Drivers!D100</f>
        <v>8.32402664190068</v>
      </c>
      <c r="D175" s="425" t="n">
        <f aca="false">Drivers!E100</f>
        <v>7.44489395590345</v>
      </c>
    </row>
    <row r="176" customFormat="false" ht="15" hidden="false" customHeight="false" outlineLevel="0" collapsed="false">
      <c r="A176" s="416" t="s">
        <v>923</v>
      </c>
      <c r="B176" s="432" t="n">
        <f aca="false">Drivers!C94+Drivers!C96-Drivers!C100</f>
        <v>165.913440436883</v>
      </c>
      <c r="C176" s="432" t="n">
        <f aca="false">Drivers!D94+Drivers!D96-Drivers!D100</f>
        <v>132.904465623029</v>
      </c>
      <c r="D176" s="432" t="n">
        <f aca="false">Drivers!E94+Drivers!E96-Drivers!E100</f>
        <v>111.979186283149</v>
      </c>
    </row>
    <row r="177" customFormat="false" ht="15" hidden="false" customHeight="false" outlineLevel="0" collapsed="false">
      <c r="A177" s="248" t="s">
        <v>924</v>
      </c>
    </row>
    <row r="179" customFormat="false" ht="15" hidden="false" customHeight="false" outlineLevel="0" collapsed="false">
      <c r="A179" s="417" t="s">
        <v>925</v>
      </c>
    </row>
    <row r="180" customFormat="false" ht="15" hidden="false" customHeight="false" outlineLevel="0" collapsed="false">
      <c r="A180" s="415" t="s">
        <v>926</v>
      </c>
      <c r="B180" s="415" t="s">
        <v>503</v>
      </c>
      <c r="C180" s="415" t="s">
        <v>504</v>
      </c>
      <c r="D180" s="415" t="s">
        <v>505</v>
      </c>
    </row>
    <row r="181" customFormat="false" ht="15" hidden="false" customHeight="false" outlineLevel="0" collapsed="false">
      <c r="A181" s="416" t="s">
        <v>506</v>
      </c>
      <c r="B181" s="433" t="n">
        <f aca="false">VCM!B20</f>
        <v>0.65</v>
      </c>
      <c r="C181" s="433" t="n">
        <f aca="false">VCM!C20</f>
        <v>0.8</v>
      </c>
      <c r="D181" s="433" t="n">
        <f aca="false">VCM!D20</f>
        <v>0.725</v>
      </c>
    </row>
    <row r="182" customFormat="false" ht="15" hidden="false" customHeight="false" outlineLevel="0" collapsed="false">
      <c r="A182" s="416" t="s">
        <v>507</v>
      </c>
      <c r="B182" s="433" t="n">
        <f aca="false">VCM!B21</f>
        <v>0.5</v>
      </c>
      <c r="C182" s="433" t="n">
        <f aca="false">VCM!C21</f>
        <v>0.65</v>
      </c>
      <c r="D182" s="433" t="n">
        <f aca="false">VCM!D21</f>
        <v>0.575</v>
      </c>
    </row>
    <row r="183" customFormat="false" ht="15" hidden="false" customHeight="false" outlineLevel="0" collapsed="false">
      <c r="A183" s="416" t="s">
        <v>508</v>
      </c>
      <c r="B183" s="433" t="n">
        <f aca="false">VCM!B22</f>
        <v>0.35</v>
      </c>
      <c r="C183" s="433" t="n">
        <f aca="false">VCM!C22</f>
        <v>0.45</v>
      </c>
      <c r="D183" s="433" t="n">
        <f aca="false">VCM!D22</f>
        <v>0.4</v>
      </c>
    </row>
    <row r="184" customFormat="false" ht="15" hidden="false" customHeight="false" outlineLevel="0" collapsed="false">
      <c r="A184" s="416" t="s">
        <v>509</v>
      </c>
      <c r="B184" s="433" t="n">
        <f aca="false">VCM!B23</f>
        <v>0.2</v>
      </c>
      <c r="C184" s="433" t="n">
        <f aca="false">VCM!C23</f>
        <v>0.3</v>
      </c>
      <c r="D184" s="433" t="n">
        <f aca="false">VCM!D23</f>
        <v>0.25</v>
      </c>
    </row>
    <row r="185" customFormat="false" ht="15" hidden="false" customHeight="false" outlineLevel="0" collapsed="false">
      <c r="A185" s="416" t="s">
        <v>927</v>
      </c>
      <c r="D185" s="433" t="n">
        <f aca="false">VCM!B6</f>
        <v>0.4</v>
      </c>
    </row>
    <row r="186" customFormat="false" ht="15" hidden="false" customHeight="false" outlineLevel="0" collapsed="false">
      <c r="A186" s="248" t="s">
        <v>928</v>
      </c>
    </row>
    <row r="188" customFormat="false" ht="15" hidden="false" customHeight="false" outlineLevel="0" collapsed="false">
      <c r="A188" s="417" t="s">
        <v>929</v>
      </c>
    </row>
    <row r="189" customFormat="false" ht="15" hidden="false" customHeight="false" outlineLevel="0" collapsed="false">
      <c r="A189" s="415" t="s">
        <v>930</v>
      </c>
      <c r="B189" s="415" t="s">
        <v>870</v>
      </c>
      <c r="C189" s="415" t="s">
        <v>537</v>
      </c>
    </row>
    <row r="190" customFormat="false" ht="15" hidden="false" customHeight="false" outlineLevel="0" collapsed="false">
      <c r="A190" s="416" t="s">
        <v>931</v>
      </c>
      <c r="B190" s="420" t="n">
        <f aca="false">'Income Statement'!D13/1000000</f>
        <v>47.5465281</v>
      </c>
      <c r="C190" s="420" t="s">
        <v>932</v>
      </c>
    </row>
    <row r="191" customFormat="false" ht="15" hidden="false" customHeight="false" outlineLevel="0" collapsed="false">
      <c r="A191" s="416" t="s">
        <v>933</v>
      </c>
      <c r="B191" s="421" t="n">
        <f aca="false">('Income Statement'!D13/'Income Statement'!B13)^(1/2)-1</f>
        <v>0.563979063147543</v>
      </c>
      <c r="C191" s="421" t="s">
        <v>932</v>
      </c>
    </row>
    <row r="192" customFormat="false" ht="15" hidden="false" customHeight="false" outlineLevel="0" collapsed="false">
      <c r="A192" s="416" t="s">
        <v>934</v>
      </c>
      <c r="B192" s="419" t="n">
        <f aca="false">Drivers!E80</f>
        <v>0.161833671626173</v>
      </c>
      <c r="C192" s="419" t="s">
        <v>932</v>
      </c>
    </row>
    <row r="193" customFormat="false" ht="15" hidden="false" customHeight="false" outlineLevel="0" collapsed="false">
      <c r="A193" s="416" t="s">
        <v>935</v>
      </c>
      <c r="B193" s="420" t="n">
        <f aca="false">'Income Statement'!D80/1000000</f>
        <v>4.4204952155</v>
      </c>
      <c r="C193" s="420" t="s">
        <v>936</v>
      </c>
    </row>
    <row r="194" customFormat="false" ht="15" hidden="false" customHeight="false" outlineLevel="0" collapsed="false">
      <c r="A194" s="416" t="s">
        <v>937</v>
      </c>
      <c r="B194" s="420" t="n">
        <f aca="false">('Cash Flow Statement'!E19+'Cash Flow Statement'!E22)/1000000</f>
        <v>1.19794921549999</v>
      </c>
      <c r="C194" s="420" t="s">
        <v>938</v>
      </c>
    </row>
    <row r="195" customFormat="false" ht="15" hidden="false" customHeight="false" outlineLevel="0" collapsed="false">
      <c r="A195" s="416" t="s">
        <v>939</v>
      </c>
      <c r="B195" s="419" t="n">
        <f aca="false">Drivers!C83</f>
        <v>0.257687938825737</v>
      </c>
      <c r="C195" s="419" t="n">
        <f aca="false">Drivers!E83</f>
        <v>0.106937776598666</v>
      </c>
    </row>
    <row r="196" customFormat="false" ht="15" hidden="false" customHeight="false" outlineLevel="0" collapsed="false">
      <c r="A196" s="416" t="s">
        <v>940</v>
      </c>
      <c r="B196" s="421" t="n">
        <f aca="false">('Balance Sheet'!G61+'Balance Sheet'!G48)/'Balance Sheet'!G76</f>
        <v>0.0534695345948022</v>
      </c>
      <c r="C196" s="421" t="s">
        <v>941</v>
      </c>
    </row>
    <row r="197" customFormat="false" ht="15" hidden="false" customHeight="false" outlineLevel="0" collapsed="false">
      <c r="A197" s="416" t="s">
        <v>942</v>
      </c>
      <c r="B197" s="419" t="n">
        <f aca="false">Drivers!E49</f>
        <v>0.0431420345054297</v>
      </c>
      <c r="C197" s="419" t="s">
        <v>9</v>
      </c>
    </row>
    <row r="198" customFormat="false" ht="15" hidden="false" customHeight="false" outlineLevel="0" collapsed="false">
      <c r="A198" s="416" t="s">
        <v>943</v>
      </c>
      <c r="B198" s="421" t="n">
        <f aca="false">'Income Statement'!D80/(('Balance Sheet'!G76+'Balance Sheet'!F76)/2)</f>
        <v>0.159228497929602</v>
      </c>
      <c r="C198" s="421" t="s">
        <v>932</v>
      </c>
    </row>
    <row r="199" customFormat="false" ht="15" hidden="false" customHeight="false" outlineLevel="0" collapsed="false">
      <c r="A199" s="416" t="s">
        <v>944</v>
      </c>
      <c r="B199" s="419" t="n">
        <f aca="false">'Discount rate'!E3</f>
        <v>0.16221999992797</v>
      </c>
      <c r="C199" s="419" t="s">
        <v>17</v>
      </c>
    </row>
    <row r="200" customFormat="false" ht="15" hidden="false" customHeight="false" outlineLevel="0" collapsed="false">
      <c r="A200" s="248" t="s">
        <v>945</v>
      </c>
    </row>
    <row r="202" customFormat="false" ht="15" hidden="false" customHeight="false" outlineLevel="0" collapsed="false">
      <c r="A202" s="417" t="s">
        <v>946</v>
      </c>
    </row>
    <row r="203" customFormat="false" ht="22.35" hidden="false" customHeight="false" outlineLevel="0" collapsed="false">
      <c r="A203" s="415" t="s">
        <v>235</v>
      </c>
      <c r="B203" s="415" t="s">
        <v>947</v>
      </c>
      <c r="C203" s="415" t="s">
        <v>948</v>
      </c>
      <c r="D203" s="415" t="s">
        <v>949</v>
      </c>
      <c r="E203" s="415" t="s">
        <v>950</v>
      </c>
      <c r="F203" s="415" t="s">
        <v>951</v>
      </c>
      <c r="G203" s="415" t="s">
        <v>952</v>
      </c>
      <c r="H203" s="415" t="s">
        <v>953</v>
      </c>
      <c r="I203" s="415" t="s">
        <v>954</v>
      </c>
      <c r="J203" s="415" t="s">
        <v>955</v>
      </c>
    </row>
    <row r="204" customFormat="false" ht="15" hidden="false" customHeight="false" outlineLevel="0" collapsed="false">
      <c r="A204" s="416" t="s">
        <v>956</v>
      </c>
      <c r="B204" s="434" t="n">
        <v>2.58</v>
      </c>
      <c r="C204" s="434" t="n">
        <v>8.02</v>
      </c>
      <c r="D204" s="434" t="n">
        <v>5.05</v>
      </c>
      <c r="E204" s="434" t="n">
        <v>7.09</v>
      </c>
      <c r="F204" s="434" t="n">
        <v>8.02</v>
      </c>
      <c r="G204" s="434" t="n">
        <v>8.18</v>
      </c>
      <c r="H204" s="434" t="n">
        <v>6.3</v>
      </c>
      <c r="I204" s="434" t="n">
        <v>7.2</v>
      </c>
      <c r="J204" s="434" t="n">
        <v>10</v>
      </c>
    </row>
    <row r="205" customFormat="false" ht="15" hidden="false" customHeight="false" outlineLevel="0" collapsed="false">
      <c r="A205" s="416" t="s">
        <v>957</v>
      </c>
      <c r="B205" s="434" t="n">
        <v>1.84</v>
      </c>
      <c r="C205" s="434" t="n">
        <v>3.15</v>
      </c>
      <c r="D205" s="434" t="n">
        <v>3.25</v>
      </c>
      <c r="E205" s="434" t="n">
        <v>3.63</v>
      </c>
      <c r="F205" s="434" t="n">
        <v>3.31</v>
      </c>
      <c r="G205" s="434" t="n">
        <v>4.45</v>
      </c>
      <c r="J205" s="434" t="n">
        <v>4.5</v>
      </c>
    </row>
    <row r="206" customFormat="false" ht="15" hidden="false" customHeight="false" outlineLevel="0" collapsed="false">
      <c r="A206" s="416" t="s">
        <v>958</v>
      </c>
      <c r="B206" s="434" t="n">
        <v>0.81</v>
      </c>
      <c r="C206" s="434" t="n">
        <v>2.59</v>
      </c>
      <c r="D206" s="434" t="n">
        <v>4.16</v>
      </c>
      <c r="E206" s="434" t="n">
        <v>2.71</v>
      </c>
      <c r="F206" s="434" t="n">
        <v>3.21</v>
      </c>
      <c r="G206" s="434" t="n">
        <v>4.24</v>
      </c>
    </row>
    <row r="207" customFormat="false" ht="15" hidden="false" customHeight="false" outlineLevel="0" collapsed="false">
      <c r="A207" s="248" t="s">
        <v>959</v>
      </c>
    </row>
    <row r="209" customFormat="false" ht="15" hidden="false" customHeight="false" outlineLevel="0" collapsed="false">
      <c r="A209" s="417" t="s">
        <v>960</v>
      </c>
    </row>
    <row r="210" customFormat="false" ht="15" hidden="false" customHeight="false" outlineLevel="0" collapsed="false">
      <c r="A210" s="415" t="s">
        <v>235</v>
      </c>
      <c r="B210" s="415" t="s">
        <v>961</v>
      </c>
      <c r="C210" s="415" t="s">
        <v>962</v>
      </c>
      <c r="D210" s="415" t="s">
        <v>963</v>
      </c>
      <c r="E210" s="415" t="s">
        <v>926</v>
      </c>
    </row>
    <row r="211" customFormat="false" ht="15" hidden="false" customHeight="false" outlineLevel="0" collapsed="false">
      <c r="A211" s="416" t="s">
        <v>964</v>
      </c>
      <c r="B211" s="435" t="n">
        <v>4420</v>
      </c>
      <c r="C211" s="435" t="n">
        <v>5310</v>
      </c>
      <c r="D211" s="424" t="n">
        <f aca="false">C211/B211-1</f>
        <v>0.201357466063348</v>
      </c>
      <c r="E211" s="424" t="s">
        <v>965</v>
      </c>
    </row>
    <row r="212" customFormat="false" ht="15" hidden="false" customHeight="false" outlineLevel="0" collapsed="false">
      <c r="A212" s="416" t="s">
        <v>966</v>
      </c>
      <c r="B212" s="436" t="n">
        <v>1864.44</v>
      </c>
      <c r="C212" s="436" t="n">
        <v>2204.07</v>
      </c>
      <c r="D212" s="428" t="n">
        <f aca="false">C212/B212-1</f>
        <v>0.182161936023685</v>
      </c>
      <c r="E212" s="428" t="s">
        <v>967</v>
      </c>
    </row>
    <row r="213" customFormat="false" ht="15" hidden="false" customHeight="false" outlineLevel="0" collapsed="false">
      <c r="A213" s="416" t="s">
        <v>968</v>
      </c>
      <c r="B213" s="437" t="n">
        <v>100</v>
      </c>
      <c r="C213" s="431" t="n">
        <f aca="false">100*(1+3.15%)*(1+3.25%)*(1+3.63%)*(1+3.31%)</f>
        <v>114.021605623634</v>
      </c>
      <c r="D213" s="431" t="n">
        <f aca="false">C213/B213-1</f>
        <v>0.140216056236337</v>
      </c>
      <c r="E213" s="431" t="s">
        <v>969</v>
      </c>
    </row>
    <row r="214" customFormat="false" ht="15" hidden="false" customHeight="false" outlineLevel="0" collapsed="false">
      <c r="A214" s="416" t="s">
        <v>970</v>
      </c>
      <c r="B214" s="437" t="n">
        <v>100</v>
      </c>
      <c r="C214" s="431" t="n">
        <f aca="false">100*(1+Drivers!F11)*(1+Drivers!G11)*(1+Drivers!H11)*(1+Drivers!I11)*(1+Drivers!J11)</f>
        <v>110.40808032</v>
      </c>
      <c r="D214" s="431" t="n">
        <f aca="false">C214/B214-1</f>
        <v>0.1040808032</v>
      </c>
      <c r="E214" s="431" t="s">
        <v>971</v>
      </c>
    </row>
    <row r="215" customFormat="false" ht="15" hidden="false" customHeight="false" outlineLevel="0" collapsed="false">
      <c r="A215" s="248" t="s">
        <v>972</v>
      </c>
    </row>
    <row r="217" customFormat="false" ht="15" hidden="false" customHeight="false" outlineLevel="0" collapsed="false">
      <c r="A217" s="417" t="s">
        <v>973</v>
      </c>
    </row>
    <row r="218" customFormat="false" ht="15" hidden="false" customHeight="false" outlineLevel="0" collapsed="false">
      <c r="A218" s="415" t="s">
        <v>235</v>
      </c>
      <c r="B218" s="415" t="s">
        <v>974</v>
      </c>
      <c r="C218" s="415" t="s">
        <v>975</v>
      </c>
      <c r="D218" s="415" t="s">
        <v>976</v>
      </c>
      <c r="E218" s="415" t="s">
        <v>977</v>
      </c>
      <c r="F218" s="415" t="s">
        <v>978</v>
      </c>
    </row>
    <row r="219" customFormat="false" ht="15" hidden="false" customHeight="false" outlineLevel="0" collapsed="false">
      <c r="A219" s="416" t="s">
        <v>979</v>
      </c>
      <c r="B219" s="437" t="n">
        <v>6.5</v>
      </c>
      <c r="C219" s="437" t="n">
        <v>6.7</v>
      </c>
      <c r="D219" s="437" t="n">
        <v>7.4</v>
      </c>
      <c r="E219" s="437" t="n">
        <v>8.1</v>
      </c>
      <c r="F219" s="437" t="n">
        <v>8.4</v>
      </c>
    </row>
    <row r="220" customFormat="false" ht="15" hidden="false" customHeight="false" outlineLevel="0" collapsed="false">
      <c r="A220" s="416" t="s">
        <v>980</v>
      </c>
      <c r="B220" s="437" t="n">
        <v>8.8</v>
      </c>
      <c r="C220" s="437" t="n">
        <v>9</v>
      </c>
      <c r="D220" s="437" t="n">
        <v>9.7</v>
      </c>
      <c r="E220" s="437" t="n">
        <v>10.5</v>
      </c>
      <c r="F220" s="437" t="n">
        <v>10.7</v>
      </c>
    </row>
    <row r="221" customFormat="false" ht="15" hidden="false" customHeight="false" outlineLevel="0" collapsed="false">
      <c r="A221" s="416" t="s">
        <v>981</v>
      </c>
      <c r="B221" s="437" t="n">
        <v>4.9</v>
      </c>
      <c r="C221" s="437" t="n">
        <v>5</v>
      </c>
      <c r="D221" s="437" t="n">
        <v>5.5</v>
      </c>
      <c r="E221" s="437" t="n">
        <v>5.9</v>
      </c>
      <c r="F221" s="437" t="n">
        <v>6.1</v>
      </c>
    </row>
    <row r="222" customFormat="false" ht="15" hidden="false" customHeight="false" outlineLevel="0" collapsed="false">
      <c r="A222" s="416" t="s">
        <v>982</v>
      </c>
      <c r="B222" s="437" t="n">
        <v>6.1</v>
      </c>
      <c r="C222" s="437" t="n">
        <v>6.4</v>
      </c>
      <c r="D222" s="437" t="n">
        <v>6.8</v>
      </c>
      <c r="E222" s="437" t="n">
        <v>7.3</v>
      </c>
      <c r="F222" s="437" t="n">
        <v>7.6</v>
      </c>
    </row>
    <row r="223" customFormat="false" ht="15" hidden="false" customHeight="false" outlineLevel="0" collapsed="false">
      <c r="A223" s="416" t="s">
        <v>983</v>
      </c>
      <c r="B223" s="437" t="n">
        <v>4.5</v>
      </c>
      <c r="C223" s="437" t="n">
        <v>4.5</v>
      </c>
      <c r="D223" s="437" t="n">
        <v>4.5</v>
      </c>
      <c r="E223" s="437" t="n">
        <v>4.5</v>
      </c>
      <c r="F223" s="437" t="n">
        <v>4.5</v>
      </c>
    </row>
    <row r="224" customFormat="false" ht="15" hidden="false" customHeight="false" outlineLevel="0" collapsed="false">
      <c r="A224" s="248" t="s">
        <v>984</v>
      </c>
    </row>
    <row r="226" customFormat="false" ht="15" hidden="false" customHeight="false" outlineLevel="0" collapsed="false">
      <c r="A226" s="417" t="s">
        <v>985</v>
      </c>
    </row>
    <row r="227" customFormat="false" ht="15" hidden="false" customHeight="false" outlineLevel="0" collapsed="false">
      <c r="A227" s="415" t="s">
        <v>235</v>
      </c>
      <c r="B227" s="415" t="s">
        <v>986</v>
      </c>
      <c r="C227" s="415" t="s">
        <v>987</v>
      </c>
      <c r="D227" s="415" t="s">
        <v>988</v>
      </c>
      <c r="E227" s="415" t="s">
        <v>975</v>
      </c>
      <c r="F227" s="415" t="s">
        <v>989</v>
      </c>
    </row>
    <row r="228" customFormat="false" ht="15" hidden="false" customHeight="false" outlineLevel="0" collapsed="false">
      <c r="A228" s="416" t="s">
        <v>990</v>
      </c>
      <c r="B228" s="435" t="n">
        <v>23730</v>
      </c>
      <c r="C228" s="435" t="n">
        <v>24420</v>
      </c>
      <c r="D228" s="435" t="n">
        <v>25551</v>
      </c>
      <c r="E228" s="435" t="n">
        <v>26377</v>
      </c>
      <c r="F228" s="435" t="n">
        <v>26170</v>
      </c>
    </row>
    <row r="229" customFormat="false" ht="15" hidden="false" customHeight="false" outlineLevel="0" collapsed="false">
      <c r="A229" s="416" t="s">
        <v>991</v>
      </c>
      <c r="B229" s="436" t="n">
        <v>3458.29</v>
      </c>
      <c r="C229" s="436" t="n">
        <v>3483.56</v>
      </c>
      <c r="D229" s="436" t="n">
        <v>3546.69</v>
      </c>
      <c r="E229" s="436" t="n">
        <v>3821.52</v>
      </c>
      <c r="F229" s="436" t="n">
        <v>3933.65</v>
      </c>
    </row>
    <row r="230" customFormat="false" ht="15" hidden="false" customHeight="false" outlineLevel="0" collapsed="false">
      <c r="A230" s="416" t="s">
        <v>992</v>
      </c>
      <c r="B230" s="431" t="n">
        <f aca="false">B228/$B228*100</f>
        <v>100</v>
      </c>
      <c r="C230" s="431" t="n">
        <f aca="false">C228/$B228*100</f>
        <v>102.907711757269</v>
      </c>
      <c r="D230" s="431" t="n">
        <f aca="false">D228/$B228*100</f>
        <v>107.673830594185</v>
      </c>
      <c r="E230" s="431" t="n">
        <f aca="false">E228/$B228*100</f>
        <v>111.154656552887</v>
      </c>
      <c r="F230" s="431" t="n">
        <f aca="false">F228/$B228*100</f>
        <v>110.282343025706</v>
      </c>
    </row>
    <row r="231" customFormat="false" ht="15" hidden="false" customHeight="false" outlineLevel="0" collapsed="false">
      <c r="A231" s="416" t="s">
        <v>993</v>
      </c>
      <c r="B231" s="431" t="n">
        <f aca="false">B229/$B229*100</f>
        <v>100</v>
      </c>
      <c r="C231" s="431" t="n">
        <f aca="false">C229/$B229*100</f>
        <v>100.730707951039</v>
      </c>
      <c r="D231" s="431" t="n">
        <f aca="false">D229/$B229*100</f>
        <v>102.556176607514</v>
      </c>
      <c r="E231" s="431" t="n">
        <f aca="false">E229/$B229*100</f>
        <v>110.503167750536</v>
      </c>
      <c r="F231" s="431" t="n">
        <f aca="false">F229/$B229*100</f>
        <v>113.745521630632</v>
      </c>
    </row>
    <row r="232" customFormat="false" ht="15" hidden="false" customHeight="false" outlineLevel="0" collapsed="false">
      <c r="A232" s="248" t="s">
        <v>994</v>
      </c>
    </row>
    <row r="234" customFormat="false" ht="15" hidden="false" customHeight="false" outlineLevel="0" collapsed="false">
      <c r="A234" s="417" t="s">
        <v>995</v>
      </c>
    </row>
    <row r="235" customFormat="false" ht="15" hidden="false" customHeight="false" outlineLevel="0" collapsed="false">
      <c r="A235" s="415" t="s">
        <v>235</v>
      </c>
      <c r="B235" s="415" t="s">
        <v>947</v>
      </c>
      <c r="C235" s="415" t="s">
        <v>948</v>
      </c>
      <c r="D235" s="415" t="s">
        <v>949</v>
      </c>
      <c r="E235" s="415" t="s">
        <v>950</v>
      </c>
      <c r="F235" s="415" t="s">
        <v>951</v>
      </c>
    </row>
    <row r="236" customFormat="false" ht="15" hidden="false" customHeight="false" outlineLevel="0" collapsed="false">
      <c r="A236" s="416" t="s">
        <v>996</v>
      </c>
      <c r="B236" s="435" t="n">
        <v>1400</v>
      </c>
      <c r="C236" s="435" t="n">
        <v>634</v>
      </c>
      <c r="D236" s="435" t="n">
        <v>529</v>
      </c>
      <c r="E236" s="435" t="n">
        <v>398</v>
      </c>
      <c r="F236" s="435" t="n">
        <v>509</v>
      </c>
    </row>
    <row r="237" customFormat="false" ht="15" hidden="false" customHeight="false" outlineLevel="0" collapsed="false">
      <c r="A237" s="416" t="s">
        <v>997</v>
      </c>
      <c r="B237" s="435" t="n">
        <v>165</v>
      </c>
      <c r="C237" s="435" t="n">
        <v>134</v>
      </c>
      <c r="D237" s="435" t="n">
        <v>122</v>
      </c>
      <c r="E237" s="435" t="n">
        <v>118</v>
      </c>
      <c r="F237" s="435" t="n">
        <v>103</v>
      </c>
    </row>
    <row r="238" customFormat="false" ht="15" hidden="false" customHeight="false" outlineLevel="0" collapsed="false">
      <c r="A238" s="248" t="s">
        <v>998</v>
      </c>
    </row>
    <row r="240" customFormat="false" ht="15" hidden="false" customHeight="false" outlineLevel="0" collapsed="false">
      <c r="A240" s="417" t="s">
        <v>999</v>
      </c>
    </row>
    <row r="241" customFormat="false" ht="15" hidden="false" customHeight="false" outlineLevel="0" collapsed="false">
      <c r="A241" s="415" t="s">
        <v>235</v>
      </c>
      <c r="B241" s="415" t="s">
        <v>239</v>
      </c>
      <c r="C241" s="415" t="s">
        <v>240</v>
      </c>
      <c r="D241" s="415" t="s">
        <v>241</v>
      </c>
      <c r="E241" s="415" t="s">
        <v>242</v>
      </c>
      <c r="F241" s="415" t="s">
        <v>243</v>
      </c>
      <c r="G241" s="415" t="s">
        <v>244</v>
      </c>
      <c r="H241" s="415" t="s">
        <v>1000</v>
      </c>
    </row>
    <row r="242" customFormat="false" ht="15" hidden="false" customHeight="false" outlineLevel="0" collapsed="false">
      <c r="A242" s="416" t="s">
        <v>1001</v>
      </c>
      <c r="B242" s="435" t="n">
        <v>2850</v>
      </c>
      <c r="G242" s="435" t="n">
        <v>4540</v>
      </c>
      <c r="H242" s="424" t="n">
        <f aca="false">(G242/B242)^(1/5)-1</f>
        <v>0.0975951986307069</v>
      </c>
    </row>
    <row r="243" customFormat="false" ht="15" hidden="false" customHeight="false" outlineLevel="0" collapsed="false">
      <c r="A243" s="416" t="s">
        <v>1002</v>
      </c>
      <c r="B243" s="423" t="n">
        <f aca="false">Drivers!E50</f>
        <v>1129.79</v>
      </c>
      <c r="C243" s="423" t="n">
        <f aca="false">Drivers!F50</f>
        <v>1176.676285</v>
      </c>
      <c r="D243" s="423" t="n">
        <f aca="false">Drivers!G50</f>
        <v>1225.5083508275</v>
      </c>
      <c r="E243" s="423" t="n">
        <f aca="false">Drivers!H50</f>
        <v>1276.36694738684</v>
      </c>
      <c r="F243" s="423" t="n">
        <f aca="false">Drivers!I50</f>
        <v>1329.3361757034</v>
      </c>
      <c r="G243" s="423" t="n">
        <f aca="false">Drivers!J50</f>
        <v>1384.50362699509</v>
      </c>
      <c r="H243" s="423" t="n">
        <f aca="false">(G243/B243)^(1/5)-1</f>
        <v>0.0415000000000001</v>
      </c>
    </row>
    <row r="244" customFormat="false" ht="15" hidden="false" customHeight="false" outlineLevel="0" collapsed="false">
      <c r="A244" s="416" t="s">
        <v>1003</v>
      </c>
      <c r="B244" s="418" t="n">
        <f aca="false">Drivers!E48</f>
        <v>33.93</v>
      </c>
      <c r="C244" s="418" t="n">
        <f aca="false">Drivers!F48</f>
        <v>35.534889</v>
      </c>
      <c r="D244" s="418" t="n">
        <f aca="false">Drivers!G48</f>
        <v>37.2156892497</v>
      </c>
      <c r="E244" s="418" t="n">
        <f aca="false">Drivers!H48</f>
        <v>38.9759913512108</v>
      </c>
      <c r="F244" s="418" t="n">
        <f aca="false">Drivers!I48</f>
        <v>40.8195557421231</v>
      </c>
      <c r="G244" s="418" t="n">
        <f aca="false">Drivers!J48</f>
        <v>42.7503207287255</v>
      </c>
      <c r="H244" s="418" t="n">
        <f aca="false">(G244/B244)^(1/5)-1</f>
        <v>0.0472999999999999</v>
      </c>
    </row>
    <row r="245" customFormat="false" ht="15" hidden="false" customHeight="false" outlineLevel="0" collapsed="false">
      <c r="A245" s="416" t="s">
        <v>1004</v>
      </c>
      <c r="B245" s="426" t="n">
        <f aca="false">Drivers!E47</f>
        <v>1.46380923076923</v>
      </c>
      <c r="C245" s="426" t="n">
        <f aca="false">Drivers!F47</f>
        <v>1.94839131011407</v>
      </c>
      <c r="D245" s="426" t="n">
        <f aca="false">Drivers!G47</f>
        <v>2.37703739833916</v>
      </c>
      <c r="E245" s="426" t="n">
        <f aca="false">Drivers!H47</f>
        <v>3.20900048775787</v>
      </c>
      <c r="F245" s="426" t="n">
        <f aca="false">Drivers!I47</f>
        <v>4.01125060969734</v>
      </c>
      <c r="G245" s="426" t="n">
        <f aca="false">Drivers!J47</f>
        <v>4.69316321334589</v>
      </c>
      <c r="H245" s="426" t="n">
        <f aca="false">(G245/B245)^(1/5)-1</f>
        <v>0.262397818197035</v>
      </c>
    </row>
    <row r="246" customFormat="false" ht="15" hidden="false" customHeight="false" outlineLevel="0" collapsed="false">
      <c r="A246" s="416" t="s">
        <v>303</v>
      </c>
      <c r="B246" s="419" t="n">
        <f aca="false">Drivers!E49</f>
        <v>0.0431420345054297</v>
      </c>
      <c r="C246" s="419" t="n">
        <f aca="false">Drivers!F49</f>
        <v>0.05483037558142</v>
      </c>
      <c r="D246" s="419" t="n">
        <f aca="false">Drivers!G49</f>
        <v>0.063871916556223</v>
      </c>
      <c r="E246" s="419" t="n">
        <f aca="false">Drivers!H49</f>
        <v>0.0823327483537679</v>
      </c>
      <c r="F246" s="419" t="n">
        <f aca="false">Drivers!I49</f>
        <v>0.0982678654083928</v>
      </c>
      <c r="G246" s="419" t="n">
        <f aca="false">Drivers!J49</f>
        <v>0.109780772011668</v>
      </c>
    </row>
    <row r="247" customFormat="false" ht="15" hidden="false" customHeight="false" outlineLevel="0" collapsed="false">
      <c r="A247" s="248" t="s">
        <v>1005</v>
      </c>
    </row>
    <row r="249" customFormat="false" ht="15" hidden="false" customHeight="false" outlineLevel="0" collapsed="false">
      <c r="A249" s="417" t="s">
        <v>1006</v>
      </c>
    </row>
    <row r="250" customFormat="false" ht="22.35" hidden="false" customHeight="false" outlineLevel="0" collapsed="false">
      <c r="A250" s="415" t="s">
        <v>1007</v>
      </c>
      <c r="B250" s="415" t="s">
        <v>1008</v>
      </c>
      <c r="C250" s="415" t="s">
        <v>1009</v>
      </c>
    </row>
    <row r="251" customFormat="false" ht="15" hidden="false" customHeight="false" outlineLevel="0" collapsed="false">
      <c r="A251" s="416" t="s">
        <v>1010</v>
      </c>
      <c r="B251" s="437" t="n">
        <v>22.4</v>
      </c>
      <c r="C251" s="431" t="s">
        <v>1011</v>
      </c>
    </row>
    <row r="252" customFormat="false" ht="15" hidden="false" customHeight="false" outlineLevel="0" collapsed="false">
      <c r="A252" s="416" t="s">
        <v>1012</v>
      </c>
      <c r="B252" s="437" t="n">
        <v>21</v>
      </c>
      <c r="C252" s="431" t="s">
        <v>951</v>
      </c>
    </row>
    <row r="253" customFormat="false" ht="15" hidden="false" customHeight="false" outlineLevel="0" collapsed="false">
      <c r="A253" s="416" t="s">
        <v>1013</v>
      </c>
      <c r="B253" s="437" t="n">
        <v>16.44</v>
      </c>
      <c r="C253" s="431" t="s">
        <v>1011</v>
      </c>
    </row>
    <row r="254" customFormat="false" ht="15" hidden="false" customHeight="false" outlineLevel="0" collapsed="false">
      <c r="A254" s="416" t="s">
        <v>1014</v>
      </c>
      <c r="B254" s="437" t="n">
        <v>13.33</v>
      </c>
      <c r="C254" s="431" t="s">
        <v>1011</v>
      </c>
    </row>
    <row r="255" customFormat="false" ht="15" hidden="false" customHeight="false" outlineLevel="0" collapsed="false">
      <c r="A255" s="416" t="s">
        <v>1015</v>
      </c>
      <c r="B255" s="437" t="n">
        <v>11.8</v>
      </c>
      <c r="C255" s="431" t="s">
        <v>1016</v>
      </c>
    </row>
    <row r="256" customFormat="false" ht="15" hidden="false" customHeight="false" outlineLevel="0" collapsed="false">
      <c r="A256" s="416" t="s">
        <v>1017</v>
      </c>
      <c r="B256" s="437" t="n">
        <v>8.15</v>
      </c>
      <c r="C256" s="431" t="s">
        <v>1018</v>
      </c>
    </row>
    <row r="257" customFormat="false" ht="15" hidden="false" customHeight="false" outlineLevel="0" collapsed="false">
      <c r="A257" s="416" t="s">
        <v>1019</v>
      </c>
      <c r="B257" s="431" t="n">
        <f aca="false">Drivers!F13*100</f>
        <v>32</v>
      </c>
      <c r="C257" s="431" t="s">
        <v>240</v>
      </c>
    </row>
    <row r="258" customFormat="false" ht="15" hidden="false" customHeight="false" outlineLevel="0" collapsed="false">
      <c r="A258" s="248" t="s">
        <v>1020</v>
      </c>
    </row>
    <row r="260" customFormat="false" ht="15" hidden="false" customHeight="false" outlineLevel="0" collapsed="false">
      <c r="A260" s="417" t="s">
        <v>1021</v>
      </c>
    </row>
    <row r="261" customFormat="false" ht="22.35" hidden="false" customHeight="false" outlineLevel="0" collapsed="false">
      <c r="A261" s="415" t="s">
        <v>1022</v>
      </c>
      <c r="B261" s="415" t="s">
        <v>1023</v>
      </c>
      <c r="C261" s="415" t="s">
        <v>1024</v>
      </c>
      <c r="D261" s="415" t="s">
        <v>1025</v>
      </c>
      <c r="E261" s="415" t="s">
        <v>1026</v>
      </c>
      <c r="F261" s="415" t="s">
        <v>1027</v>
      </c>
    </row>
    <row r="262" customFormat="false" ht="15" hidden="false" customHeight="false" outlineLevel="0" collapsed="false">
      <c r="A262" s="416" t="s">
        <v>1028</v>
      </c>
      <c r="B262" s="431" t="n">
        <f aca="false">Drivers!E61*100</f>
        <v>72.8151562248349</v>
      </c>
      <c r="C262" s="431" t="n">
        <f aca="false">Drivers!E80*100</f>
        <v>16.1833671626173</v>
      </c>
      <c r="D262" s="431" t="n">
        <f aca="false">'Income Statement'!D80/'Income Statement'!D13*100</f>
        <v>9.29719874856645</v>
      </c>
    </row>
    <row r="263" customFormat="false" ht="15" hidden="false" customHeight="false" outlineLevel="0" collapsed="false">
      <c r="A263" s="416" t="s">
        <v>1029</v>
      </c>
      <c r="B263" s="437" t="n">
        <v>20.9</v>
      </c>
      <c r="C263" s="437" t="n">
        <v>18.9</v>
      </c>
      <c r="D263" s="437" t="n">
        <v>14</v>
      </c>
      <c r="E263" s="437" t="n">
        <v>6.35</v>
      </c>
      <c r="F263" s="437" t="n">
        <v>7.48</v>
      </c>
    </row>
    <row r="264" customFormat="false" ht="15" hidden="false" customHeight="false" outlineLevel="0" collapsed="false">
      <c r="A264" s="416" t="s">
        <v>1030</v>
      </c>
      <c r="B264" s="437" t="n">
        <v>14.4</v>
      </c>
      <c r="C264" s="437" t="n">
        <v>16.4</v>
      </c>
      <c r="D264" s="437" t="n">
        <v>13.6</v>
      </c>
      <c r="E264" s="437" t="n">
        <v>13.33</v>
      </c>
      <c r="F264" s="437" t="n">
        <v>16.64</v>
      </c>
    </row>
    <row r="265" customFormat="false" ht="15" hidden="false" customHeight="false" outlineLevel="0" collapsed="false">
      <c r="A265" s="416" t="s">
        <v>1031</v>
      </c>
      <c r="B265" s="437" t="n">
        <v>16.7</v>
      </c>
      <c r="C265" s="437" t="n">
        <v>15.9</v>
      </c>
      <c r="D265" s="437" t="n">
        <v>7</v>
      </c>
      <c r="E265" s="437" t="n">
        <v>3.28</v>
      </c>
      <c r="F265" s="437" t="n">
        <v>2.54</v>
      </c>
    </row>
    <row r="266" customFormat="false" ht="15" hidden="false" customHeight="false" outlineLevel="0" collapsed="false">
      <c r="A266" s="416" t="s">
        <v>1032</v>
      </c>
      <c r="B266" s="437" t="n">
        <v>19.5</v>
      </c>
      <c r="C266" s="437" t="n">
        <v>14.9</v>
      </c>
      <c r="D266" s="437" t="n">
        <v>6.9</v>
      </c>
      <c r="E266" s="437" t="n">
        <v>2.66</v>
      </c>
      <c r="F266" s="437" t="n">
        <v>7.29</v>
      </c>
    </row>
    <row r="267" customFormat="false" ht="15" hidden="false" customHeight="false" outlineLevel="0" collapsed="false">
      <c r="A267" s="416" t="s">
        <v>1033</v>
      </c>
      <c r="B267" s="437" t="n">
        <v>15.1</v>
      </c>
      <c r="C267" s="437" t="n">
        <v>14.2</v>
      </c>
      <c r="D267" s="437" t="n">
        <v>6</v>
      </c>
      <c r="E267" s="437" t="n">
        <v>3.85</v>
      </c>
      <c r="F267" s="437" t="n">
        <v>5.16</v>
      </c>
    </row>
    <row r="268" customFormat="false" ht="15" hidden="false" customHeight="false" outlineLevel="0" collapsed="false">
      <c r="A268" s="416" t="s">
        <v>1034</v>
      </c>
      <c r="B268" s="437" t="n">
        <v>15.2</v>
      </c>
      <c r="C268" s="437" t="n">
        <v>14</v>
      </c>
      <c r="D268" s="437" t="n">
        <v>5.7</v>
      </c>
      <c r="E268" s="437" t="n">
        <v>5.05</v>
      </c>
      <c r="F268" s="437" t="n">
        <v>6.98</v>
      </c>
    </row>
    <row r="269" customFormat="false" ht="15" hidden="false" customHeight="false" outlineLevel="0" collapsed="false">
      <c r="A269" s="416" t="s">
        <v>1035</v>
      </c>
      <c r="B269" s="437" t="n">
        <v>7.3</v>
      </c>
      <c r="C269" s="437" t="n">
        <v>9.3</v>
      </c>
      <c r="D269" s="437" t="n">
        <v>1.7</v>
      </c>
      <c r="E269" s="437" t="n">
        <v>13.71</v>
      </c>
      <c r="F269" s="437" t="n">
        <v>32.9</v>
      </c>
    </row>
    <row r="270" customFormat="false" ht="15" hidden="false" customHeight="false" outlineLevel="0" collapsed="false">
      <c r="A270" s="416" t="s">
        <v>1036</v>
      </c>
      <c r="B270" s="437" t="n">
        <v>7.9</v>
      </c>
      <c r="C270" s="437" t="n">
        <v>8.3</v>
      </c>
      <c r="D270" s="437" t="n">
        <v>2.4</v>
      </c>
      <c r="E270" s="437" t="n">
        <v>8.98</v>
      </c>
      <c r="F270" s="437" t="n">
        <v>20.51</v>
      </c>
    </row>
    <row r="271" customFormat="false" ht="15" hidden="false" customHeight="false" outlineLevel="0" collapsed="false">
      <c r="A271" s="416" t="s">
        <v>1037</v>
      </c>
      <c r="B271" s="437" t="n">
        <v>8.6</v>
      </c>
      <c r="C271" s="437" t="n">
        <v>7</v>
      </c>
      <c r="D271" s="437" t="n">
        <v>2.7</v>
      </c>
      <c r="E271" s="437" t="n">
        <v>4.2</v>
      </c>
      <c r="F271" s="437" t="n">
        <v>20.4</v>
      </c>
    </row>
    <row r="272" customFormat="false" ht="15" hidden="false" customHeight="false" outlineLevel="0" collapsed="false">
      <c r="A272" s="416" t="s">
        <v>1038</v>
      </c>
      <c r="B272" s="437" t="n">
        <v>9.7</v>
      </c>
      <c r="C272" s="437" t="n">
        <v>8.8</v>
      </c>
      <c r="D272" s="437" t="n">
        <v>3.3</v>
      </c>
      <c r="E272" s="437" t="n">
        <v>4.6</v>
      </c>
      <c r="F272" s="437" t="n">
        <v>7.3</v>
      </c>
    </row>
    <row r="273" customFormat="false" ht="15" hidden="false" customHeight="false" outlineLevel="0" collapsed="false">
      <c r="A273" s="416" t="s">
        <v>1039</v>
      </c>
      <c r="E273" s="434" t="n">
        <v>7.99</v>
      </c>
      <c r="F273" s="434" t="n">
        <v>9.43</v>
      </c>
    </row>
    <row r="274" customFormat="false" ht="15" hidden="false" customHeight="false" outlineLevel="0" collapsed="false">
      <c r="A274" s="248" t="s">
        <v>1040</v>
      </c>
    </row>
    <row r="276" customFormat="false" ht="15" hidden="false" customHeight="false" outlineLevel="0" collapsed="false">
      <c r="A276" s="417" t="s">
        <v>1041</v>
      </c>
    </row>
    <row r="277" customFormat="false" ht="15" hidden="false" customHeight="false" outlineLevel="0" collapsed="false">
      <c r="A277" s="415" t="s">
        <v>850</v>
      </c>
      <c r="B277" s="415" t="s">
        <v>239</v>
      </c>
      <c r="C277" s="415" t="s">
        <v>240</v>
      </c>
      <c r="D277" s="415" t="s">
        <v>241</v>
      </c>
      <c r="E277" s="415" t="s">
        <v>242</v>
      </c>
      <c r="F277" s="415" t="s">
        <v>243</v>
      </c>
      <c r="G277" s="415" t="s">
        <v>244</v>
      </c>
    </row>
    <row r="278" customFormat="false" ht="15" hidden="false" customHeight="false" outlineLevel="0" collapsed="false">
      <c r="A278" s="416" t="s">
        <v>851</v>
      </c>
      <c r="B278" s="418" t="n">
        <f aca="false">Drivers!E14/1000000</f>
        <v>38.05904</v>
      </c>
      <c r="C278" s="418" t="n">
        <f aca="false">Drivers!F14/1000000</f>
        <v>51.242691456</v>
      </c>
      <c r="D278" s="418" t="n">
        <f aca="false">Drivers!G14/1000000</f>
        <v>63.7664052478464</v>
      </c>
      <c r="E278" s="418" t="n">
        <f aca="false">Drivers!H14/1000000</f>
        <v>87.8063400262845</v>
      </c>
      <c r="F278" s="418" t="n">
        <f aca="false">Drivers!I14/1000000</f>
        <v>111.953083533513</v>
      </c>
      <c r="G278" s="418" t="n">
        <f aca="false">Drivers!J14/1000000</f>
        <v>133.604809888894</v>
      </c>
    </row>
    <row r="279" customFormat="false" ht="15" hidden="false" customHeight="false" outlineLevel="0" collapsed="false">
      <c r="A279" s="416" t="s">
        <v>852</v>
      </c>
      <c r="B279" s="418" t="n">
        <f aca="false">Drivers!E21/1000000</f>
        <v>5.89806</v>
      </c>
      <c r="C279" s="418" t="n">
        <f aca="false">Drivers!F21/1000000</f>
        <v>7.339545864</v>
      </c>
      <c r="D279" s="418" t="n">
        <f aca="false">Drivers!G21/1000000</f>
        <v>8.8338774019104</v>
      </c>
      <c r="E279" s="418" t="n">
        <f aca="false">Drivers!H21/1000000</f>
        <v>11.5335103359342</v>
      </c>
      <c r="F279" s="418" t="n">
        <f aca="false">Drivers!I21/1000000</f>
        <v>14.1170166511835</v>
      </c>
      <c r="G279" s="418" t="n">
        <f aca="false">Drivers!J21/1000000</f>
        <v>16.5592605318382</v>
      </c>
    </row>
    <row r="280" customFormat="false" ht="15" hidden="false" customHeight="false" outlineLevel="0" collapsed="false">
      <c r="A280" s="416" t="s">
        <v>853</v>
      </c>
      <c r="B280" s="418" t="n">
        <f aca="false">Drivers!E28/1000000</f>
        <v>2.736</v>
      </c>
      <c r="C280" s="418" t="n">
        <f aca="false">Drivers!F28/1000000</f>
        <v>3.610152</v>
      </c>
      <c r="D280" s="418" t="n">
        <f aca="false">Drivers!G28/1000000</f>
        <v>4.763595564</v>
      </c>
      <c r="E280" s="418" t="n">
        <f aca="false">Drivers!H28/1000000</f>
        <v>6.769069296444</v>
      </c>
      <c r="F280" s="418" t="n">
        <f aca="false">Drivers!I28/1000000</f>
        <v>9.06919904337567</v>
      </c>
      <c r="G280" s="418" t="n">
        <f aca="false">Drivers!J28/1000000</f>
        <v>11.5065462862829</v>
      </c>
    </row>
    <row r="281" customFormat="false" ht="15" hidden="false" customHeight="false" outlineLevel="0" collapsed="false">
      <c r="A281" s="416" t="s">
        <v>854</v>
      </c>
      <c r="B281" s="418" t="n">
        <f aca="false">Drivers!E35/1000000</f>
        <v>1.1886</v>
      </c>
      <c r="C281" s="418" t="n">
        <f aca="false">Drivers!F35/1000000</f>
        <v>1.9302864</v>
      </c>
      <c r="D281" s="418" t="n">
        <f aca="false">Drivers!G35/1000000</f>
        <v>2.938861044</v>
      </c>
      <c r="E281" s="418" t="n">
        <f aca="false">Drivers!H35/1000000</f>
        <v>5.071004731422</v>
      </c>
      <c r="F281" s="418" t="n">
        <f aca="false">Drivers!I35/1000000</f>
        <v>7.46325121347033</v>
      </c>
      <c r="G281" s="418" t="n">
        <f aca="false">Drivers!J35/1000000</f>
        <v>9.84775997617409</v>
      </c>
    </row>
    <row r="282" customFormat="false" ht="15" hidden="false" customHeight="false" outlineLevel="0" collapsed="false">
      <c r="A282" s="416" t="s">
        <v>49</v>
      </c>
      <c r="B282" s="418" t="n">
        <f aca="false">Drivers!E39/1000000</f>
        <v>47.5465281</v>
      </c>
      <c r="C282" s="418" t="n">
        <f aca="false">Drivers!F39/1000000</f>
        <v>63.67381698996</v>
      </c>
      <c r="D282" s="418" t="n">
        <f aca="false">Drivers!G39/1000000</f>
        <v>79.7406200829525</v>
      </c>
      <c r="E282" s="418" t="n">
        <f aca="false">Drivers!H39/1000000</f>
        <v>110.401664919354</v>
      </c>
      <c r="F282" s="418" t="n">
        <f aca="false">Drivers!I39/1000000</f>
        <v>141.604332588451</v>
      </c>
      <c r="G282" s="418" t="n">
        <f aca="false">Drivers!J39/1000000</f>
        <v>170.317748046407</v>
      </c>
    </row>
    <row r="283" customFormat="false" ht="15" hidden="false" customHeight="false" outlineLevel="0" collapsed="false">
      <c r="A283" s="248" t="s">
        <v>1042</v>
      </c>
    </row>
    <row r="285" customFormat="false" ht="15" hidden="false" customHeight="false" outlineLevel="0" collapsed="false">
      <c r="A285" s="417" t="s">
        <v>1043</v>
      </c>
    </row>
    <row r="286" customFormat="false" ht="15" hidden="false" customHeight="false" outlineLevel="0" collapsed="false">
      <c r="A286" s="415" t="s">
        <v>1044</v>
      </c>
      <c r="B286" s="415" t="s">
        <v>240</v>
      </c>
      <c r="C286" s="415" t="s">
        <v>241</v>
      </c>
      <c r="D286" s="415" t="s">
        <v>242</v>
      </c>
      <c r="E286" s="415" t="s">
        <v>243</v>
      </c>
      <c r="F286" s="415" t="s">
        <v>244</v>
      </c>
    </row>
    <row r="287" customFormat="false" ht="15" hidden="false" customHeight="false" outlineLevel="0" collapsed="false">
      <c r="A287" s="416" t="s">
        <v>1045</v>
      </c>
      <c r="B287" s="418" t="n">
        <f aca="false">Drivers!F12/1000000</f>
        <v>20.09517312</v>
      </c>
      <c r="C287" s="418" t="n">
        <f aca="false">Drivers!G12/1000000</f>
        <v>24.5161112064</v>
      </c>
      <c r="D287" s="418" t="n">
        <f aca="false">Drivers!H12/1000000</f>
        <v>33.09675012864</v>
      </c>
      <c r="E287" s="418" t="n">
        <f aca="false">Drivers!I12/1000000</f>
        <v>41.3709376608</v>
      </c>
      <c r="F287" s="418" t="n">
        <f aca="false">Drivers!J12/1000000</f>
        <v>48.403997063136</v>
      </c>
    </row>
    <row r="288" customFormat="false" ht="15" hidden="false" customHeight="false" outlineLevel="0" collapsed="false">
      <c r="A288" s="416" t="s">
        <v>1046</v>
      </c>
      <c r="B288" s="433" t="n">
        <f aca="false">Drivers!F13</f>
        <v>0.32</v>
      </c>
      <c r="C288" s="433" t="n">
        <f aca="false">Drivers!G13</f>
        <v>0.22</v>
      </c>
      <c r="D288" s="433" t="n">
        <f aca="false">Drivers!H13</f>
        <v>0.35</v>
      </c>
      <c r="E288" s="433" t="n">
        <f aca="false">Drivers!I13</f>
        <v>0.25</v>
      </c>
      <c r="F288" s="433" t="n">
        <f aca="false">Drivers!J13</f>
        <v>0.17</v>
      </c>
    </row>
    <row r="289" customFormat="false" ht="15" hidden="false" customHeight="false" outlineLevel="0" collapsed="false">
      <c r="A289" s="416" t="s">
        <v>270</v>
      </c>
      <c r="B289" s="433" t="n">
        <f aca="false">Drivers!F20</f>
        <v>0.22</v>
      </c>
      <c r="C289" s="433" t="n">
        <f aca="false">Drivers!G20</f>
        <v>0.18</v>
      </c>
      <c r="D289" s="433" t="n">
        <f aca="false">Drivers!H20</f>
        <v>0.28</v>
      </c>
      <c r="E289" s="433" t="n">
        <f aca="false">Drivers!I20</f>
        <v>0.2</v>
      </c>
      <c r="F289" s="433" t="n">
        <f aca="false">Drivers!J20</f>
        <v>0.15</v>
      </c>
    </row>
    <row r="290" customFormat="false" ht="15" hidden="false" customHeight="false" outlineLevel="0" collapsed="false">
      <c r="A290" s="416" t="s">
        <v>413</v>
      </c>
      <c r="B290" s="433" t="n">
        <f aca="false">Drivers!F27</f>
        <v>0.3</v>
      </c>
      <c r="C290" s="433" t="n">
        <f aca="false">Drivers!G27</f>
        <v>0.3</v>
      </c>
      <c r="D290" s="433" t="n">
        <f aca="false">Drivers!H27</f>
        <v>0.4</v>
      </c>
      <c r="E290" s="433" t="n">
        <f aca="false">Drivers!I27</f>
        <v>0.32</v>
      </c>
      <c r="F290" s="433" t="n">
        <f aca="false">Drivers!J27</f>
        <v>0.25</v>
      </c>
    </row>
    <row r="291" customFormat="false" ht="15" hidden="false" customHeight="false" outlineLevel="0" collapsed="false">
      <c r="A291" s="416" t="s">
        <v>414</v>
      </c>
      <c r="B291" s="433" t="n">
        <f aca="false">Drivers!F34</f>
        <v>0.6</v>
      </c>
      <c r="C291" s="433" t="n">
        <f aca="false">Drivers!G34</f>
        <v>0.5</v>
      </c>
      <c r="D291" s="433" t="n">
        <f aca="false">Drivers!H34</f>
        <v>0.7</v>
      </c>
      <c r="E291" s="433" t="n">
        <f aca="false">Drivers!I34</f>
        <v>0.45</v>
      </c>
      <c r="F291" s="433" t="n">
        <f aca="false">Drivers!J34</f>
        <v>0.3</v>
      </c>
    </row>
    <row r="292" customFormat="false" ht="15" hidden="false" customHeight="false" outlineLevel="0" collapsed="false">
      <c r="A292" s="416" t="s">
        <v>1047</v>
      </c>
      <c r="B292" s="419" t="n">
        <f aca="false">Drivers!F11</f>
        <v>0.02</v>
      </c>
      <c r="C292" s="419" t="n">
        <f aca="false">Drivers!G11</f>
        <v>0.02</v>
      </c>
      <c r="D292" s="419" t="n">
        <f aca="false">Drivers!H11</f>
        <v>0.02</v>
      </c>
      <c r="E292" s="419" t="n">
        <f aca="false">Drivers!I11</f>
        <v>0.02</v>
      </c>
      <c r="F292" s="419" t="n">
        <f aca="false">Drivers!J11</f>
        <v>0.02</v>
      </c>
    </row>
    <row r="293" customFormat="false" ht="15" hidden="false" customHeight="false" outlineLevel="0" collapsed="false">
      <c r="A293" s="416" t="s">
        <v>1048</v>
      </c>
      <c r="B293" s="419" t="n">
        <f aca="false">Drivers!F25</f>
        <v>0.015</v>
      </c>
      <c r="C293" s="419" t="n">
        <f aca="false">Drivers!G25</f>
        <v>0.015</v>
      </c>
      <c r="D293" s="419" t="n">
        <f aca="false">Drivers!H25</f>
        <v>0.015</v>
      </c>
      <c r="E293" s="419" t="n">
        <f aca="false">Drivers!I25</f>
        <v>0.015</v>
      </c>
      <c r="F293" s="419" t="n">
        <f aca="false">Drivers!J25</f>
        <v>0.015</v>
      </c>
    </row>
    <row r="294" customFormat="false" ht="15" hidden="false" customHeight="false" outlineLevel="0" collapsed="false">
      <c r="A294" s="416" t="s">
        <v>1049</v>
      </c>
      <c r="B294" s="419" t="n">
        <f aca="false">Drivers!F54</f>
        <v>0.25</v>
      </c>
      <c r="C294" s="419" t="n">
        <f aca="false">Drivers!G54</f>
        <v>0.255</v>
      </c>
      <c r="D294" s="419" t="n">
        <f aca="false">Drivers!H54</f>
        <v>0.27</v>
      </c>
      <c r="E294" s="419" t="n">
        <f aca="false">Drivers!I54</f>
        <v>0.265</v>
      </c>
      <c r="F294" s="419" t="n">
        <f aca="false">Drivers!J54</f>
        <v>0.27</v>
      </c>
    </row>
    <row r="295" customFormat="false" ht="15" hidden="false" customHeight="false" outlineLevel="0" collapsed="false">
      <c r="A295" s="416" t="s">
        <v>1050</v>
      </c>
      <c r="B295" s="419" t="n">
        <f aca="false">Drivers!F63</f>
        <v>0.225</v>
      </c>
      <c r="C295" s="419" t="n">
        <f aca="false">Drivers!G63</f>
        <v>0.23</v>
      </c>
      <c r="D295" s="419" t="n">
        <f aca="false">Drivers!H63</f>
        <v>0.235</v>
      </c>
      <c r="E295" s="419" t="n">
        <f aca="false">Drivers!I63</f>
        <v>0.23</v>
      </c>
      <c r="F295" s="419" t="n">
        <f aca="false">Drivers!J63</f>
        <v>0.225</v>
      </c>
    </row>
    <row r="296" customFormat="false" ht="15" hidden="false" customHeight="false" outlineLevel="0" collapsed="false">
      <c r="A296" s="416" t="s">
        <v>844</v>
      </c>
      <c r="B296" s="433" t="n">
        <f aca="false">Drivers!F83</f>
        <v>0.2</v>
      </c>
      <c r="C296" s="433" t="n">
        <f aca="false">Drivers!G83</f>
        <v>0.65</v>
      </c>
      <c r="D296" s="433" t="n">
        <f aca="false">Drivers!H83</f>
        <v>0.12</v>
      </c>
      <c r="E296" s="433" t="n">
        <f aca="false">Drivers!I83</f>
        <v>0.1</v>
      </c>
      <c r="F296" s="433" t="n">
        <f aca="false">Drivers!J83</f>
        <v>0.1</v>
      </c>
    </row>
    <row r="297" customFormat="false" ht="15" hidden="false" customHeight="false" outlineLevel="0" collapsed="false">
      <c r="A297" s="248" t="s">
        <v>1051</v>
      </c>
    </row>
    <row r="299" customFormat="false" ht="15" hidden="false" customHeight="false" outlineLevel="0" collapsed="false">
      <c r="A299" s="417" t="s">
        <v>1052</v>
      </c>
    </row>
    <row r="300" customFormat="false" ht="15" hidden="false" customHeight="false" outlineLevel="0" collapsed="false">
      <c r="A300" s="415" t="s">
        <v>235</v>
      </c>
      <c r="B300" s="415" t="s">
        <v>237</v>
      </c>
      <c r="C300" s="415" t="s">
        <v>238</v>
      </c>
      <c r="D300" s="415" t="s">
        <v>239</v>
      </c>
      <c r="E300" s="415" t="s">
        <v>240</v>
      </c>
      <c r="F300" s="415" t="s">
        <v>241</v>
      </c>
      <c r="G300" s="415" t="s">
        <v>242</v>
      </c>
      <c r="H300" s="415" t="s">
        <v>243</v>
      </c>
      <c r="I300" s="415" t="s">
        <v>244</v>
      </c>
    </row>
    <row r="301" customFormat="false" ht="15" hidden="false" customHeight="false" outlineLevel="0" collapsed="false">
      <c r="A301" s="416" t="s">
        <v>341</v>
      </c>
      <c r="B301" s="419" t="n">
        <f aca="false">Drivers!C80</f>
        <v>-0.142117352188264</v>
      </c>
      <c r="C301" s="419" t="n">
        <f aca="false">Drivers!D80</f>
        <v>0.0651366136208328</v>
      </c>
      <c r="D301" s="419" t="n">
        <f aca="false">Drivers!E80</f>
        <v>0.161833671626173</v>
      </c>
      <c r="E301" s="419" t="n">
        <f aca="false">Drivers!F80</f>
        <v>0.178789407841557</v>
      </c>
      <c r="F301" s="419" t="n">
        <f aca="false">Drivers!G80</f>
        <v>0.178952390484925</v>
      </c>
      <c r="G301" s="419" t="n">
        <f aca="false">Drivers!H80</f>
        <v>0.160844626537491</v>
      </c>
      <c r="H301" s="419" t="n">
        <f aca="false">Drivers!I80</f>
        <v>0.19015424005941</v>
      </c>
      <c r="I301" s="419" t="n">
        <f aca="false">Drivers!J80</f>
        <v>0.202178779341621</v>
      </c>
    </row>
    <row r="302" customFormat="false" ht="15" hidden="false" customHeight="false" outlineLevel="0" collapsed="false">
      <c r="A302" s="416" t="s">
        <v>1053</v>
      </c>
      <c r="B302" s="421" t="n">
        <f aca="false">('Income Statement'!B65-'Income Statement'!B71)/'Income Statement'!B13</f>
        <v>-0.215796862267366</v>
      </c>
      <c r="C302" s="421" t="n">
        <f aca="false">('Income Statement'!C65-'Income Statement'!C71)/'Income Statement'!C13</f>
        <v>-0.0116629890729473</v>
      </c>
      <c r="D302" s="421" t="n">
        <f aca="false">('Income Statement'!D65-'Income Statement'!D71)/'Income Statement'!D13</f>
        <v>0.0959623635589913</v>
      </c>
      <c r="E302" s="421" t="n">
        <f aca="false">('Income Statement'!E65-'Income Statement'!E71)/'Income Statement'!E13</f>
        <v>0.120019656366001</v>
      </c>
      <c r="F302" s="421" t="n">
        <f aca="false">('Income Statement'!F65-'Income Statement'!F71)/'Income Statement'!F13</f>
        <v>0.112859776679358</v>
      </c>
      <c r="G302" s="421" t="n">
        <f aca="false">('Income Statement'!G65-'Income Statement'!G71)/'Income Statement'!G13</f>
        <v>0.0567697977509639</v>
      </c>
      <c r="H302" s="421" t="n">
        <f aca="false">('Income Statement'!H65-'Income Statement'!H71)/'Income Statement'!H13</f>
        <v>0.0977854677911051</v>
      </c>
      <c r="I302" s="421" t="n">
        <f aca="false">('Income Statement'!I65-'Income Statement'!I71)/'Income Statement'!I13</f>
        <v>0.115405260376923</v>
      </c>
    </row>
    <row r="303" customFormat="false" ht="15" hidden="false" customHeight="false" outlineLevel="0" collapsed="false">
      <c r="A303" s="416" t="s">
        <v>910</v>
      </c>
      <c r="B303" s="421" t="n">
        <f aca="false">'Income Statement'!B80/'Income Statement'!B13</f>
        <v>-0.22167702425734</v>
      </c>
      <c r="C303" s="421" t="n">
        <f aca="false">'Income Statement'!C80/'Income Statement'!C13</f>
        <v>-0.0162723620142533</v>
      </c>
      <c r="D303" s="421" t="n">
        <f aca="false">'Income Statement'!D80/'Income Statement'!D13</f>
        <v>0.0929719874856645</v>
      </c>
      <c r="E303" s="421" t="n">
        <f aca="false">'Income Statement'!E80/'Income Statement'!E13</f>
        <v>0.103325671172801</v>
      </c>
      <c r="F303" s="421" t="n">
        <f aca="false">'Income Statement'!F80/'Income Statement'!F13</f>
        <v>0.0730800084136817</v>
      </c>
      <c r="G303" s="421" t="n">
        <f aca="false">'Income Statement'!G80/'Income Statement'!G13</f>
        <v>0.0217194985803575</v>
      </c>
      <c r="H303" s="421" t="n">
        <f aca="false">'Income Statement'!H80/'Income Statement'!H13</f>
        <v>0.0615104916041829</v>
      </c>
      <c r="I303" s="421" t="n">
        <f aca="false">'Income Statement'!I80/'Income Statement'!I13</f>
        <v>0.081346238218807</v>
      </c>
    </row>
    <row r="304" customFormat="false" ht="15" hidden="false" customHeight="false" outlineLevel="0" collapsed="false">
      <c r="A304" s="416" t="s">
        <v>1054</v>
      </c>
      <c r="B304" s="421" t="n">
        <f aca="false">Drivers!C68/Drivers!C39</f>
        <v>0.204596712459564</v>
      </c>
      <c r="C304" s="421" t="n">
        <f aca="false">Drivers!D68/Drivers!D39</f>
        <v>0.173593524503541</v>
      </c>
      <c r="D304" s="421" t="n">
        <f aca="false">Drivers!E68/Drivers!E39</f>
        <v>0.159217082771602</v>
      </c>
      <c r="E304" s="421" t="n">
        <f aca="false">Drivers!F68/Drivers!F39</f>
        <v>0.133157492998055</v>
      </c>
      <c r="F304" s="421" t="n">
        <f aca="false">Drivers!G68/Drivers!G39</f>
        <v>0.122276986382308</v>
      </c>
      <c r="G304" s="421" t="n">
        <f aca="false">Drivers!H68/Drivers!H39</f>
        <v>0.114813264275129</v>
      </c>
      <c r="H304" s="421" t="n">
        <f aca="false">Drivers!I68/Drivers!I39</f>
        <v>0.100255721947125</v>
      </c>
      <c r="I304" s="421" t="n">
        <f aca="false">Drivers!J68/Drivers!J39</f>
        <v>0.0933563420619156</v>
      </c>
    </row>
    <row r="305" customFormat="false" ht="15" hidden="false" customHeight="false" outlineLevel="0" collapsed="false">
      <c r="A305" s="248" t="s">
        <v>1055</v>
      </c>
    </row>
    <row r="307" customFormat="false" ht="15" hidden="false" customHeight="false" outlineLevel="0" collapsed="false">
      <c r="A307" s="417" t="s">
        <v>1056</v>
      </c>
    </row>
    <row r="308" customFormat="false" ht="15" hidden="false" customHeight="false" outlineLevel="0" collapsed="false">
      <c r="A308" s="415" t="s">
        <v>1057</v>
      </c>
      <c r="B308" s="415" t="s">
        <v>239</v>
      </c>
      <c r="C308" s="415" t="s">
        <v>244</v>
      </c>
    </row>
    <row r="309" customFormat="false" ht="15" hidden="false" customHeight="false" outlineLevel="0" collapsed="false">
      <c r="A309" s="416" t="s">
        <v>1058</v>
      </c>
      <c r="B309" s="419" t="n">
        <f aca="false">Drivers!E54</f>
        <v>0.245</v>
      </c>
      <c r="C309" s="419" t="n">
        <f aca="false">Drivers!J54</f>
        <v>0.27</v>
      </c>
    </row>
    <row r="310" customFormat="false" ht="15" hidden="false" customHeight="false" outlineLevel="0" collapsed="false">
      <c r="A310" s="416" t="s">
        <v>86</v>
      </c>
      <c r="B310" s="419" t="n">
        <f aca="false">Drivers!E63</f>
        <v>0.226466167568605</v>
      </c>
      <c r="C310" s="419" t="n">
        <f aca="false">Drivers!J63</f>
        <v>0.225</v>
      </c>
    </row>
    <row r="311" customFormat="false" ht="15" hidden="false" customHeight="false" outlineLevel="0" collapsed="false">
      <c r="A311" s="416" t="s">
        <v>59</v>
      </c>
      <c r="B311" s="421" t="n">
        <f aca="false">Drivers!E68/Drivers!E39</f>
        <v>0.159217082771602</v>
      </c>
      <c r="C311" s="421" t="n">
        <f aca="false">Drivers!J68/Drivers!J39</f>
        <v>0.0933563420619156</v>
      </c>
    </row>
    <row r="312" customFormat="false" ht="15" hidden="false" customHeight="false" outlineLevel="0" collapsed="false">
      <c r="A312" s="416" t="s">
        <v>101</v>
      </c>
      <c r="B312" s="419" t="n">
        <f aca="false">Drivers!E91</f>
        <v>0.0658713080671815</v>
      </c>
      <c r="C312" s="419" t="n">
        <f aca="false">Drivers!J91</f>
        <v>0.0867735189646974</v>
      </c>
    </row>
    <row r="313" customFormat="false" ht="15" hidden="false" customHeight="false" outlineLevel="0" collapsed="false">
      <c r="A313" s="416" t="s">
        <v>1059</v>
      </c>
      <c r="B313" s="421" t="n">
        <f aca="false">Drivers!E66/Drivers!E39</f>
        <v>0.0651151645287009</v>
      </c>
      <c r="C313" s="421" t="n">
        <f aca="false">Drivers!J66/Drivers!J39</f>
        <v>0.063</v>
      </c>
    </row>
    <row r="314" customFormat="false" ht="15" hidden="false" customHeight="false" outlineLevel="0" collapsed="false">
      <c r="A314" s="416" t="s">
        <v>1060</v>
      </c>
      <c r="B314" s="419" t="n">
        <f aca="false">Drivers!E71</f>
        <v>0.0473220672446954</v>
      </c>
      <c r="C314" s="419" t="n">
        <f aca="false">Drivers!J71</f>
        <v>0.05</v>
      </c>
    </row>
    <row r="315" customFormat="false" ht="15" hidden="false" customHeight="false" outlineLevel="0" collapsed="false">
      <c r="A315" s="416" t="s">
        <v>61</v>
      </c>
      <c r="B315" s="419" t="n">
        <f aca="false">Drivers!E69</f>
        <v>0.043817079464105</v>
      </c>
      <c r="C315" s="419" t="n">
        <f aca="false">Drivers!J69</f>
        <v>0.044</v>
      </c>
    </row>
    <row r="316" customFormat="false" ht="15" hidden="false" customHeight="false" outlineLevel="0" collapsed="false">
      <c r="A316" s="416" t="s">
        <v>334</v>
      </c>
      <c r="B316" s="419" t="n">
        <f aca="false">Drivers!E73</f>
        <v>0.0243803290444671</v>
      </c>
      <c r="C316" s="419" t="n">
        <f aca="false">Drivers!J73</f>
        <v>0.028</v>
      </c>
    </row>
    <row r="317" customFormat="false" ht="15" hidden="false" customHeight="false" outlineLevel="0" collapsed="false">
      <c r="A317" s="416" t="s">
        <v>311</v>
      </c>
      <c r="B317" s="421" t="n">
        <f aca="false">Drivers!E56/Drivers!E39</f>
        <v>0.0268484377516515</v>
      </c>
      <c r="C317" s="421" t="n">
        <f aca="false">Drivers!J56/Drivers!J39</f>
        <v>0.0184648785964637</v>
      </c>
    </row>
    <row r="318" customFormat="false" ht="15" hidden="false" customHeight="false" outlineLevel="0" collapsed="false">
      <c r="A318" s="416" t="s">
        <v>337</v>
      </c>
      <c r="B318" s="419" t="n">
        <f aca="false">Drivers!E75</f>
        <v>0</v>
      </c>
      <c r="C318" s="419" t="n">
        <f aca="false">Drivers!J75</f>
        <v>0.006</v>
      </c>
    </row>
    <row r="319" customFormat="false" ht="15" hidden="false" customHeight="false" outlineLevel="0" collapsed="false">
      <c r="A319" s="248" t="s">
        <v>1061</v>
      </c>
    </row>
    <row r="321" customFormat="false" ht="15" hidden="false" customHeight="false" outlineLevel="0" collapsed="false">
      <c r="A321" s="417" t="s">
        <v>1062</v>
      </c>
    </row>
    <row r="322" customFormat="false" ht="15" hidden="false" customHeight="false" outlineLevel="0" collapsed="false">
      <c r="A322" s="415" t="s">
        <v>1063</v>
      </c>
      <c r="B322" s="415" t="s">
        <v>237</v>
      </c>
      <c r="C322" s="415" t="s">
        <v>238</v>
      </c>
      <c r="D322" s="415" t="s">
        <v>239</v>
      </c>
      <c r="E322" s="415" t="s">
        <v>240</v>
      </c>
      <c r="F322" s="415" t="s">
        <v>241</v>
      </c>
      <c r="G322" s="415" t="s">
        <v>242</v>
      </c>
      <c r="H322" s="415" t="s">
        <v>243</v>
      </c>
      <c r="I322" s="415" t="s">
        <v>244</v>
      </c>
    </row>
    <row r="323" customFormat="false" ht="15" hidden="false" customHeight="false" outlineLevel="0" collapsed="false">
      <c r="A323" s="416" t="s">
        <v>920</v>
      </c>
      <c r="B323" s="425" t="n">
        <f aca="false">Drivers!C94</f>
        <v>151.72534086241</v>
      </c>
      <c r="C323" s="425" t="n">
        <f aca="false">Drivers!D94</f>
        <v>123.087234189999</v>
      </c>
      <c r="D323" s="425" t="n">
        <f aca="false">Drivers!E94</f>
        <v>105.853379584676</v>
      </c>
      <c r="E323" s="425" t="n">
        <f aca="false">Drivers!F94</f>
        <v>100</v>
      </c>
      <c r="F323" s="425" t="n">
        <f aca="false">Drivers!G94</f>
        <v>100</v>
      </c>
      <c r="G323" s="425" t="n">
        <f aca="false">Drivers!H94</f>
        <v>105</v>
      </c>
      <c r="H323" s="425" t="n">
        <f aca="false">Drivers!I94</f>
        <v>100</v>
      </c>
      <c r="I323" s="425" t="n">
        <f aca="false">Drivers!J94</f>
        <v>95</v>
      </c>
    </row>
    <row r="324" customFormat="false" ht="15" hidden="false" customHeight="false" outlineLevel="0" collapsed="false">
      <c r="A324" s="416" t="s">
        <v>921</v>
      </c>
      <c r="B324" s="425" t="n">
        <f aca="false">Drivers!C96</f>
        <v>23.6595494242277</v>
      </c>
      <c r="C324" s="425" t="n">
        <f aca="false">Drivers!D96</f>
        <v>18.1412580749304</v>
      </c>
      <c r="D324" s="425" t="n">
        <f aca="false">Drivers!E96</f>
        <v>13.5707006543765</v>
      </c>
      <c r="E324" s="425" t="n">
        <f aca="false">Drivers!F96</f>
        <v>18</v>
      </c>
      <c r="F324" s="425" t="n">
        <f aca="false">Drivers!G96</f>
        <v>22</v>
      </c>
      <c r="G324" s="425" t="n">
        <f aca="false">Drivers!H96</f>
        <v>26</v>
      </c>
      <c r="H324" s="425" t="n">
        <f aca="false">Drivers!I96</f>
        <v>30</v>
      </c>
      <c r="I324" s="425" t="n">
        <f aca="false">Drivers!J96</f>
        <v>30</v>
      </c>
    </row>
    <row r="325" customFormat="false" ht="15" hidden="false" customHeight="false" outlineLevel="0" collapsed="false">
      <c r="A325" s="416" t="s">
        <v>922</v>
      </c>
      <c r="B325" s="425" t="n">
        <f aca="false">Drivers!C100</f>
        <v>9.47144984975426</v>
      </c>
      <c r="C325" s="425" t="n">
        <f aca="false">Drivers!D100</f>
        <v>8.32402664190068</v>
      </c>
      <c r="D325" s="425" t="n">
        <f aca="false">Drivers!E100</f>
        <v>7.44489395590345</v>
      </c>
      <c r="E325" s="425" t="n">
        <f aca="false">Drivers!F100</f>
        <v>10</v>
      </c>
      <c r="F325" s="425" t="n">
        <f aca="false">Drivers!G100</f>
        <v>12</v>
      </c>
      <c r="G325" s="425" t="n">
        <f aca="false">Drivers!H100</f>
        <v>15</v>
      </c>
      <c r="H325" s="425" t="n">
        <f aca="false">Drivers!I100</f>
        <v>15</v>
      </c>
      <c r="I325" s="425" t="n">
        <f aca="false">Drivers!J100</f>
        <v>15</v>
      </c>
    </row>
    <row r="326" customFormat="false" ht="15" hidden="false" customHeight="false" outlineLevel="0" collapsed="false">
      <c r="A326" s="416" t="s">
        <v>1064</v>
      </c>
      <c r="B326" s="419" t="n">
        <f aca="false">Drivers!C106</f>
        <v>0.246380330729531</v>
      </c>
      <c r="C326" s="419" t="n">
        <f aca="false">Drivers!D106</f>
        <v>0.193417126103177</v>
      </c>
      <c r="D326" s="419" t="n">
        <f aca="false">Drivers!E106</f>
        <v>0.152411506992873</v>
      </c>
      <c r="E326" s="419" t="n">
        <f aca="false">Drivers!F106</f>
        <v>0.154396654587493</v>
      </c>
      <c r="F326" s="419" t="n">
        <f aca="false">Drivers!G106</f>
        <v>0.164423602289544</v>
      </c>
      <c r="G326" s="419" t="n">
        <f aca="false">Drivers!H106</f>
        <v>0.181613122813327</v>
      </c>
      <c r="H326" s="419" t="n">
        <f aca="false">Drivers!I106</f>
        <v>0.186605899258752</v>
      </c>
      <c r="I326" s="419" t="n">
        <f aca="false">Drivers!J106</f>
        <v>0.183416959692376</v>
      </c>
    </row>
    <row r="327" customFormat="false" ht="15" hidden="false" customHeight="false" outlineLevel="0" collapsed="false">
      <c r="A327" s="416" t="s">
        <v>1065</v>
      </c>
      <c r="B327" s="418" t="n">
        <f aca="false">Drivers!C104/1000000</f>
        <v>4.7892</v>
      </c>
      <c r="C327" s="418" t="n">
        <f aca="false">Drivers!D104/1000000</f>
        <v>5.98206</v>
      </c>
      <c r="D327" s="418" t="n">
        <f aca="false">Drivers!E104/1000000</f>
        <v>7.246638</v>
      </c>
      <c r="E327" s="418" t="n">
        <f aca="false">Drivers!F104/1000000</f>
        <v>9.8310243280661</v>
      </c>
      <c r="F327" s="418" t="n">
        <f aca="false">Drivers!G104/1000000</f>
        <v>13.111240002841</v>
      </c>
      <c r="G327" s="418" t="n">
        <f aca="false">Drivers!H104/1000000</f>
        <v>20.0503911297944</v>
      </c>
      <c r="H327" s="418" t="n">
        <f aca="false">Drivers!I104/1000000</f>
        <v>26.4242038216034</v>
      </c>
      <c r="I327" s="418" t="n">
        <f aca="false">Drivers!J104/1000000</f>
        <v>31.239163528324</v>
      </c>
    </row>
    <row r="328" customFormat="false" ht="15" hidden="false" customHeight="false" outlineLevel="0" collapsed="false">
      <c r="A328" s="248" t="s">
        <v>1066</v>
      </c>
    </row>
    <row r="330" customFormat="false" ht="15" hidden="false" customHeight="false" outlineLevel="0" collapsed="false">
      <c r="A330" s="417" t="s">
        <v>1067</v>
      </c>
    </row>
    <row r="331" customFormat="false" ht="15" hidden="false" customHeight="false" outlineLevel="0" collapsed="false">
      <c r="A331" s="415" t="s">
        <v>891</v>
      </c>
      <c r="B331" s="415" t="s">
        <v>239</v>
      </c>
      <c r="C331" s="415" t="s">
        <v>240</v>
      </c>
      <c r="D331" s="415" t="s">
        <v>241</v>
      </c>
      <c r="E331" s="415" t="s">
        <v>242</v>
      </c>
      <c r="F331" s="415" t="s">
        <v>243</v>
      </c>
      <c r="G331" s="415" t="s">
        <v>244</v>
      </c>
    </row>
    <row r="332" customFormat="false" ht="15" hidden="false" customHeight="false" outlineLevel="0" collapsed="false">
      <c r="A332" s="416" t="s">
        <v>49</v>
      </c>
      <c r="B332" s="418" t="n">
        <f aca="false">'Income Statement'!D13/1000000</f>
        <v>47.5465281</v>
      </c>
      <c r="C332" s="418" t="n">
        <f aca="false">'Income Statement'!E13/1000000</f>
        <v>63.67381698996</v>
      </c>
      <c r="D332" s="418" t="n">
        <f aca="false">'Income Statement'!F13/1000000</f>
        <v>79.7406200829525</v>
      </c>
      <c r="E332" s="418" t="n">
        <f aca="false">'Income Statement'!G13/1000000</f>
        <v>110.401664919354</v>
      </c>
      <c r="F332" s="418" t="n">
        <f aca="false">'Income Statement'!H13/1000000</f>
        <v>141.604332588451</v>
      </c>
      <c r="G332" s="418" t="n">
        <f aca="false">'Income Statement'!I13/1000000</f>
        <v>170.317748046407</v>
      </c>
    </row>
    <row r="333" customFormat="false" ht="15" hidden="false" customHeight="false" outlineLevel="0" collapsed="false">
      <c r="A333" s="416" t="s">
        <v>841</v>
      </c>
      <c r="B333" s="419" t="n">
        <f aca="false">Drivers!E40</f>
        <v>0.537315376523464</v>
      </c>
      <c r="C333" s="419" t="n">
        <f aca="false">Drivers!F40</f>
        <v>0.339189621922363</v>
      </c>
      <c r="D333" s="419" t="n">
        <f aca="false">Drivers!G40</f>
        <v>0.252329824918865</v>
      </c>
      <c r="E333" s="419" t="n">
        <f aca="false">Drivers!H40</f>
        <v>0.384509736750299</v>
      </c>
      <c r="F333" s="419" t="n">
        <f aca="false">Drivers!I40</f>
        <v>0.28262859705866</v>
      </c>
      <c r="G333" s="419" t="n">
        <f aca="false">Drivers!J40</f>
        <v>0.202772153458088</v>
      </c>
    </row>
    <row r="334" customFormat="false" ht="15" hidden="false" customHeight="false" outlineLevel="0" collapsed="false">
      <c r="A334" s="416" t="s">
        <v>50</v>
      </c>
      <c r="B334" s="418" t="n">
        <f aca="false">-'Income Statement'!D18/1000000</f>
        <v>-12.9254493845</v>
      </c>
      <c r="C334" s="418" t="n">
        <f aca="false">-'Income Statement'!E18/1000000</f>
        <v>-17.32265924749</v>
      </c>
      <c r="D334" s="418" t="n">
        <f aca="false">-'Income Statement'!F18/1000000</f>
        <v>-21.8784836211529</v>
      </c>
      <c r="E334" s="418" t="n">
        <f aca="false">-'Income Statement'!G18/1000000</f>
        <v>-32.4075375782256</v>
      </c>
      <c r="F334" s="418" t="n">
        <f aca="false">-'Income Statement'!H18/1000000</f>
        <v>-40.3841449909396</v>
      </c>
      <c r="G334" s="418" t="n">
        <f aca="false">-'Income Statement'!I18/1000000</f>
        <v>-49.1306885130299</v>
      </c>
    </row>
    <row r="335" customFormat="false" ht="15" hidden="false" customHeight="false" outlineLevel="0" collapsed="false">
      <c r="A335" s="416" t="s">
        <v>54</v>
      </c>
      <c r="B335" s="418" t="n">
        <f aca="false">'Income Statement'!D20/1000000</f>
        <v>34.6210787155</v>
      </c>
      <c r="C335" s="418" t="n">
        <f aca="false">'Income Statement'!E20/1000000</f>
        <v>46.35115774247</v>
      </c>
      <c r="D335" s="418" t="n">
        <f aca="false">'Income Statement'!F20/1000000</f>
        <v>57.8621364617996</v>
      </c>
      <c r="E335" s="418" t="n">
        <f aca="false">'Income Statement'!G20/1000000</f>
        <v>77.9941273411285</v>
      </c>
      <c r="F335" s="418" t="n">
        <f aca="false">'Income Statement'!H20/1000000</f>
        <v>101.220187597512</v>
      </c>
      <c r="G335" s="418" t="n">
        <f aca="false">'Income Statement'!I20/1000000</f>
        <v>121.187059533377</v>
      </c>
    </row>
    <row r="336" customFormat="false" ht="15" hidden="false" customHeight="false" outlineLevel="0" collapsed="false">
      <c r="A336" s="416" t="s">
        <v>1068</v>
      </c>
      <c r="B336" s="418" t="n">
        <f aca="false">-'Income Statement'!D63/1000000</f>
        <v>-26.9264495</v>
      </c>
      <c r="C336" s="418" t="n">
        <f aca="false">-'Income Statement'!E63/1000000</f>
        <v>-34.9669537078234</v>
      </c>
      <c r="D336" s="418" t="n">
        <f aca="false">-'Income Statement'!F63/1000000</f>
        <v>-43.592361879205</v>
      </c>
      <c r="E336" s="418" t="n">
        <f aca="false">-'Income Statement'!G63/1000000</f>
        <v>-60.2366127780578</v>
      </c>
      <c r="F336" s="418" t="n">
        <f aca="false">-'Income Statement'!H63/1000000</f>
        <v>-74.2935233450348</v>
      </c>
      <c r="G336" s="418" t="n">
        <f aca="false">-'Income Statement'!I63/1000000</f>
        <v>-86.7524251331408</v>
      </c>
    </row>
    <row r="337" customFormat="false" ht="15" hidden="false" customHeight="false" outlineLevel="0" collapsed="false">
      <c r="A337" s="416" t="s">
        <v>340</v>
      </c>
      <c r="B337" s="418" t="n">
        <f aca="false">'Income Statement'!D65/1000000</f>
        <v>7.6946292155</v>
      </c>
      <c r="C337" s="418" t="n">
        <f aca="false">'Income Statement'!E65/1000000</f>
        <v>11.3842040346466</v>
      </c>
      <c r="D337" s="418" t="n">
        <f aca="false">'Income Statement'!F65/1000000</f>
        <v>14.2697745825946</v>
      </c>
      <c r="E337" s="418" t="n">
        <f aca="false">'Income Statement'!G65/1000000</f>
        <v>17.7575145630708</v>
      </c>
      <c r="F337" s="418" t="n">
        <f aca="false">'Income Statement'!H65/1000000</f>
        <v>26.926664252477</v>
      </c>
      <c r="G337" s="418" t="n">
        <f aca="false">'Income Statement'!I65/1000000</f>
        <v>34.4346344002363</v>
      </c>
    </row>
    <row r="338" customFormat="false" ht="15" hidden="false" customHeight="false" outlineLevel="0" collapsed="false">
      <c r="A338" s="416" t="s">
        <v>341</v>
      </c>
      <c r="B338" s="419" t="n">
        <f aca="false">Drivers!E80</f>
        <v>0.161833671626173</v>
      </c>
      <c r="C338" s="419" t="n">
        <f aca="false">Drivers!F80</f>
        <v>0.178789407841557</v>
      </c>
      <c r="D338" s="419" t="n">
        <f aca="false">Drivers!G80</f>
        <v>0.178952390484925</v>
      </c>
      <c r="E338" s="419" t="n">
        <f aca="false">Drivers!H80</f>
        <v>0.160844626537491</v>
      </c>
      <c r="F338" s="419" t="n">
        <f aca="false">Drivers!I80</f>
        <v>0.19015424005941</v>
      </c>
      <c r="G338" s="419" t="n">
        <f aca="false">Drivers!J80</f>
        <v>0.202178779341621</v>
      </c>
    </row>
    <row r="339" customFormat="false" ht="15" hidden="false" customHeight="false" outlineLevel="0" collapsed="false">
      <c r="A339" s="416" t="s">
        <v>101</v>
      </c>
      <c r="B339" s="418" t="n">
        <f aca="false">-'Income Statement'!D71/1000000</f>
        <v>-3.131952</v>
      </c>
      <c r="C339" s="418" t="n">
        <f aca="false">-'Income Statement'!E71/1000000</f>
        <v>-3.7420944</v>
      </c>
      <c r="D339" s="418" t="n">
        <f aca="false">-'Income Statement'!F71/1000000</f>
        <v>-5.27026600775904</v>
      </c>
      <c r="E339" s="418" t="n">
        <f aca="false">-'Income Statement'!G71/1000000</f>
        <v>-11.4900343742293</v>
      </c>
      <c r="F339" s="418" t="n">
        <f aca="false">-'Income Statement'!H71/1000000</f>
        <v>-13.079818349068</v>
      </c>
      <c r="G339" s="418" t="n">
        <f aca="false">-'Income Statement'!I71/1000000</f>
        <v>-14.7790703401295</v>
      </c>
    </row>
    <row r="340" customFormat="false" ht="15" hidden="false" customHeight="false" outlineLevel="0" collapsed="false">
      <c r="A340" s="416" t="s">
        <v>1069</v>
      </c>
      <c r="B340" s="420" t="n">
        <f aca="false">('Income Statement'!D65-'Income Statement'!D71)/1000000</f>
        <v>4.5626772155</v>
      </c>
      <c r="C340" s="420" t="n">
        <f aca="false">('Income Statement'!E65-'Income Statement'!E71)/1000000</f>
        <v>7.64210963464663</v>
      </c>
      <c r="D340" s="420" t="n">
        <f aca="false">('Income Statement'!F65-'Income Statement'!F71)/1000000</f>
        <v>8.99950857483553</v>
      </c>
      <c r="E340" s="420" t="n">
        <f aca="false">('Income Statement'!G65-'Income Statement'!G71)/1000000</f>
        <v>6.26748018884142</v>
      </c>
      <c r="F340" s="420" t="n">
        <f aca="false">('Income Statement'!H65-'Income Statement'!H71)/1000000</f>
        <v>13.846845903409</v>
      </c>
      <c r="G340" s="420" t="n">
        <f aca="false">('Income Statement'!I65-'Income Statement'!I71)/1000000</f>
        <v>19.6555640601068</v>
      </c>
    </row>
    <row r="341" customFormat="false" ht="15" hidden="false" customHeight="false" outlineLevel="0" collapsed="false">
      <c r="A341" s="416" t="s">
        <v>384</v>
      </c>
      <c r="B341" s="418" t="n">
        <f aca="false">-'Income Statement'!D69/1000000</f>
        <v>-0.142182</v>
      </c>
      <c r="C341" s="418" t="n">
        <f aca="false">-'Income Statement'!E69/1000000</f>
        <v>-0.16026</v>
      </c>
      <c r="D341" s="418" t="n">
        <f aca="false">-'Income Statement'!F69/1000000</f>
        <v>-1.71520209161757</v>
      </c>
      <c r="E341" s="418" t="n">
        <f aca="false">-'Income Statement'!G69/1000000</f>
        <v>-3.27014418323515</v>
      </c>
      <c r="F341" s="418" t="n">
        <f aca="false">-'Income Statement'!H69/1000000</f>
        <v>-2.95915576491163</v>
      </c>
      <c r="G341" s="418" t="n">
        <f aca="false">-'Income Statement'!I69/1000000</f>
        <v>-2.3371789282646</v>
      </c>
    </row>
    <row r="342" customFormat="false" ht="15" hidden="false" customHeight="false" outlineLevel="0" collapsed="false">
      <c r="A342" s="416" t="s">
        <v>104</v>
      </c>
      <c r="B342" s="418" t="n">
        <f aca="false">'Income Statement'!D76/1000000</f>
        <v>4.4204952155</v>
      </c>
      <c r="C342" s="418" t="n">
        <f aca="false">'Income Statement'!E76/1000000</f>
        <v>7.48184963464663</v>
      </c>
      <c r="D342" s="418" t="n">
        <f aca="false">'Income Statement'!F76/1000000</f>
        <v>7.28430648321796</v>
      </c>
      <c r="E342" s="418" t="n">
        <f aca="false">'Income Statement'!G76/1000000</f>
        <v>2.99733600560627</v>
      </c>
      <c r="F342" s="418" t="n">
        <f aca="false">'Income Statement'!H76/1000000</f>
        <v>10.8876901384973</v>
      </c>
      <c r="G342" s="418" t="n">
        <f aca="false">'Income Statement'!I76/1000000</f>
        <v>17.3183851318422</v>
      </c>
    </row>
    <row r="343" customFormat="false" ht="15" hidden="false" customHeight="false" outlineLevel="0" collapsed="false">
      <c r="A343" s="416" t="s">
        <v>396</v>
      </c>
      <c r="B343" s="418" t="n">
        <f aca="false">-'Income Statement'!D78/1000000</f>
        <v>-0</v>
      </c>
      <c r="C343" s="418" t="n">
        <f aca="false">-'Income Statement'!E78/1000000</f>
        <v>-0.902709758024927</v>
      </c>
      <c r="D343" s="418" t="n">
        <f aca="false">-'Income Statement'!F78/1000000</f>
        <v>-1.45686129664359</v>
      </c>
      <c r="E343" s="418" t="n">
        <f aca="false">-'Income Statement'!G78/1000000</f>
        <v>-0.599467201121254</v>
      </c>
      <c r="F343" s="418" t="n">
        <f aca="false">-'Income Statement'!H78/1000000</f>
        <v>-2.17753802769946</v>
      </c>
      <c r="G343" s="418" t="n">
        <f aca="false">-'Income Statement'!I78/1000000</f>
        <v>-3.46367702636845</v>
      </c>
    </row>
    <row r="344" customFormat="false" ht="15" hidden="false" customHeight="false" outlineLevel="0" collapsed="false">
      <c r="A344" s="416" t="s">
        <v>107</v>
      </c>
      <c r="B344" s="418" t="n">
        <f aca="false">'Income Statement'!D80/1000000</f>
        <v>4.4204952155</v>
      </c>
      <c r="C344" s="418" t="n">
        <f aca="false">'Income Statement'!E80/1000000</f>
        <v>6.5791398766217</v>
      </c>
      <c r="D344" s="418" t="n">
        <f aca="false">'Income Statement'!F80/1000000</f>
        <v>5.82744518657437</v>
      </c>
      <c r="E344" s="418" t="n">
        <f aca="false">'Income Statement'!G80/1000000</f>
        <v>2.39786880448502</v>
      </c>
      <c r="F344" s="418" t="n">
        <f aca="false">'Income Statement'!H80/1000000</f>
        <v>8.71015211079786</v>
      </c>
      <c r="G344" s="418" t="n">
        <f aca="false">'Income Statement'!I80/1000000</f>
        <v>13.8547081054738</v>
      </c>
    </row>
    <row r="345" customFormat="false" ht="15" hidden="false" customHeight="false" outlineLevel="0" collapsed="false">
      <c r="A345" s="416" t="s">
        <v>910</v>
      </c>
      <c r="B345" s="421" t="n">
        <f aca="false">'Income Statement'!D80/'Income Statement'!D13</f>
        <v>0.0929719874856645</v>
      </c>
      <c r="C345" s="421" t="n">
        <f aca="false">'Income Statement'!E80/'Income Statement'!E13</f>
        <v>0.103325671172801</v>
      </c>
      <c r="D345" s="421" t="n">
        <f aca="false">'Income Statement'!F80/'Income Statement'!F13</f>
        <v>0.0730800084136817</v>
      </c>
      <c r="E345" s="421" t="n">
        <f aca="false">'Income Statement'!G80/'Income Statement'!G13</f>
        <v>0.0217194985803575</v>
      </c>
      <c r="F345" s="421" t="n">
        <f aca="false">'Income Statement'!H80/'Income Statement'!H13</f>
        <v>0.0615104916041829</v>
      </c>
      <c r="G345" s="421" t="n">
        <f aca="false">'Income Statement'!I80/'Income Statement'!I13</f>
        <v>0.081346238218807</v>
      </c>
    </row>
    <row r="346" customFormat="false" ht="15" hidden="false" customHeight="false" outlineLevel="0" collapsed="false">
      <c r="A346" s="248" t="s">
        <v>1070</v>
      </c>
    </row>
    <row r="348" customFormat="false" ht="15" hidden="false" customHeight="false" outlineLevel="0" collapsed="false">
      <c r="A348" s="417" t="s">
        <v>1071</v>
      </c>
    </row>
    <row r="349" customFormat="false" ht="15" hidden="false" customHeight="false" outlineLevel="0" collapsed="false">
      <c r="A349" s="415" t="s">
        <v>235</v>
      </c>
      <c r="B349" s="415" t="s">
        <v>239</v>
      </c>
      <c r="C349" s="415" t="s">
        <v>240</v>
      </c>
      <c r="D349" s="415" t="s">
        <v>241</v>
      </c>
      <c r="E349" s="415" t="s">
        <v>242</v>
      </c>
      <c r="F349" s="415" t="s">
        <v>243</v>
      </c>
      <c r="G349" s="415" t="s">
        <v>244</v>
      </c>
    </row>
    <row r="350" customFormat="false" ht="15" hidden="false" customHeight="false" outlineLevel="0" collapsed="false">
      <c r="A350" s="416" t="s">
        <v>1072</v>
      </c>
      <c r="B350" s="418" t="n">
        <f aca="false">Drivers!E85/1000000</f>
        <v>5.08452</v>
      </c>
      <c r="C350" s="418" t="n">
        <f aca="false">Drivers!F85/1000000</f>
        <v>12.734763397992</v>
      </c>
      <c r="D350" s="418" t="n">
        <f aca="false">Drivers!G85/1000000</f>
        <v>51.8314030539191</v>
      </c>
      <c r="E350" s="418" t="n">
        <f aca="false">Drivers!H85/1000000</f>
        <v>13.2481997903225</v>
      </c>
      <c r="F350" s="418" t="n">
        <f aca="false">Drivers!I85/1000000</f>
        <v>14.1604332588451</v>
      </c>
      <c r="G350" s="418" t="n">
        <f aca="false">Drivers!J85/1000000</f>
        <v>17.0317748046407</v>
      </c>
    </row>
    <row r="351" customFormat="false" ht="15" hidden="false" customHeight="false" outlineLevel="0" collapsed="false">
      <c r="A351" s="416" t="s">
        <v>844</v>
      </c>
      <c r="B351" s="419" t="n">
        <f aca="false">Drivers!E83</f>
        <v>0.106937776598666</v>
      </c>
      <c r="C351" s="419" t="n">
        <f aca="false">Drivers!F83</f>
        <v>0.2</v>
      </c>
      <c r="D351" s="419" t="n">
        <f aca="false">Drivers!G83</f>
        <v>0.65</v>
      </c>
      <c r="E351" s="419" t="n">
        <f aca="false">Drivers!H83</f>
        <v>0.12</v>
      </c>
      <c r="F351" s="419" t="n">
        <f aca="false">Drivers!I83</f>
        <v>0.1</v>
      </c>
      <c r="G351" s="419" t="n">
        <f aca="false">Drivers!J83</f>
        <v>0.1</v>
      </c>
    </row>
    <row r="352" customFormat="false" ht="15" hidden="false" customHeight="false" outlineLevel="0" collapsed="false">
      <c r="A352" s="416" t="s">
        <v>1073</v>
      </c>
      <c r="B352" s="418" t="n">
        <f aca="false">Drivers!E88/1000000</f>
        <v>3.131952</v>
      </c>
      <c r="C352" s="418" t="n">
        <f aca="false">Drivers!F88/1000000</f>
        <v>3.7420944</v>
      </c>
      <c r="D352" s="418" t="n">
        <f aca="false">Drivers!G88/1000000</f>
        <v>5.27026600775904</v>
      </c>
      <c r="E352" s="418" t="n">
        <f aca="false">Drivers!H88/1000000</f>
        <v>11.4900343742293</v>
      </c>
      <c r="F352" s="418" t="n">
        <f aca="false">Drivers!I88/1000000</f>
        <v>13.079818349068</v>
      </c>
      <c r="G352" s="418" t="n">
        <f aca="false">Drivers!J88/1000000</f>
        <v>14.7790703401295</v>
      </c>
    </row>
    <row r="353" customFormat="false" ht="15" hidden="false" customHeight="false" outlineLevel="0" collapsed="false">
      <c r="A353" s="416" t="s">
        <v>1074</v>
      </c>
      <c r="B353" s="420" t="n">
        <f aca="false">('Cash Flow Statement'!E19+'Cash Flow Statement'!E22)/1000000</f>
        <v>1.19794921549999</v>
      </c>
      <c r="C353" s="420" t="n">
        <f aca="false">DCF!C10/1000000</f>
        <v>-4.86489964943638</v>
      </c>
      <c r="D353" s="420" t="n">
        <f aca="false">DCF!D10/1000000</f>
        <v>-42.6417458610666</v>
      </c>
      <c r="E353" s="420" t="n">
        <f aca="false">DCF!E10/1000000</f>
        <v>-3.68333239197345</v>
      </c>
      <c r="F353" s="420" t="n">
        <f aca="false">DCF!F10/1000000</f>
        <v>3.62304912114108</v>
      </c>
      <c r="G353" s="420" t="n">
        <f aca="false">DCF!G10/1000000</f>
        <v>8.65678707685356</v>
      </c>
    </row>
    <row r="354" customFormat="false" ht="15" hidden="false" customHeight="false" outlineLevel="0" collapsed="false">
      <c r="A354" s="416" t="s">
        <v>1075</v>
      </c>
      <c r="B354" s="420" t="n">
        <f aca="false">('Income Statement'!D65-'Income Statement'!D71)*(1-Assumption!$D$15)/1000000</f>
        <v>3.6501417724</v>
      </c>
      <c r="C354" s="420" t="n">
        <f aca="false">DCF!C5/1000000</f>
        <v>6.71215567662172</v>
      </c>
      <c r="D354" s="420" t="n">
        <f aca="false">DCF!D5/1000000</f>
        <v>7.19960685986842</v>
      </c>
      <c r="E354" s="420" t="n">
        <f aca="false">DCF!E5/1000000</f>
        <v>5.01398415107312</v>
      </c>
      <c r="F354" s="420" t="n">
        <f aca="false">DCF!F5/1000000</f>
        <v>11.0774767227272</v>
      </c>
      <c r="G354" s="420" t="n">
        <f aca="false">DCF!G5/1000000</f>
        <v>15.7244512480854</v>
      </c>
    </row>
    <row r="355" customFormat="false" ht="15" hidden="false" customHeight="false" outlineLevel="0" collapsed="false">
      <c r="A355" s="248" t="s">
        <v>1076</v>
      </c>
    </row>
    <row r="357" customFormat="false" ht="15" hidden="false" customHeight="false" outlineLevel="0" collapsed="false">
      <c r="A357" s="417" t="s">
        <v>1077</v>
      </c>
    </row>
    <row r="358" customFormat="false" ht="15" hidden="false" customHeight="false" outlineLevel="0" collapsed="false">
      <c r="A358" s="415" t="s">
        <v>235</v>
      </c>
      <c r="B358" s="415" t="s">
        <v>239</v>
      </c>
      <c r="C358" s="415" t="s">
        <v>240</v>
      </c>
      <c r="D358" s="415" t="s">
        <v>241</v>
      </c>
      <c r="E358" s="415" t="s">
        <v>242</v>
      </c>
      <c r="F358" s="415" t="s">
        <v>243</v>
      </c>
      <c r="G358" s="415" t="s">
        <v>244</v>
      </c>
    </row>
    <row r="359" customFormat="false" ht="15" hidden="false" customHeight="false" outlineLevel="0" collapsed="false">
      <c r="A359" s="416" t="s">
        <v>845</v>
      </c>
      <c r="B359" s="421" t="n">
        <f aca="false">('Income Statement'!D65-'Income Statement'!D71)*(1-Assumption!$D$15)/(Drivers!E90+Drivers!E104)</f>
        <v>0.12744318375483</v>
      </c>
      <c r="C359" s="421" t="n">
        <f aca="false">DCF!C5/(Drivers!F90+Drivers!F104)</f>
        <v>0.16689273549338</v>
      </c>
      <c r="D359" s="421" t="n">
        <f aca="false">DCF!D5/(Drivers!G90+Drivers!G104)</f>
        <v>0.0799425729606493</v>
      </c>
      <c r="E359" s="421" t="n">
        <f aca="false">DCF!E5/(Drivers!H90+Drivers!H104)</f>
        <v>0.0507708980889595</v>
      </c>
      <c r="F359" s="421" t="n">
        <f aca="false">DCF!F5/(Drivers!I90+Drivers!I104)</f>
        <v>0.104296417970394</v>
      </c>
      <c r="G359" s="421" t="n">
        <f aca="false">DCF!G5/(Drivers!J90+Drivers!J104)</f>
        <v>0.138811531585547</v>
      </c>
    </row>
    <row r="360" customFormat="false" ht="15" hidden="false" customHeight="false" outlineLevel="0" collapsed="false">
      <c r="A360" s="416" t="s">
        <v>197</v>
      </c>
      <c r="B360" s="419" t="n">
        <f aca="false">'Discount rate'!$E$5</f>
        <v>0.138360839936764</v>
      </c>
      <c r="C360" s="419" t="n">
        <f aca="false">'Discount rate'!$E$5</f>
        <v>0.138360839936764</v>
      </c>
      <c r="D360" s="419" t="n">
        <f aca="false">'Discount rate'!$E$5</f>
        <v>0.138360839936764</v>
      </c>
      <c r="E360" s="419" t="n">
        <f aca="false">'Discount rate'!$E$5</f>
        <v>0.138360839936764</v>
      </c>
      <c r="F360" s="419" t="n">
        <f aca="false">'Discount rate'!$E$5</f>
        <v>0.138360839936764</v>
      </c>
      <c r="G360" s="419" t="n">
        <f aca="false">'Discount rate'!$E$5</f>
        <v>0.138360839936764</v>
      </c>
    </row>
    <row r="361" customFormat="false" ht="15" hidden="false" customHeight="false" outlineLevel="0" collapsed="false">
      <c r="A361" s="416" t="s">
        <v>1078</v>
      </c>
      <c r="B361" s="438" t="n">
        <f aca="false">Drivers!E45</f>
        <v>1.66003632794798</v>
      </c>
      <c r="C361" s="438" t="n">
        <f aca="false">Drivers!F45</f>
        <v>1.69563969772379</v>
      </c>
      <c r="D361" s="438" t="n">
        <f aca="false">Drivers!G45</f>
        <v>1.14184998978152</v>
      </c>
      <c r="E361" s="438" t="n">
        <f aca="false">Drivers!H45</f>
        <v>1.07841100551331</v>
      </c>
      <c r="F361" s="438" t="n">
        <f aca="false">Drivers!I45</f>
        <v>1.21989933627203</v>
      </c>
      <c r="G361" s="438" t="n">
        <f aca="false">Drivers!J45</f>
        <v>1.29347254840751</v>
      </c>
    </row>
    <row r="362" customFormat="false" ht="15" hidden="false" customHeight="false" outlineLevel="0" collapsed="false">
      <c r="A362" s="248" t="s">
        <v>1079</v>
      </c>
    </row>
    <row r="364" customFormat="false" ht="15" hidden="false" customHeight="false" outlineLevel="0" collapsed="false">
      <c r="A364" s="417" t="s">
        <v>1080</v>
      </c>
    </row>
    <row r="365" customFormat="false" ht="15" hidden="false" customHeight="false" outlineLevel="0" collapsed="false">
      <c r="A365" s="415" t="s">
        <v>235</v>
      </c>
      <c r="B365" s="415" t="s">
        <v>240</v>
      </c>
      <c r="C365" s="415" t="s">
        <v>241</v>
      </c>
      <c r="D365" s="415" t="s">
        <v>242</v>
      </c>
      <c r="E365" s="415" t="s">
        <v>243</v>
      </c>
      <c r="F365" s="415" t="s">
        <v>244</v>
      </c>
    </row>
    <row r="366" customFormat="false" ht="15" hidden="false" customHeight="false" outlineLevel="0" collapsed="false">
      <c r="A366" s="416" t="s">
        <v>1081</v>
      </c>
      <c r="B366" s="418" t="n">
        <f aca="false">'Pro Forma'!C59/1000000</f>
        <v>-2.06443368393639</v>
      </c>
      <c r="C366" s="418" t="n">
        <f aca="false">'Pro Forma'!D59/1000000</f>
        <v>-14.9794993859455</v>
      </c>
      <c r="D366" s="418" t="n">
        <f aca="false">'Pro Forma'!E59/1000000</f>
        <v>-21.2789471245071</v>
      </c>
      <c r="E366" s="418" t="n">
        <f aca="false">'Pro Forma'!F59/1000000</f>
        <v>-26.2429909817656</v>
      </c>
      <c r="F366" s="418" t="n">
        <f aca="false">'Pro Forma'!G59/1000000</f>
        <v>-25.675715413994</v>
      </c>
    </row>
    <row r="367" customFormat="false" ht="15" hidden="false" customHeight="false" outlineLevel="0" collapsed="false">
      <c r="A367" s="416" t="s">
        <v>1082</v>
      </c>
      <c r="B367" s="418" t="n">
        <f aca="false">Drivers!F110/1000000</f>
        <v>3.183690849498</v>
      </c>
      <c r="C367" s="418" t="n">
        <f aca="false">Drivers!G110/1000000</f>
        <v>3.98703100414762</v>
      </c>
      <c r="D367" s="418" t="n">
        <f aca="false">Drivers!H110/1000000</f>
        <v>5.52008324596771</v>
      </c>
      <c r="E367" s="418" t="n">
        <f aca="false">Drivers!I110/1000000</f>
        <v>7.08021662942257</v>
      </c>
      <c r="F367" s="418" t="n">
        <f aca="false">Drivers!J110/1000000</f>
        <v>8.51588740232035</v>
      </c>
    </row>
    <row r="368" customFormat="false" ht="15" hidden="false" customHeight="false" outlineLevel="0" collapsed="false">
      <c r="A368" s="416" t="s">
        <v>1083</v>
      </c>
      <c r="B368" s="418" t="n">
        <f aca="false">'Balance Sheet'!H7/1000000</f>
        <v>35.5463294140094</v>
      </c>
      <c r="C368" s="418" t="n">
        <f aca="false">'Balance Sheet'!I7/1000000</f>
        <v>22.6312637120003</v>
      </c>
      <c r="D368" s="418" t="n">
        <f aca="false">'Balance Sheet'!J7/1000000</f>
        <v>16.3318159734387</v>
      </c>
      <c r="E368" s="418" t="n">
        <f aca="false">'Balance Sheet'!K7/1000000</f>
        <v>11.3677721161802</v>
      </c>
      <c r="F368" s="418" t="n">
        <f aca="false">'Balance Sheet'!L7/1000000</f>
        <v>11.9350476839519</v>
      </c>
    </row>
    <row r="369" customFormat="false" ht="15" hidden="false" customHeight="false" outlineLevel="0" collapsed="false">
      <c r="A369" s="416" t="s">
        <v>1084</v>
      </c>
      <c r="B369" s="418" t="n">
        <f aca="false">Drivers!F116/1000000</f>
        <v>0</v>
      </c>
      <c r="C369" s="418" t="n">
        <f aca="false">Drivers!G116/1000000</f>
        <v>31.0988418323515</v>
      </c>
      <c r="D369" s="418" t="n">
        <f aca="false">Drivers!H116/1000000</f>
        <v>31.0988418323515</v>
      </c>
      <c r="E369" s="418" t="n">
        <f aca="false">Drivers!I116/1000000</f>
        <v>24.8790734658812</v>
      </c>
      <c r="F369" s="418" t="n">
        <f aca="false">Drivers!J116/1000000</f>
        <v>18.6593050994109</v>
      </c>
    </row>
    <row r="370" customFormat="false" ht="15" hidden="false" customHeight="false" outlineLevel="0" collapsed="false">
      <c r="A370" s="416" t="s">
        <v>1085</v>
      </c>
      <c r="B370" s="418" t="n">
        <f aca="false">'Pro Forma'!B61/1000000</f>
        <v>34.1916028163144</v>
      </c>
    </row>
    <row r="371" customFormat="false" ht="15" hidden="false" customHeight="false" outlineLevel="0" collapsed="false">
      <c r="A371" s="416" t="s">
        <v>1086</v>
      </c>
      <c r="B371" s="418" t="n">
        <f aca="false">'Pro Forma'!B63/1000000</f>
        <v>37.6107630979458</v>
      </c>
    </row>
    <row r="372" customFormat="false" ht="15" hidden="false" customHeight="false" outlineLevel="0" collapsed="false">
      <c r="A372" s="248" t="s">
        <v>1087</v>
      </c>
    </row>
    <row r="374" customFormat="false" ht="15" hidden="false" customHeight="false" outlineLevel="0" collapsed="false">
      <c r="A374" s="417" t="s">
        <v>1088</v>
      </c>
    </row>
    <row r="375" customFormat="false" ht="15" hidden="false" customHeight="false" outlineLevel="0" collapsed="false">
      <c r="A375" s="415" t="s">
        <v>891</v>
      </c>
      <c r="B375" s="415" t="s">
        <v>239</v>
      </c>
      <c r="C375" s="415" t="s">
        <v>240</v>
      </c>
      <c r="D375" s="415" t="s">
        <v>241</v>
      </c>
      <c r="E375" s="415" t="s">
        <v>242</v>
      </c>
      <c r="F375" s="415" t="s">
        <v>243</v>
      </c>
      <c r="G375" s="415" t="s">
        <v>244</v>
      </c>
    </row>
    <row r="376" customFormat="false" ht="15" hidden="false" customHeight="false" outlineLevel="0" collapsed="false">
      <c r="A376" s="416" t="s">
        <v>1089</v>
      </c>
      <c r="B376" s="418" t="n">
        <f aca="false">'Balance Sheet'!G7/1000000</f>
        <v>2.93348176549999</v>
      </c>
      <c r="C376" s="418" t="n">
        <f aca="false">'Balance Sheet'!H7/1000000</f>
        <v>35.5463294140094</v>
      </c>
      <c r="D376" s="418" t="n">
        <f aca="false">'Balance Sheet'!I7/1000000</f>
        <v>22.6312637120003</v>
      </c>
      <c r="E376" s="418" t="n">
        <f aca="false">'Balance Sheet'!J7/1000000</f>
        <v>16.3318159734387</v>
      </c>
      <c r="F376" s="418" t="n">
        <f aca="false">'Balance Sheet'!K7/1000000</f>
        <v>11.3677721161802</v>
      </c>
      <c r="G376" s="418" t="n">
        <f aca="false">'Balance Sheet'!L7/1000000</f>
        <v>11.9350476839519</v>
      </c>
    </row>
    <row r="377" customFormat="false" ht="15" hidden="false" customHeight="false" outlineLevel="0" collapsed="false">
      <c r="A377" s="416" t="s">
        <v>119</v>
      </c>
      <c r="B377" s="418" t="n">
        <f aca="false">'Balance Sheet'!G12/1000000</f>
        <v>1.76778</v>
      </c>
      <c r="C377" s="418" t="n">
        <f aca="false">'Balance Sheet'!H12/1000000</f>
        <v>3.14007864608022</v>
      </c>
      <c r="D377" s="418" t="n">
        <f aca="false">'Balance Sheet'!I12/1000000</f>
        <v>4.80628395020536</v>
      </c>
      <c r="E377" s="418" t="n">
        <f aca="false">'Balance Sheet'!J12/1000000</f>
        <v>7.86422818603618</v>
      </c>
      <c r="F377" s="418" t="n">
        <f aca="false">'Balance Sheet'!K12/1000000</f>
        <v>11.638712267544</v>
      </c>
      <c r="G377" s="418" t="n">
        <f aca="false">'Balance Sheet'!L12/1000000</f>
        <v>13.9987190175129</v>
      </c>
    </row>
    <row r="378" customFormat="false" ht="15" hidden="false" customHeight="false" outlineLevel="0" collapsed="false">
      <c r="A378" s="416" t="s">
        <v>116</v>
      </c>
      <c r="B378" s="418" t="n">
        <f aca="false">'Balance Sheet'!G9/1000000</f>
        <v>3.7485</v>
      </c>
      <c r="C378" s="418" t="n">
        <f aca="false">'Balance Sheet'!H9/1000000</f>
        <v>4.74593404040822</v>
      </c>
      <c r="D378" s="418" t="n">
        <f aca="false">'Balance Sheet'!I9/1000000</f>
        <v>5.99410510168572</v>
      </c>
      <c r="E378" s="418" t="n">
        <f aca="false">'Balance Sheet'!J9/1000000</f>
        <v>9.32271628962655</v>
      </c>
      <c r="F378" s="418" t="n">
        <f aca="false">'Balance Sheet'!K9/1000000</f>
        <v>11.0641493125862</v>
      </c>
      <c r="G378" s="418" t="n">
        <f aca="false">'Balance Sheet'!L9/1000000</f>
        <v>12.7874394759941</v>
      </c>
    </row>
    <row r="379" customFormat="false" ht="15" hidden="false" customHeight="false" outlineLevel="0" collapsed="false">
      <c r="A379" s="416" t="s">
        <v>1090</v>
      </c>
      <c r="B379" s="418" t="n">
        <f aca="false">'Balance Sheet'!G32/1000000</f>
        <v>21.394688</v>
      </c>
      <c r="C379" s="418" t="n">
        <f aca="false">'Balance Sheet'!H32/1000000</f>
        <v>30.387356997992</v>
      </c>
      <c r="D379" s="418" t="n">
        <f aca="false">'Balance Sheet'!I32/1000000</f>
        <v>76.9484940441521</v>
      </c>
      <c r="E379" s="418" t="n">
        <f aca="false">'Balance Sheet'!J32/1000000</f>
        <v>78.7066594602453</v>
      </c>
      <c r="F379" s="418" t="n">
        <f aca="false">'Balance Sheet'!K32/1000000</f>
        <v>79.7872743700224</v>
      </c>
      <c r="G379" s="418" t="n">
        <f aca="false">'Balance Sheet'!L32/1000000</f>
        <v>82.0399788345336</v>
      </c>
    </row>
    <row r="380" customFormat="false" ht="15" hidden="false" customHeight="false" outlineLevel="0" collapsed="false">
      <c r="A380" s="416" t="s">
        <v>137</v>
      </c>
      <c r="B380" s="418" t="n">
        <f aca="false">'Balance Sheet'!G34/1000000</f>
        <v>31.9175397655</v>
      </c>
      <c r="C380" s="418" t="n">
        <f aca="false">'Balance Sheet'!H34/1000000</f>
        <v>76.3666517780883</v>
      </c>
      <c r="D380" s="418" t="n">
        <f aca="false">'Balance Sheet'!I34/1000000</f>
        <v>113.569771611362</v>
      </c>
      <c r="E380" s="418" t="n">
        <f aca="false">'Balance Sheet'!J34/1000000</f>
        <v>116.641486506121</v>
      </c>
      <c r="F380" s="418" t="n">
        <f aca="false">'Balance Sheet'!K34/1000000</f>
        <v>119.522081369871</v>
      </c>
      <c r="G380" s="418" t="n">
        <f aca="false">'Balance Sheet'!L34/1000000</f>
        <v>127.573894933849</v>
      </c>
    </row>
    <row r="381" customFormat="false" ht="15" hidden="false" customHeight="false" outlineLevel="0" collapsed="false">
      <c r="A381" s="416" t="s">
        <v>1091</v>
      </c>
      <c r="B381" s="420" t="n">
        <f aca="false">('Balance Sheet'!G48+'Balance Sheet'!G61)/1000000</f>
        <v>1.6026</v>
      </c>
      <c r="C381" s="420" t="n">
        <f aca="false">('Balance Sheet'!H48+'Balance Sheet'!H61)/1000000</f>
        <v>1.6026</v>
      </c>
      <c r="D381" s="420" t="n">
        <f aca="false">('Balance Sheet'!I48+'Balance Sheet'!I61)/1000000</f>
        <v>32.7014418323515</v>
      </c>
      <c r="E381" s="420" t="n">
        <f aca="false">('Balance Sheet'!J48+'Balance Sheet'!J61)/1000000</f>
        <v>32.7014418323515</v>
      </c>
      <c r="F381" s="420" t="n">
        <f aca="false">('Balance Sheet'!K48+'Balance Sheet'!K61)/1000000</f>
        <v>26.4816734658812</v>
      </c>
      <c r="G381" s="420" t="n">
        <f aca="false">('Balance Sheet'!L48+'Balance Sheet'!L61)/1000000</f>
        <v>20.2619050994109</v>
      </c>
    </row>
    <row r="382" customFormat="false" ht="15" hidden="false" customHeight="false" outlineLevel="0" collapsed="false">
      <c r="A382" s="416" t="s">
        <v>164</v>
      </c>
      <c r="B382" s="418" t="n">
        <f aca="false">'Balance Sheet'!G76/1000000</f>
        <v>29.9722077655</v>
      </c>
      <c r="C382" s="418" t="n">
        <f aca="false">'Balance Sheet'!H76/1000000</f>
        <v>74.1621107400676</v>
      </c>
      <c r="D382" s="418" t="n">
        <f aca="false">'Balance Sheet'!I76/1000000</f>
        <v>79.9895559266419</v>
      </c>
      <c r="E382" s="418" t="n">
        <f aca="false">'Balance Sheet'!J76/1000000</f>
        <v>82.3874247311269</v>
      </c>
      <c r="F382" s="418" t="n">
        <f aca="false">'Balance Sheet'!K76/1000000</f>
        <v>91.0975768419248</v>
      </c>
      <c r="G382" s="418" t="n">
        <f aca="false">'Balance Sheet'!L76/1000000</f>
        <v>104.952284947399</v>
      </c>
    </row>
    <row r="383" customFormat="false" ht="15" hidden="false" customHeight="false" outlineLevel="0" collapsed="false">
      <c r="A383" s="416" t="s">
        <v>902</v>
      </c>
      <c r="B383" s="418" t="n">
        <f aca="false">'Cash Flow Statement'!E19/1000000</f>
        <v>6.2824692155</v>
      </c>
      <c r="C383" s="418" t="n">
        <f aca="false">'Cash Flow Statement'!F19/1000000</f>
        <v>7.73684794855561</v>
      </c>
      <c r="D383" s="418" t="n">
        <f aca="false">'Cash Flow Statement'!G19/1000000</f>
        <v>7.81749551955852</v>
      </c>
      <c r="E383" s="418" t="n">
        <f aca="false">'Cash Flow Statement'!H19/1000000</f>
        <v>6.94875205176094</v>
      </c>
      <c r="F383" s="418" t="n">
        <f aca="false">'Cash Flow Statement'!I19/1000000</f>
        <v>15.4161577680569</v>
      </c>
      <c r="G383" s="418" t="n">
        <f aca="false">'Cash Flow Statement'!J19/1000000</f>
        <v>23.8188187388826</v>
      </c>
    </row>
    <row r="384" customFormat="false" ht="15" hidden="false" customHeight="false" outlineLevel="0" collapsed="false">
      <c r="A384" s="416" t="s">
        <v>347</v>
      </c>
      <c r="B384" s="418" t="n">
        <f aca="false">'Cash Flow Statement'!E22/1000000</f>
        <v>-5.08452</v>
      </c>
      <c r="C384" s="418" t="n">
        <f aca="false">'Cash Flow Statement'!F22/1000000</f>
        <v>-12.734763397992</v>
      </c>
      <c r="D384" s="418" t="n">
        <f aca="false">'Cash Flow Statement'!G22/1000000</f>
        <v>-51.8314030539191</v>
      </c>
      <c r="E384" s="418" t="n">
        <f aca="false">'Cash Flow Statement'!H22/1000000</f>
        <v>-13.2481997903225</v>
      </c>
      <c r="F384" s="418" t="n">
        <f aca="false">'Cash Flow Statement'!I22/1000000</f>
        <v>-14.1604332588451</v>
      </c>
      <c r="G384" s="418" t="n">
        <f aca="false">'Cash Flow Statement'!J22/1000000</f>
        <v>-17.0317748046407</v>
      </c>
    </row>
    <row r="385" customFormat="false" ht="15" hidden="false" customHeight="false" outlineLevel="0" collapsed="false">
      <c r="A385" s="416" t="s">
        <v>1092</v>
      </c>
      <c r="B385" s="418" t="n">
        <f aca="false">'Cash Flow Statement'!E27/1000000</f>
        <v>0</v>
      </c>
      <c r="C385" s="418" t="n">
        <f aca="false">'Cash Flow Statement'!F27/1000000</f>
        <v>37.6107630979458</v>
      </c>
      <c r="D385" s="418" t="n">
        <f aca="false">'Cash Flow Statement'!G27/1000000</f>
        <v>0</v>
      </c>
      <c r="E385" s="418" t="n">
        <f aca="false">'Cash Flow Statement'!H27/1000000</f>
        <v>0</v>
      </c>
      <c r="F385" s="418" t="n">
        <f aca="false">'Cash Flow Statement'!I27/1000000</f>
        <v>0</v>
      </c>
      <c r="G385" s="418" t="n">
        <f aca="false">'Cash Flow Statement'!J27/1000000</f>
        <v>0</v>
      </c>
    </row>
    <row r="386" customFormat="false" ht="15" hidden="false" customHeight="false" outlineLevel="0" collapsed="false">
      <c r="A386" s="416" t="s">
        <v>186</v>
      </c>
      <c r="B386" s="418" t="n">
        <f aca="false">'Cash Flow Statement'!E28/1000000</f>
        <v>0</v>
      </c>
      <c r="C386" s="418" t="n">
        <f aca="false">'Cash Flow Statement'!F28/1000000</f>
        <v>0</v>
      </c>
      <c r="D386" s="418" t="n">
        <f aca="false">'Cash Flow Statement'!G28/1000000</f>
        <v>31.0988418323515</v>
      </c>
      <c r="E386" s="418" t="n">
        <f aca="false">'Cash Flow Statement'!H28/1000000</f>
        <v>0</v>
      </c>
      <c r="F386" s="418" t="n">
        <f aca="false">'Cash Flow Statement'!I28/1000000</f>
        <v>-6.21976836647029</v>
      </c>
      <c r="G386" s="418" t="n">
        <f aca="false">'Cash Flow Statement'!J28/1000000</f>
        <v>-6.21976836647029</v>
      </c>
    </row>
    <row r="387" customFormat="false" ht="15" hidden="false" customHeight="false" outlineLevel="0" collapsed="false">
      <c r="A387" s="416" t="s">
        <v>905</v>
      </c>
      <c r="B387" s="418" t="n">
        <f aca="false">'Cash Flow Statement'!E36/1000000</f>
        <v>2.93348176549999</v>
      </c>
      <c r="C387" s="418" t="n">
        <f aca="false">'Cash Flow Statement'!F36/1000000</f>
        <v>35.5463294140094</v>
      </c>
      <c r="D387" s="418" t="n">
        <f aca="false">'Cash Flow Statement'!G36/1000000</f>
        <v>22.6312637120003</v>
      </c>
      <c r="E387" s="418" t="n">
        <f aca="false">'Cash Flow Statement'!H36/1000000</f>
        <v>16.3318159734387</v>
      </c>
      <c r="F387" s="418" t="n">
        <f aca="false">'Cash Flow Statement'!I36/1000000</f>
        <v>11.3677721161802</v>
      </c>
      <c r="G387" s="418" t="n">
        <f aca="false">'Cash Flow Statement'!J36/1000000</f>
        <v>11.9350476839519</v>
      </c>
    </row>
    <row r="388" customFormat="false" ht="15" hidden="false" customHeight="false" outlineLevel="0" collapsed="false">
      <c r="A388" s="248" t="s">
        <v>1093</v>
      </c>
    </row>
    <row r="390" customFormat="false" ht="15" hidden="false" customHeight="false" outlineLevel="0" collapsed="false">
      <c r="A390" s="417" t="s">
        <v>1094</v>
      </c>
    </row>
    <row r="391" customFormat="false" ht="15" hidden="false" customHeight="false" outlineLevel="0" collapsed="false">
      <c r="A391" s="415" t="s">
        <v>1095</v>
      </c>
      <c r="B391" s="415" t="s">
        <v>870</v>
      </c>
      <c r="C391" s="415" t="s">
        <v>537</v>
      </c>
    </row>
    <row r="392" customFormat="false" ht="15" hidden="false" customHeight="false" outlineLevel="0" collapsed="false">
      <c r="A392" s="416" t="s">
        <v>1096</v>
      </c>
      <c r="B392" s="439" t="n">
        <f aca="false">'Discount rate'!B13</f>
        <v>0.042</v>
      </c>
      <c r="C392" s="439" t="s">
        <v>1097</v>
      </c>
    </row>
    <row r="393" customFormat="false" ht="15" hidden="false" customHeight="false" outlineLevel="0" collapsed="false">
      <c r="A393" s="416" t="s">
        <v>1098</v>
      </c>
      <c r="B393" s="439" t="n">
        <f aca="false">'Discount rate'!B14</f>
        <v>0.0423</v>
      </c>
      <c r="C393" s="439"/>
    </row>
    <row r="394" customFormat="false" ht="15" hidden="false" customHeight="false" outlineLevel="0" collapsed="false">
      <c r="A394" s="416" t="s">
        <v>1099</v>
      </c>
      <c r="B394" s="439" t="n">
        <f aca="false">'Discount rate'!B16</f>
        <v>0.039</v>
      </c>
      <c r="C394" s="439" t="s">
        <v>1097</v>
      </c>
    </row>
    <row r="395" customFormat="false" ht="15" hidden="false" customHeight="false" outlineLevel="0" collapsed="false">
      <c r="A395" s="416" t="s">
        <v>1100</v>
      </c>
      <c r="B395" s="439" t="n">
        <f aca="false">'Discount rate'!B17</f>
        <v>0.0813</v>
      </c>
      <c r="C395" s="439"/>
    </row>
    <row r="396" customFormat="false" ht="15" hidden="false" customHeight="false" outlineLevel="0" collapsed="false">
      <c r="A396" s="416" t="s">
        <v>206</v>
      </c>
      <c r="B396" s="438" t="n">
        <f aca="false">'Discount rate'!B18</f>
        <v>0.78</v>
      </c>
      <c r="C396" s="438" t="s">
        <v>1101</v>
      </c>
    </row>
    <row r="397" customFormat="false" ht="15" hidden="false" customHeight="false" outlineLevel="0" collapsed="false">
      <c r="A397" s="416" t="s">
        <v>1102</v>
      </c>
      <c r="B397" s="419" t="n">
        <f aca="false">'Discount rate'!B19</f>
        <v>0.408821394912379</v>
      </c>
      <c r="C397" s="419"/>
    </row>
    <row r="398" customFormat="false" ht="15" hidden="false" customHeight="false" outlineLevel="0" collapsed="false">
      <c r="A398" s="416" t="s">
        <v>1103</v>
      </c>
      <c r="B398" s="438" t="n">
        <f aca="false">'Discount rate'!B21</f>
        <v>1.03510455042532</v>
      </c>
      <c r="C398" s="438"/>
    </row>
    <row r="399" customFormat="false" ht="15" hidden="false" customHeight="false" outlineLevel="0" collapsed="false">
      <c r="A399" s="416" t="s">
        <v>1104</v>
      </c>
      <c r="B399" s="438" t="n">
        <f aca="false">'Discount rate'!B22</f>
        <v>0.7</v>
      </c>
      <c r="C399" s="438" t="s">
        <v>1105</v>
      </c>
    </row>
    <row r="400" customFormat="false" ht="15" hidden="false" customHeight="false" outlineLevel="0" collapsed="false">
      <c r="A400" s="416" t="s">
        <v>1106</v>
      </c>
      <c r="B400" s="438" t="n">
        <f aca="false">'Discount rate'!B23</f>
        <v>1.47872078632189</v>
      </c>
      <c r="C400" s="438"/>
    </row>
    <row r="401" customFormat="false" ht="15" hidden="false" customHeight="false" outlineLevel="0" collapsed="false">
      <c r="A401" s="416" t="s">
        <v>1107</v>
      </c>
      <c r="B401" s="419" t="n">
        <f aca="false">'Discount rate'!E3</f>
        <v>0.16221999992797</v>
      </c>
      <c r="C401" s="419"/>
    </row>
    <row r="402" customFormat="false" ht="15" hidden="false" customHeight="false" outlineLevel="0" collapsed="false">
      <c r="A402" s="416" t="s">
        <v>1108</v>
      </c>
      <c r="B402" s="419" t="n">
        <f aca="false">'Discount rate'!B15</f>
        <v>0.1</v>
      </c>
      <c r="C402" s="419"/>
    </row>
    <row r="403" customFormat="false" ht="15" hidden="false" customHeight="false" outlineLevel="0" collapsed="false">
      <c r="A403" s="416" t="s">
        <v>1109</v>
      </c>
      <c r="B403" s="419" t="n">
        <f aca="false">'Discount rate'!E4</f>
        <v>0.08</v>
      </c>
      <c r="C403" s="419"/>
    </row>
    <row r="404" customFormat="false" ht="15" hidden="false" customHeight="false" outlineLevel="0" collapsed="false">
      <c r="A404" s="416" t="s">
        <v>1110</v>
      </c>
      <c r="B404" s="421" t="n">
        <f aca="false">'Discount rate'!B7/'Discount rate'!B9</f>
        <v>0.709813183992847</v>
      </c>
      <c r="C404" s="421"/>
    </row>
    <row r="405" customFormat="false" ht="15" hidden="false" customHeight="false" outlineLevel="0" collapsed="false">
      <c r="A405" s="416" t="s">
        <v>197</v>
      </c>
      <c r="B405" s="419" t="n">
        <f aca="false">'Discount rate'!E5</f>
        <v>0.138360839936764</v>
      </c>
      <c r="C405" s="419"/>
    </row>
    <row r="406" customFormat="false" ht="15" hidden="false" customHeight="false" outlineLevel="0" collapsed="false">
      <c r="A406" s="248" t="s">
        <v>1111</v>
      </c>
    </row>
    <row r="408" customFormat="false" ht="15" hidden="false" customHeight="false" outlineLevel="0" collapsed="false">
      <c r="A408" s="417" t="s">
        <v>1112</v>
      </c>
    </row>
    <row r="409" customFormat="false" ht="15" hidden="false" customHeight="false" outlineLevel="0" collapsed="false">
      <c r="A409" s="415" t="s">
        <v>1113</v>
      </c>
      <c r="B409" s="415" t="s">
        <v>870</v>
      </c>
    </row>
    <row r="410" customFormat="false" ht="15" hidden="false" customHeight="false" outlineLevel="0" collapsed="false">
      <c r="A410" s="416" t="s">
        <v>1114</v>
      </c>
      <c r="B410" s="418" t="n">
        <f aca="false">DCF!B27/1000000</f>
        <v>-32.9904539908033</v>
      </c>
    </row>
    <row r="411" customFormat="false" ht="15" hidden="false" customHeight="false" outlineLevel="0" collapsed="false">
      <c r="A411" s="416" t="s">
        <v>478</v>
      </c>
      <c r="B411" s="418" t="n">
        <f aca="false">DCF!B28/1000000</f>
        <v>70.5953461385042</v>
      </c>
    </row>
    <row r="412" customFormat="false" ht="15" hidden="false" customHeight="false" outlineLevel="0" collapsed="false">
      <c r="A412" s="416" t="s">
        <v>479</v>
      </c>
      <c r="B412" s="418" t="n">
        <f aca="false">DCF!B29/1000000</f>
        <v>37.6048921477009</v>
      </c>
    </row>
    <row r="413" customFormat="false" ht="15" hidden="false" customHeight="false" outlineLevel="0" collapsed="false">
      <c r="A413" s="416" t="s">
        <v>1115</v>
      </c>
      <c r="B413" s="418" t="n">
        <f aca="false">DCF!B31/1000000</f>
        <v>2.93348176549999</v>
      </c>
    </row>
    <row r="414" customFormat="false" ht="15" hidden="false" customHeight="false" outlineLevel="0" collapsed="false">
      <c r="A414" s="416" t="s">
        <v>1116</v>
      </c>
      <c r="B414" s="418" t="n">
        <f aca="false">-DCF!B32/1000000</f>
        <v>-1.6026</v>
      </c>
    </row>
    <row r="415" customFormat="false" ht="15" hidden="false" customHeight="false" outlineLevel="0" collapsed="false">
      <c r="A415" s="416" t="s">
        <v>1117</v>
      </c>
      <c r="B415" s="418" t="n">
        <f aca="false">DCF!B33/1000000</f>
        <v>38.9357739132009</v>
      </c>
    </row>
    <row r="416" customFormat="false" ht="15" hidden="false" customHeight="false" outlineLevel="0" collapsed="false">
      <c r="A416" s="416" t="s">
        <v>1118</v>
      </c>
      <c r="B416" s="418" t="n">
        <f aca="false">DCF!G12/1000000</f>
        <v>134.950907419304</v>
      </c>
    </row>
    <row r="417" customFormat="false" ht="15" hidden="false" customHeight="false" outlineLevel="0" collapsed="false">
      <c r="A417" s="416" t="s">
        <v>480</v>
      </c>
      <c r="B417" s="433" t="n">
        <f aca="false">DCF!B30</f>
        <v>1.87729154656864</v>
      </c>
    </row>
    <row r="418" customFormat="false" ht="15" hidden="false" customHeight="false" outlineLevel="0" collapsed="false">
      <c r="A418" s="416" t="s">
        <v>1119</v>
      </c>
      <c r="B418" s="440" t="n">
        <f aca="false">DCF!B35</f>
        <v>3.30325177177555</v>
      </c>
    </row>
    <row r="419" customFormat="false" ht="15" hidden="false" customHeight="false" outlineLevel="0" collapsed="false">
      <c r="A419" s="416" t="s">
        <v>1120</v>
      </c>
      <c r="B419" s="440" t="n">
        <f aca="false">DCF!B36</f>
        <v>5.91806446486344</v>
      </c>
    </row>
    <row r="420" customFormat="false" ht="15" hidden="false" customHeight="false" outlineLevel="0" collapsed="false">
      <c r="A420" s="248" t="s">
        <v>1121</v>
      </c>
    </row>
    <row r="422" customFormat="false" ht="15" hidden="false" customHeight="false" outlineLevel="0" collapsed="false">
      <c r="A422" s="417" t="s">
        <v>1122</v>
      </c>
    </row>
    <row r="423" customFormat="false" ht="15" hidden="false" customHeight="false" outlineLevel="0" collapsed="false">
      <c r="A423" s="415" t="s">
        <v>602</v>
      </c>
      <c r="B423" s="441" t="n">
        <f aca="false">Sensitivity!B5</f>
        <v>0.03</v>
      </c>
      <c r="C423" s="441" t="n">
        <f aca="false">Sensitivity!C5</f>
        <v>0.04</v>
      </c>
      <c r="D423" s="441" t="n">
        <f aca="false">Sensitivity!D5</f>
        <v>0.05</v>
      </c>
      <c r="E423" s="441" t="n">
        <f aca="false">Sensitivity!E5</f>
        <v>0.06</v>
      </c>
      <c r="F423" s="441" t="n">
        <f aca="false">Sensitivity!F5</f>
        <v>0.07</v>
      </c>
    </row>
    <row r="424" customFormat="false" ht="15" hidden="false" customHeight="false" outlineLevel="0" collapsed="false">
      <c r="A424" s="421" t="n">
        <f aca="false">Sensitivity!A6</f>
        <v>0.118360839936764</v>
      </c>
      <c r="B424" s="418" t="n">
        <f aca="false">Sensitivity!B6</f>
        <v>54.8279430290814</v>
      </c>
      <c r="C424" s="418" t="n">
        <f aca="false">Sensitivity!C6</f>
        <v>60.298613883322</v>
      </c>
      <c r="D424" s="418" t="n">
        <f aca="false">Sensitivity!D6</f>
        <v>67.2237239890328</v>
      </c>
      <c r="E424" s="418" t="n">
        <f aca="false">Sensitivity!E6</f>
        <v>76.3509181297945</v>
      </c>
      <c r="F424" s="418" t="n">
        <f aca="false">Sensitivity!F6</f>
        <v>89.0462296734706</v>
      </c>
      <c r="G424" s="418"/>
    </row>
    <row r="425" customFormat="false" ht="15" hidden="false" customHeight="false" outlineLevel="0" collapsed="false">
      <c r="A425" s="421" t="n">
        <f aca="false">Sensitivity!A7</f>
        <v>0.128360839936764</v>
      </c>
      <c r="B425" s="418" t="n">
        <f aca="false">Sensitivity!B7</f>
        <v>42.9501488476064</v>
      </c>
      <c r="C425" s="418" t="n">
        <f aca="false">Sensitivity!C7</f>
        <v>46.6296496669979</v>
      </c>
      <c r="D425" s="418" t="n">
        <f aca="false">Sensitivity!D7</f>
        <v>51.1263704929234</v>
      </c>
      <c r="E425" s="418" t="n">
        <f aca="false">Sensitivity!E7</f>
        <v>56.7989464770092</v>
      </c>
      <c r="F425" s="418" t="n">
        <f aca="false">Sensitivity!F7</f>
        <v>64.2518181102255</v>
      </c>
      <c r="G425" s="418"/>
    </row>
    <row r="426" customFormat="false" ht="15" hidden="false" customHeight="false" outlineLevel="0" collapsed="false">
      <c r="A426" s="421" t="n">
        <f aca="false">Sensitivity!A8</f>
        <v>0.138360839936764</v>
      </c>
      <c r="B426" s="418" t="n">
        <f aca="false">Sensitivity!B8</f>
        <v>33.4971722930856</v>
      </c>
      <c r="C426" s="418" t="n">
        <f aca="false">Sensitivity!C8</f>
        <v>35.9864715667601</v>
      </c>
      <c r="D426" s="418" t="n">
        <f aca="false">Sensitivity!D8</f>
        <v>38.9357739132009</v>
      </c>
      <c r="E426" s="418" t="n">
        <f aca="false">Sensitivity!E8</f>
        <v>42.5211888814395</v>
      </c>
      <c r="F426" s="418" t="n">
        <f aca="false">Sensitivity!F8</f>
        <v>47.0218730569067</v>
      </c>
      <c r="G426" s="418"/>
    </row>
    <row r="427" customFormat="false" ht="15" hidden="false" customHeight="false" outlineLevel="0" collapsed="false">
      <c r="A427" s="421" t="n">
        <f aca="false">Sensitivity!A9</f>
        <v>0.148360839936764</v>
      </c>
      <c r="B427" s="418" t="n">
        <f aca="false">Sensitivity!B9</f>
        <v>25.8443638867388</v>
      </c>
      <c r="C427" s="418" t="n">
        <f aca="false">Sensitivity!C9</f>
        <v>27.5209754500936</v>
      </c>
      <c r="D427" s="418" t="n">
        <f aca="false">Sensitivity!D9</f>
        <v>29.4495529357517</v>
      </c>
      <c r="E427" s="418" t="n">
        <f aca="false">Sensitivity!E9</f>
        <v>31.7156430369601</v>
      </c>
      <c r="F427" s="418" t="n">
        <f aca="false">Sensitivity!F9</f>
        <v>34.4484605308277</v>
      </c>
      <c r="G427" s="418"/>
    </row>
    <row r="428" customFormat="false" ht="15" hidden="false" customHeight="false" outlineLevel="0" collapsed="false">
      <c r="A428" s="421" t="n">
        <f aca="false">Sensitivity!A10</f>
        <v>0.158360839936764</v>
      </c>
      <c r="B428" s="418" t="n">
        <f aca="false">Sensitivity!B10</f>
        <v>19.562249899058</v>
      </c>
      <c r="C428" s="418" t="n">
        <f aca="false">Sensitivity!C10</f>
        <v>20.6722025694224</v>
      </c>
      <c r="D428" s="418" t="n">
        <f aca="false">Sensitivity!D10</f>
        <v>21.9097065629902</v>
      </c>
      <c r="E428" s="418" t="n">
        <f aca="false">Sensitivity!E10</f>
        <v>23.3136649604849</v>
      </c>
      <c r="F428" s="418" t="n">
        <f aca="false">Sensitivity!F10</f>
        <v>24.9405918480263</v>
      </c>
      <c r="G428" s="418"/>
    </row>
    <row r="429" customFormat="false" ht="15" hidden="false" customHeight="false" outlineLevel="0" collapsed="false">
      <c r="A429" s="248" t="s">
        <v>1123</v>
      </c>
    </row>
    <row r="431" customFormat="false" ht="15" hidden="false" customHeight="false" outlineLevel="0" collapsed="false">
      <c r="A431" s="417" t="s">
        <v>1124</v>
      </c>
    </row>
    <row r="432" customFormat="false" ht="15" hidden="false" customHeight="false" outlineLevel="0" collapsed="false">
      <c r="A432" s="415" t="s">
        <v>891</v>
      </c>
      <c r="B432" s="415" t="s">
        <v>240</v>
      </c>
      <c r="C432" s="415" t="s">
        <v>241</v>
      </c>
      <c r="D432" s="415" t="s">
        <v>242</v>
      </c>
      <c r="E432" s="415" t="s">
        <v>243</v>
      </c>
      <c r="F432" s="415" t="s">
        <v>244</v>
      </c>
      <c r="G432" s="415" t="s">
        <v>1125</v>
      </c>
    </row>
    <row r="433" customFormat="false" ht="15" hidden="false" customHeight="false" outlineLevel="0" collapsed="false">
      <c r="A433" s="416" t="s">
        <v>1126</v>
      </c>
      <c r="B433" s="418" t="n">
        <f aca="false">DCF!C5/1000000</f>
        <v>6.71215567662172</v>
      </c>
      <c r="C433" s="418" t="n">
        <f aca="false">DCF!D5/1000000</f>
        <v>7.19960685986842</v>
      </c>
      <c r="D433" s="418" t="n">
        <f aca="false">DCF!E5/1000000</f>
        <v>5.01398415107312</v>
      </c>
      <c r="E433" s="418" t="n">
        <f aca="false">DCF!F5/1000000</f>
        <v>11.0774767227272</v>
      </c>
      <c r="F433" s="418" t="n">
        <f aca="false">DCF!G5/1000000</f>
        <v>15.7244512480854</v>
      </c>
    </row>
    <row r="434" customFormat="false" ht="15" hidden="false" customHeight="false" outlineLevel="0" collapsed="false">
      <c r="A434" s="416" t="s">
        <v>463</v>
      </c>
      <c r="B434" s="418" t="n">
        <f aca="false">DCF!C6/1000000</f>
        <v>3.7420944</v>
      </c>
      <c r="C434" s="418" t="n">
        <f aca="false">DCF!D6/1000000</f>
        <v>5.27026600775904</v>
      </c>
      <c r="D434" s="418" t="n">
        <f aca="false">DCF!E6/1000000</f>
        <v>11.4900343742293</v>
      </c>
      <c r="E434" s="418" t="n">
        <f aca="false">DCF!F6/1000000</f>
        <v>13.079818349068</v>
      </c>
      <c r="F434" s="418" t="n">
        <f aca="false">DCF!G6/1000000</f>
        <v>14.7790703401295</v>
      </c>
    </row>
    <row r="435" customFormat="false" ht="15" hidden="false" customHeight="false" outlineLevel="0" collapsed="false">
      <c r="A435" s="416" t="s">
        <v>1127</v>
      </c>
      <c r="B435" s="418" t="n">
        <f aca="false">-DCF!C7/1000000</f>
        <v>-2.5843863280661</v>
      </c>
      <c r="C435" s="418" t="n">
        <f aca="false">-DCF!D7/1000000</f>
        <v>-3.28021567477489</v>
      </c>
      <c r="D435" s="418" t="n">
        <f aca="false">-DCF!E7/1000000</f>
        <v>-6.93915112695341</v>
      </c>
      <c r="E435" s="418" t="n">
        <f aca="false">-DCF!F7/1000000</f>
        <v>-6.37381269180898</v>
      </c>
      <c r="F435" s="418" t="n">
        <f aca="false">-DCF!G7/1000000</f>
        <v>-4.81495970672064</v>
      </c>
    </row>
    <row r="436" customFormat="false" ht="15" hidden="false" customHeight="false" outlineLevel="0" collapsed="false">
      <c r="A436" s="416" t="s">
        <v>1128</v>
      </c>
      <c r="B436" s="418" t="n">
        <f aca="false">-DCF!C8/1000000</f>
        <v>-12.734763397992</v>
      </c>
      <c r="C436" s="418" t="n">
        <f aca="false">-DCF!D8/1000000</f>
        <v>-51.8314030539191</v>
      </c>
      <c r="D436" s="418" t="n">
        <f aca="false">-DCF!E8/1000000</f>
        <v>-13.2481997903225</v>
      </c>
      <c r="E436" s="418" t="n">
        <f aca="false">-DCF!F8/1000000</f>
        <v>-14.1604332588451</v>
      </c>
      <c r="F436" s="418" t="n">
        <f aca="false">-DCF!G8/1000000</f>
        <v>-17.0317748046407</v>
      </c>
    </row>
    <row r="437" customFormat="false" ht="15" hidden="false" customHeight="false" outlineLevel="0" collapsed="false">
      <c r="A437" s="416" t="s">
        <v>1129</v>
      </c>
      <c r="B437" s="418" t="n">
        <f aca="false">DCF!C10/1000000</f>
        <v>-4.86489964943638</v>
      </c>
      <c r="C437" s="418" t="n">
        <f aca="false">DCF!D10/1000000</f>
        <v>-42.6417458610666</v>
      </c>
      <c r="D437" s="418" t="n">
        <f aca="false">DCF!E10/1000000</f>
        <v>-3.68333239197345</v>
      </c>
      <c r="E437" s="418" t="n">
        <f aca="false">DCF!F10/1000000</f>
        <v>3.62304912114108</v>
      </c>
      <c r="F437" s="418" t="n">
        <f aca="false">DCF!G10/1000000</f>
        <v>8.65678707685356</v>
      </c>
      <c r="G437" s="418" t="n">
        <f aca="false">DCF!G12/1000000</f>
        <v>134.950907419304</v>
      </c>
    </row>
    <row r="438" customFormat="false" ht="15" hidden="false" customHeight="false" outlineLevel="0" collapsed="false">
      <c r="A438" s="416" t="s">
        <v>1130</v>
      </c>
      <c r="B438" s="442" t="n">
        <f aca="false">1/(1+'Discount rate'!$E$5)^1</f>
        <v>0.878456079054468</v>
      </c>
      <c r="C438" s="442" t="n">
        <f aca="false">1/(1+'Discount rate'!$E$5)^2</f>
        <v>0.771685082827749</v>
      </c>
      <c r="D438" s="442" t="n">
        <f aca="false">1/(1+'Discount rate'!$E$5)^3</f>
        <v>0.677891452125686</v>
      </c>
      <c r="E438" s="442" t="n">
        <f aca="false">1/(1+'Discount rate'!$E$5)^4</f>
        <v>0.59549786705887</v>
      </c>
      <c r="F438" s="442" t="n">
        <f aca="false">1/(1+'Discount rate'!$E$5)^5</f>
        <v>0.523118721381833</v>
      </c>
      <c r="G438" s="442" t="n">
        <f aca="false">1/(1+'Discount rate'!$E$5)^5</f>
        <v>0.523118721381833</v>
      </c>
    </row>
    <row r="439" customFormat="false" ht="15" hidden="false" customHeight="false" outlineLevel="0" collapsed="false">
      <c r="A439" s="416" t="s">
        <v>1131</v>
      </c>
      <c r="B439" s="420" t="n">
        <f aca="false">DCF!C10/1000000*1/(1+'Discount rate'!$E$5)^1</f>
        <v>-4.27360067103734</v>
      </c>
      <c r="C439" s="420" t="n">
        <f aca="false">DCF!D10/1000000*1/(1+'Discount rate'!$E$5)^2</f>
        <v>-32.905999186717</v>
      </c>
      <c r="D439" s="420" t="n">
        <f aca="false">DCF!E10/1000000*1/(1+'Discount rate'!$E$5)^3</f>
        <v>-2.49689954385646</v>
      </c>
      <c r="E439" s="420" t="n">
        <f aca="false">DCF!F10/1000000*1/(1+'Discount rate'!$E$5)^4</f>
        <v>2.15751802388902</v>
      </c>
      <c r="F439" s="420" t="n">
        <f aca="false">DCF!G10/1000000*1/(1+'Discount rate'!$E$5)^5</f>
        <v>4.52852738691841</v>
      </c>
      <c r="G439" s="420" t="n">
        <f aca="false">DCF!G12/1000000*1/(1+'Discount rate'!$E$5)^5</f>
        <v>70.5953461385042</v>
      </c>
    </row>
    <row r="440" customFormat="false" ht="15" hidden="false" customHeight="false" outlineLevel="0" collapsed="false">
      <c r="A440" s="248" t="s">
        <v>1132</v>
      </c>
    </row>
    <row r="442" customFormat="false" ht="15" hidden="false" customHeight="false" outlineLevel="0" collapsed="false">
      <c r="A442" s="417" t="s">
        <v>1133</v>
      </c>
    </row>
    <row r="443" customFormat="false" ht="15" hidden="false" customHeight="false" outlineLevel="0" collapsed="false">
      <c r="A443" s="415" t="s">
        <v>1113</v>
      </c>
      <c r="B443" s="415" t="s">
        <v>870</v>
      </c>
      <c r="C443" s="415" t="s">
        <v>537</v>
      </c>
    </row>
    <row r="444" customFormat="false" ht="15" hidden="false" customHeight="false" outlineLevel="0" collapsed="false">
      <c r="A444" s="416" t="s">
        <v>1134</v>
      </c>
      <c r="B444" s="418" t="n">
        <f aca="false">VCM!B28/1000000</f>
        <v>13.8547081054738</v>
      </c>
      <c r="C444" s="418"/>
    </row>
    <row r="445" customFormat="false" ht="15" hidden="false" customHeight="false" outlineLevel="0" collapsed="false">
      <c r="A445" s="416" t="s">
        <v>1135</v>
      </c>
      <c r="B445" s="440" t="n">
        <f aca="false">VCM!B29</f>
        <v>9.4</v>
      </c>
      <c r="C445" s="440" t="s">
        <v>1136</v>
      </c>
    </row>
    <row r="446" customFormat="false" ht="15" hidden="false" customHeight="false" outlineLevel="0" collapsed="false">
      <c r="A446" s="416" t="s">
        <v>514</v>
      </c>
      <c r="B446" s="418" t="n">
        <f aca="false">VCM!B30/1000000</f>
        <v>130.234256191454</v>
      </c>
      <c r="C446" s="418"/>
    </row>
    <row r="447" customFormat="false" ht="15" hidden="false" customHeight="false" outlineLevel="0" collapsed="false">
      <c r="A447" s="416" t="s">
        <v>1137</v>
      </c>
      <c r="B447" s="418" t="n">
        <f aca="false">VCM!B31/1000000</f>
        <v>34.4346344002363</v>
      </c>
      <c r="C447" s="418"/>
    </row>
    <row r="448" customFormat="false" ht="15" hidden="false" customHeight="false" outlineLevel="0" collapsed="false">
      <c r="A448" s="416" t="s">
        <v>1138</v>
      </c>
      <c r="B448" s="440" t="n">
        <f aca="false">VCM!B32</f>
        <v>8</v>
      </c>
      <c r="C448" s="440" t="s">
        <v>1136</v>
      </c>
    </row>
    <row r="449" customFormat="false" ht="15" hidden="false" customHeight="false" outlineLevel="0" collapsed="false">
      <c r="A449" s="416" t="s">
        <v>1139</v>
      </c>
      <c r="B449" s="418" t="n">
        <f aca="false">VCM!B36/1000000</f>
        <v>267.150217786431</v>
      </c>
      <c r="C449" s="418"/>
    </row>
    <row r="450" customFormat="false" ht="15" hidden="false" customHeight="false" outlineLevel="0" collapsed="false">
      <c r="A450" s="416" t="s">
        <v>1140</v>
      </c>
      <c r="B450" s="418" t="n">
        <f aca="false">VCM!E6/1000000</f>
        <v>198.692236988942</v>
      </c>
      <c r="C450" s="418"/>
    </row>
    <row r="451" customFormat="false" ht="15" hidden="false" customHeight="false" outlineLevel="0" collapsed="false">
      <c r="A451" s="416" t="s">
        <v>1141</v>
      </c>
      <c r="B451" s="433" t="n">
        <f aca="false">VCM!B6</f>
        <v>0.4</v>
      </c>
      <c r="C451" s="433" t="s">
        <v>1142</v>
      </c>
    </row>
    <row r="452" customFormat="false" ht="15" hidden="false" customHeight="false" outlineLevel="0" collapsed="false">
      <c r="A452" s="416" t="s">
        <v>1143</v>
      </c>
      <c r="B452" s="425" t="n">
        <f aca="false">VCM!B5</f>
        <v>5</v>
      </c>
      <c r="C452" s="425"/>
    </row>
    <row r="453" customFormat="false" ht="15" hidden="false" customHeight="false" outlineLevel="0" collapsed="false">
      <c r="A453" s="416" t="s">
        <v>1144</v>
      </c>
      <c r="B453" s="419" t="n">
        <f aca="false">VCM!B8</f>
        <v>0.0971195485525658</v>
      </c>
      <c r="C453" s="419"/>
    </row>
    <row r="454" customFormat="false" ht="15" hidden="false" customHeight="false" outlineLevel="0" collapsed="false">
      <c r="A454" s="416" t="s">
        <v>1145</v>
      </c>
      <c r="B454" s="419" t="n">
        <f aca="false">VCM!B9</f>
        <v>0.260810152785814</v>
      </c>
      <c r="C454" s="419"/>
    </row>
    <row r="455" customFormat="false" ht="15" hidden="false" customHeight="false" outlineLevel="0" collapsed="false">
      <c r="A455" s="416" t="s">
        <v>534</v>
      </c>
      <c r="B455" s="418" t="n">
        <f aca="false">VCM!E8/1000000</f>
        <v>62.363777377291</v>
      </c>
      <c r="C455" s="418"/>
    </row>
    <row r="456" customFormat="false" ht="15" hidden="false" customHeight="false" outlineLevel="0" collapsed="false">
      <c r="A456" s="416" t="s">
        <v>1146</v>
      </c>
      <c r="B456" s="418" t="n">
        <f aca="false">VCM!E5/1000000</f>
        <v>37.6107630979458</v>
      </c>
      <c r="C456" s="418"/>
    </row>
    <row r="457" customFormat="false" ht="15" hidden="false" customHeight="false" outlineLevel="0" collapsed="false">
      <c r="A457" s="416" t="s">
        <v>532</v>
      </c>
      <c r="B457" s="418" t="n">
        <f aca="false">VCM!E11/1000000</f>
        <v>24.7530142793452</v>
      </c>
      <c r="C457" s="418"/>
    </row>
    <row r="458" customFormat="false" ht="15" hidden="false" customHeight="false" outlineLevel="0" collapsed="false">
      <c r="A458" s="416" t="s">
        <v>1147</v>
      </c>
      <c r="B458" s="419" t="n">
        <f aca="false">VCM!E9</f>
        <v>0.603086674343132</v>
      </c>
      <c r="C458" s="419"/>
    </row>
    <row r="459" customFormat="false" ht="15" hidden="false" customHeight="false" outlineLevel="0" collapsed="false">
      <c r="A459" s="416" t="s">
        <v>1148</v>
      </c>
      <c r="B459" s="419" t="n">
        <f aca="false">VCM!B43</f>
        <v>0.897268066561273</v>
      </c>
      <c r="C459" s="419" t="s">
        <v>1149</v>
      </c>
    </row>
    <row r="460" customFormat="false" ht="15" hidden="false" customHeight="false" outlineLevel="0" collapsed="false">
      <c r="A460" s="416" t="s">
        <v>1150</v>
      </c>
      <c r="B460" s="418" t="n">
        <f aca="false">VCM!B44/1000000</f>
        <v>8.08234554809692</v>
      </c>
      <c r="C460" s="418" t="s">
        <v>1149</v>
      </c>
    </row>
    <row r="461" customFormat="false" ht="15" hidden="false" customHeight="false" outlineLevel="0" collapsed="false">
      <c r="A461" s="248" t="s">
        <v>1151</v>
      </c>
    </row>
    <row r="463" customFormat="false" ht="15" hidden="false" customHeight="false" outlineLevel="0" collapsed="false">
      <c r="A463" s="417" t="s">
        <v>1152</v>
      </c>
    </row>
    <row r="464" customFormat="false" ht="15" hidden="false" customHeight="false" outlineLevel="0" collapsed="false">
      <c r="A464" s="415" t="s">
        <v>531</v>
      </c>
      <c r="B464" s="415" t="s">
        <v>532</v>
      </c>
    </row>
    <row r="465" customFormat="false" ht="15" hidden="false" customHeight="false" outlineLevel="0" collapsed="false">
      <c r="A465" s="416" t="s">
        <v>1153</v>
      </c>
      <c r="B465" s="418" t="n">
        <f aca="false">Summary!B5</f>
        <v>38.9357739132009</v>
      </c>
    </row>
    <row r="466" customFormat="false" ht="15" hidden="false" customHeight="false" outlineLevel="0" collapsed="false">
      <c r="A466" s="416" t="s">
        <v>1154</v>
      </c>
      <c r="B466" s="418" t="n">
        <f aca="false">Summary!B10</f>
        <v>29.3559059010205</v>
      </c>
    </row>
    <row r="467" customFormat="false" ht="15" hidden="false" customHeight="false" outlineLevel="0" collapsed="false">
      <c r="A467" s="416" t="s">
        <v>554</v>
      </c>
      <c r="B467" s="418" t="n">
        <f aca="false">Summary!B6</f>
        <v>24.7530142793452</v>
      </c>
    </row>
    <row r="468" customFormat="false" ht="15" hidden="false" customHeight="false" outlineLevel="0" collapsed="false">
      <c r="A468" s="416" t="s">
        <v>837</v>
      </c>
      <c r="B468" s="418" t="n">
        <f aca="false">Summary!B7</f>
        <v>31.844394096273</v>
      </c>
    </row>
    <row r="469" customFormat="false" ht="15" hidden="false" customHeight="false" outlineLevel="0" collapsed="false">
      <c r="A469" s="416" t="s">
        <v>1155</v>
      </c>
      <c r="B469" s="418" t="n">
        <f aca="false">'Balance Sheet'!G76/1000000</f>
        <v>29.9722077655</v>
      </c>
    </row>
    <row r="470" customFormat="false" ht="15" hidden="false" customHeight="false" outlineLevel="0" collapsed="false">
      <c r="A470" s="416" t="s">
        <v>1156</v>
      </c>
      <c r="B470" s="418" t="n">
        <f aca="false">Summary!B14</f>
        <v>61.843914840244</v>
      </c>
    </row>
    <row r="471" customFormat="false" ht="15" hidden="false" customHeight="false" outlineLevel="0" collapsed="false">
      <c r="A471" s="416" t="s">
        <v>1157</v>
      </c>
      <c r="B471" s="418" t="n">
        <f aca="false">Summary!B12</f>
        <v>66.2208447629858</v>
      </c>
    </row>
    <row r="472" customFormat="false" ht="15" hidden="false" customHeight="false" outlineLevel="0" collapsed="false">
      <c r="A472" s="416" t="s">
        <v>1158</v>
      </c>
      <c r="B472" s="418" t="n">
        <f aca="false">Summary!B13</f>
        <v>92.4045140426731</v>
      </c>
    </row>
    <row r="473" customFormat="false" ht="15" hidden="false" customHeight="false" outlineLevel="0" collapsed="false">
      <c r="A473" s="416" t="s">
        <v>1159</v>
      </c>
      <c r="B473" s="418" t="n">
        <f aca="false">Summary!B11</f>
        <v>14.98610388275</v>
      </c>
    </row>
    <row r="474" customFormat="false" ht="15" hidden="false" customHeight="false" outlineLevel="0" collapsed="false">
      <c r="A474" s="248" t="s">
        <v>1160</v>
      </c>
    </row>
    <row r="476" customFormat="false" ht="15" hidden="false" customHeight="false" outlineLevel="0" collapsed="false">
      <c r="A476" s="417" t="s">
        <v>1161</v>
      </c>
    </row>
    <row r="477" customFormat="false" ht="22.35" hidden="false" customHeight="false" outlineLevel="0" collapsed="false">
      <c r="A477" s="415" t="s">
        <v>235</v>
      </c>
      <c r="B477" s="415" t="s">
        <v>401</v>
      </c>
      <c r="C477" s="415" t="s">
        <v>400</v>
      </c>
      <c r="D477" s="415" t="s">
        <v>402</v>
      </c>
      <c r="E477" s="415" t="s">
        <v>1162</v>
      </c>
      <c r="F477" s="415" t="s">
        <v>1163</v>
      </c>
      <c r="G477" s="415" t="s">
        <v>1164</v>
      </c>
    </row>
    <row r="478" customFormat="false" ht="15" hidden="false" customHeight="false" outlineLevel="0" collapsed="false">
      <c r="A478" s="416" t="s">
        <v>572</v>
      </c>
      <c r="B478" s="418" t="n">
        <f aca="false">Summary!B33</f>
        <v>170.317748046407</v>
      </c>
      <c r="C478" s="418" t="n">
        <f aca="false">Summary!C33</f>
        <v>116.89912442438</v>
      </c>
      <c r="D478" s="418" t="n">
        <f aca="false">Summary!D33</f>
        <v>214.755888215365</v>
      </c>
      <c r="E478" s="418" t="n">
        <f aca="false">Summary!E33</f>
        <v>174.741926152093</v>
      </c>
      <c r="F478" s="418" t="n">
        <f aca="false">Summary!F33</f>
        <v>170.317748046407</v>
      </c>
      <c r="G478" s="418" t="n">
        <f aca="false">Summary!G33</f>
        <v>170.317748046407</v>
      </c>
    </row>
    <row r="479" customFormat="false" ht="15" hidden="false" customHeight="false" outlineLevel="0" collapsed="false">
      <c r="A479" s="416" t="s">
        <v>573</v>
      </c>
      <c r="B479" s="419" t="n">
        <f aca="false">Summary!B34</f>
        <v>0.290708646106224</v>
      </c>
      <c r="C479" s="419" t="n">
        <f aca="false">Summary!C34</f>
        <v>0.19712221396895</v>
      </c>
      <c r="D479" s="419" t="n">
        <f aca="false">Summary!D34</f>
        <v>0.351964394403047</v>
      </c>
      <c r="E479" s="419" t="n">
        <f aca="false">Summary!E34</f>
        <v>0.297345535832646</v>
      </c>
      <c r="F479" s="419" t="n">
        <f aca="false">Summary!F34</f>
        <v>0.290708646106224</v>
      </c>
      <c r="G479" s="419" t="n">
        <f aca="false">Summary!G34</f>
        <v>0.290708646106224</v>
      </c>
    </row>
    <row r="480" customFormat="false" ht="15" hidden="false" customHeight="false" outlineLevel="0" collapsed="false">
      <c r="A480" s="416" t="s">
        <v>574</v>
      </c>
      <c r="B480" s="419" t="n">
        <f aca="false">Summary!B35</f>
        <v>0.202178779341621</v>
      </c>
      <c r="C480" s="419" t="n">
        <f aca="false">Summary!C35</f>
        <v>0.134680571987898</v>
      </c>
      <c r="D480" s="419" t="n">
        <f aca="false">Summary!D35</f>
        <v>0.236717269833196</v>
      </c>
      <c r="E480" s="419" t="n">
        <f aca="false">Summary!E35</f>
        <v>0.205576458474854</v>
      </c>
      <c r="F480" s="419" t="n">
        <f aca="false">Summary!F35</f>
        <v>0.202178779341621</v>
      </c>
      <c r="G480" s="419" t="n">
        <f aca="false">Summary!G35</f>
        <v>0.202178779341621</v>
      </c>
    </row>
    <row r="481" customFormat="false" ht="15" hidden="false" customHeight="false" outlineLevel="0" collapsed="false">
      <c r="A481" s="416" t="s">
        <v>575</v>
      </c>
      <c r="B481" s="418" t="n">
        <f aca="false">Summary!B36</f>
        <v>13.8547081054738</v>
      </c>
      <c r="C481" s="418" t="n">
        <f aca="false">Summary!C36</f>
        <v>0.741524451807471</v>
      </c>
      <c r="D481" s="418" t="n">
        <f aca="false">Summary!D36</f>
        <v>25.7551750415791</v>
      </c>
      <c r="E481" s="418" t="n">
        <f aca="false">Summary!E36</f>
        <v>12.0783670152248</v>
      </c>
      <c r="F481" s="418" t="n">
        <f aca="false">Summary!F36</f>
        <v>15.5962432480855</v>
      </c>
      <c r="G481" s="418" t="n">
        <f aca="false">Summary!G36</f>
        <v>13.4193243198209</v>
      </c>
    </row>
    <row r="482" customFormat="false" ht="15" hidden="false" customHeight="false" outlineLevel="0" collapsed="false">
      <c r="A482" s="416" t="s">
        <v>576</v>
      </c>
      <c r="B482" s="418" t="n">
        <f aca="false">Summary!B37</f>
        <v>-38.9101417044818</v>
      </c>
      <c r="C482" s="418" t="n">
        <f aca="false">Summary!C37</f>
        <v>-48.9284577387253</v>
      </c>
      <c r="D482" s="418" t="n">
        <f aca="false">Summary!D37</f>
        <v>-29.3028257591151</v>
      </c>
      <c r="E482" s="418" t="n">
        <f aca="false">Summary!E37</f>
        <v>-58.6164081489496</v>
      </c>
      <c r="F482" s="418" t="n">
        <f aca="false">Summary!F37</f>
        <v>-38.9101417044818</v>
      </c>
      <c r="G482" s="418" t="n">
        <f aca="false">Summary!G37</f>
        <v>-38.9101417044818</v>
      </c>
    </row>
    <row r="483" customFormat="false" ht="15" hidden="false" customHeight="false" outlineLevel="0" collapsed="false">
      <c r="A483" s="416" t="s">
        <v>577</v>
      </c>
      <c r="B483" s="418" t="n">
        <f aca="false">Summary!B38</f>
        <v>37.6107630979458</v>
      </c>
      <c r="C483" s="418" t="n">
        <f aca="false">Summary!C38</f>
        <v>48.2462503367326</v>
      </c>
      <c r="D483" s="418" t="n">
        <f aca="false">Summary!D38</f>
        <v>32.9869343761415</v>
      </c>
      <c r="E483" s="418" t="n">
        <f aca="false">Summary!E38</f>
        <v>45.1512100082203</v>
      </c>
      <c r="F483" s="418" t="n">
        <f aca="false">Summary!F38</f>
        <v>59.5826123012385</v>
      </c>
      <c r="G483" s="418" t="n">
        <f aca="false">Summary!G38</f>
        <v>34.6003952085742</v>
      </c>
    </row>
    <row r="484" customFormat="false" ht="15" hidden="false" customHeight="false" outlineLevel="0" collapsed="false">
      <c r="A484" s="416" t="s">
        <v>578</v>
      </c>
      <c r="B484" s="418" t="n">
        <f aca="false">Summary!B39</f>
        <v>31.0988418323515</v>
      </c>
      <c r="C484" s="418" t="n">
        <f aca="false">Summary!C39</f>
        <v>26.7232236071539</v>
      </c>
      <c r="D484" s="418" t="n">
        <f aca="false">Summary!D39</f>
        <v>34.1350185294756</v>
      </c>
      <c r="E484" s="418" t="n">
        <f aca="false">Summary!E39</f>
        <v>39.5054538456031</v>
      </c>
      <c r="F484" s="418" t="n">
        <f aca="false">Summary!F39</f>
        <v>0</v>
      </c>
      <c r="G484" s="418" t="n">
        <f aca="false">Summary!G39</f>
        <v>38.8735522904393</v>
      </c>
    </row>
    <row r="485" customFormat="false" ht="15" hidden="false" customHeight="false" outlineLevel="0" collapsed="false">
      <c r="A485" s="416" t="s">
        <v>197</v>
      </c>
      <c r="B485" s="419" t="n">
        <f aca="false">Summary!B40</f>
        <v>0.138360839936764</v>
      </c>
      <c r="C485" s="419" t="n">
        <f aca="false">Summary!C40</f>
        <v>0.137565220514249</v>
      </c>
      <c r="D485" s="419" t="n">
        <f aca="false">Summary!D40</f>
        <v>0.138754913860505</v>
      </c>
      <c r="E485" s="419" t="n">
        <f aca="false">Summary!E40</f>
        <v>0.132941644517362</v>
      </c>
      <c r="F485" s="419" t="n">
        <f aca="false">Summary!F40</f>
        <v>0.132895436355552</v>
      </c>
      <c r="G485" s="419" t="n">
        <f aca="false">Summary!G40</f>
        <v>0.139461032458486</v>
      </c>
    </row>
    <row r="486" customFormat="false" ht="15" hidden="false" customHeight="false" outlineLevel="0" collapsed="false">
      <c r="A486" s="416" t="s">
        <v>579</v>
      </c>
      <c r="B486" s="418" t="n">
        <f aca="false">Summary!B41</f>
        <v>38.9357739132009</v>
      </c>
      <c r="C486" s="418" t="n">
        <f aca="false">Summary!C41</f>
        <v>-25.933596799514</v>
      </c>
      <c r="D486" s="418" t="n">
        <f aca="false">Summary!D41</f>
        <v>97.3523200671171</v>
      </c>
      <c r="E486" s="418" t="n">
        <f aca="false">Summary!E41</f>
        <v>31.9334177515774</v>
      </c>
      <c r="F486" s="418" t="n">
        <f aca="false">Summary!F41</f>
        <v>45.1999839476426</v>
      </c>
      <c r="G486" s="418" t="n">
        <f aca="false">Summary!G41</f>
        <v>37.7763446008908</v>
      </c>
    </row>
    <row r="487" customFormat="false" ht="15" hidden="false" customHeight="false" outlineLevel="0" collapsed="false">
      <c r="A487" s="416" t="s">
        <v>580</v>
      </c>
      <c r="B487" s="418" t="n">
        <f aca="false">Summary!B42</f>
        <v>24.7530142793452</v>
      </c>
      <c r="C487" s="418" t="n">
        <f aca="false">Summary!C42</f>
        <v>-28.4791652929517</v>
      </c>
      <c r="D487" s="418" t="n">
        <f aca="false">Summary!D42</f>
        <v>68.0135314641312</v>
      </c>
      <c r="E487" s="418" t="n">
        <f aca="false">Summary!E42</f>
        <v>16.0133559121635</v>
      </c>
      <c r="F487" s="418" t="n">
        <f aca="false">Summary!F42</f>
        <v>11.7037190716273</v>
      </c>
      <c r="G487" s="418" t="n">
        <f aca="false">Summary!G42</f>
        <v>26.0524173983647</v>
      </c>
    </row>
    <row r="488" customFormat="false" ht="15" hidden="false" customHeight="false" outlineLevel="0" collapsed="false">
      <c r="A488" s="416" t="s">
        <v>581</v>
      </c>
      <c r="B488" s="418" t="n">
        <f aca="false">Summary!B43</f>
        <v>31.844394096273</v>
      </c>
      <c r="C488" s="418" t="n">
        <f aca="false">Summary!C43</f>
        <v>-27.2063810462328</v>
      </c>
      <c r="D488" s="418" t="n">
        <f aca="false">Summary!D43</f>
        <v>82.6829257656242</v>
      </c>
      <c r="E488" s="418" t="n">
        <f aca="false">Summary!E43</f>
        <v>23.9733868318704</v>
      </c>
      <c r="F488" s="418" t="n">
        <f aca="false">Summary!F43</f>
        <v>28.4518515096349</v>
      </c>
      <c r="G488" s="418" t="n">
        <f aca="false">Summary!G43</f>
        <v>31.9143809996278</v>
      </c>
    </row>
    <row r="489" customFormat="false" ht="15" hidden="false" customHeight="false" outlineLevel="0" collapsed="false">
      <c r="A489" s="416" t="s">
        <v>535</v>
      </c>
      <c r="B489" s="419" t="n">
        <f aca="false">Summary!B44</f>
        <v>0.541511453105982</v>
      </c>
      <c r="C489" s="419" t="str">
        <f aca="false">Summary!C44</f>
        <v>n.m.</v>
      </c>
      <c r="D489" s="419" t="n">
        <f aca="false">Summary!D44</f>
        <v>0.285181760708559</v>
      </c>
      <c r="E489" s="419" t="n">
        <f aca="false">Summary!E44</f>
        <v>0.653185871198219</v>
      </c>
      <c r="F489" s="419" t="n">
        <f aca="false">Summary!F44</f>
        <v>0.676810077803635</v>
      </c>
      <c r="G489" s="419" t="n">
        <f aca="false">Summary!G44</f>
        <v>0.520191109119415</v>
      </c>
    </row>
    <row r="490" customFormat="false" ht="15" hidden="false" customHeight="false" outlineLevel="0" collapsed="false">
      <c r="A490" s="416" t="s">
        <v>1165</v>
      </c>
      <c r="B490" s="419" t="n">
        <f aca="false">Summary!B45</f>
        <v>0.458488546894018</v>
      </c>
      <c r="C490" s="419" t="str">
        <f aca="false">Summary!C45</f>
        <v>n.m.</v>
      </c>
      <c r="D490" s="419" t="n">
        <f aca="false">Summary!D45</f>
        <v>0.714818239291441</v>
      </c>
      <c r="E490" s="419" t="n">
        <f aca="false">Summary!E45</f>
        <v>0.346814128801781</v>
      </c>
      <c r="F490" s="419" t="n">
        <f aca="false">Summary!F45</f>
        <v>0.323189922196365</v>
      </c>
      <c r="G490" s="419" t="n">
        <f aca="false">Summary!G45</f>
        <v>0.479808890880586</v>
      </c>
    </row>
    <row r="491" customFormat="false" ht="15" hidden="false" customHeight="false" outlineLevel="0" collapsed="false">
      <c r="A491" s="248" t="s">
        <v>1166</v>
      </c>
    </row>
    <row r="493" customFormat="false" ht="15" hidden="false" customHeight="false" outlineLevel="0" collapsed="false">
      <c r="A493" s="417" t="s">
        <v>1167</v>
      </c>
    </row>
    <row r="494" customFormat="false" ht="15" hidden="false" customHeight="false" outlineLevel="0" collapsed="false">
      <c r="A494" s="415" t="s">
        <v>1168</v>
      </c>
      <c r="B494" s="415" t="s">
        <v>891</v>
      </c>
    </row>
    <row r="495" customFormat="false" ht="15" hidden="false" customHeight="false" outlineLevel="0" collapsed="false">
      <c r="A495" s="416" t="s">
        <v>1169</v>
      </c>
      <c r="B495" s="420" t="n">
        <f aca="false">('Cash Flow Statement'!F19+'Cash Flow Statement'!G19+'Cash Flow Statement'!H19)/1000000</f>
        <v>22.5030955198751</v>
      </c>
    </row>
    <row r="496" customFormat="false" ht="15" hidden="false" customHeight="false" outlineLevel="0" collapsed="false">
      <c r="A496" s="416" t="s">
        <v>1170</v>
      </c>
      <c r="B496" s="420" t="n">
        <f aca="false">('Cash Flow Statement'!F27+'Cash Flow Statement'!G27+'Cash Flow Statement'!H27)/1000000</f>
        <v>37.6107630979458</v>
      </c>
    </row>
    <row r="497" customFormat="false" ht="15" hidden="false" customHeight="false" outlineLevel="0" collapsed="false">
      <c r="A497" s="416" t="s">
        <v>1171</v>
      </c>
      <c r="B497" s="420" t="n">
        <f aca="false">('Cash Flow Statement'!F28+'Cash Flow Statement'!G28+'Cash Flow Statement'!H28)/1000000</f>
        <v>31.0988418323515</v>
      </c>
    </row>
    <row r="498" customFormat="false" ht="15" hidden="false" customHeight="false" outlineLevel="0" collapsed="false">
      <c r="A498" s="416" t="s">
        <v>1172</v>
      </c>
      <c r="B498" s="420" t="n">
        <f aca="false">-('Cash Flow Statement'!F22+'Cash Flow Statement'!G22+'Cash Flow Statement'!H22)/1000000</f>
        <v>77.8143662422336</v>
      </c>
    </row>
    <row r="499" customFormat="false" ht="15" hidden="false" customHeight="false" outlineLevel="0" collapsed="false">
      <c r="A499" s="416" t="s">
        <v>1173</v>
      </c>
      <c r="B499" s="420" t="n">
        <f aca="false">('Balance Sheet'!J7-'Balance Sheet'!G7)/1000000</f>
        <v>13.3983342079388</v>
      </c>
    </row>
    <row r="500" customFormat="false" ht="15" hidden="false" customHeight="false" outlineLevel="0" collapsed="false">
      <c r="A500" s="416" t="s">
        <v>1174</v>
      </c>
      <c r="B500" s="420" t="n">
        <f aca="false">-'Cash Flow Statement'!G22/1000000</f>
        <v>51.8314030539191</v>
      </c>
    </row>
    <row r="501" customFormat="false" ht="15" hidden="false" customHeight="false" outlineLevel="0" collapsed="false">
      <c r="A501" s="416" t="s">
        <v>1175</v>
      </c>
      <c r="B501" s="420" t="n">
        <f aca="false">B495+B496+B497-B498-B499</f>
        <v>0</v>
      </c>
    </row>
    <row r="502" customFormat="false" ht="15" hidden="false" customHeight="false" outlineLevel="0" collapsed="false">
      <c r="A502" s="248" t="s">
        <v>1176</v>
      </c>
    </row>
    <row r="504" customFormat="false" ht="15" hidden="false" customHeight="false" outlineLevel="0" collapsed="false">
      <c r="A504" s="417" t="s">
        <v>1177</v>
      </c>
    </row>
    <row r="505" customFormat="false" ht="22.35" hidden="false" customHeight="false" outlineLevel="0" collapsed="false">
      <c r="A505" s="415" t="s">
        <v>1178</v>
      </c>
      <c r="B505" s="415" t="s">
        <v>1179</v>
      </c>
      <c r="C505" s="415" t="s">
        <v>1180</v>
      </c>
    </row>
    <row r="506" customFormat="false" ht="15" hidden="false" customHeight="false" outlineLevel="0" collapsed="false">
      <c r="A506" s="416" t="s">
        <v>1181</v>
      </c>
      <c r="B506" s="419" t="n">
        <f aca="false">IF(ISNUMBER(Summary!E5),1-Summary!E5,"n.m.")</f>
        <v>0.508654936375908</v>
      </c>
      <c r="C506" s="419" t="n">
        <f aca="false">Summary!E5</f>
        <v>0.491345063624092</v>
      </c>
    </row>
    <row r="507" customFormat="false" ht="15" hidden="false" customHeight="false" outlineLevel="0" collapsed="false">
      <c r="A507" s="416" t="s">
        <v>1182</v>
      </c>
      <c r="B507" s="419" t="n">
        <f aca="false">IF(ISNUMBER(Summary!E6),1-Summary!E6,"n.m.")</f>
        <v>0.396913325656869</v>
      </c>
      <c r="C507" s="419" t="n">
        <f aca="false">Summary!E6</f>
        <v>0.603086674343131</v>
      </c>
    </row>
    <row r="508" customFormat="false" ht="15" hidden="false" customHeight="false" outlineLevel="0" collapsed="false">
      <c r="A508" s="416" t="s">
        <v>1183</v>
      </c>
      <c r="B508" s="419" t="n">
        <f aca="false">IF(ISNUMBER(Summary!E7),1-Summary!E7,"n.m.")</f>
        <v>0.458488546894018</v>
      </c>
      <c r="C508" s="419" t="n">
        <f aca="false">Summary!E7</f>
        <v>0.541511453105982</v>
      </c>
    </row>
    <row r="509" customFormat="false" ht="15" hidden="false" customHeight="false" outlineLevel="0" collapsed="false">
      <c r="A509" s="416" t="s">
        <v>1184</v>
      </c>
      <c r="B509" s="419" t="n">
        <f aca="false">IF(ISNUMBER(Summary!F44),1-Summary!F44,"n.m.")</f>
        <v>0.323189922196365</v>
      </c>
      <c r="C509" s="419" t="n">
        <f aca="false">Summary!F44</f>
        <v>0.676810077803635</v>
      </c>
    </row>
    <row r="510" customFormat="false" ht="15" hidden="false" customHeight="false" outlineLevel="0" collapsed="false">
      <c r="A510" s="416" t="s">
        <v>1164</v>
      </c>
      <c r="B510" s="419" t="n">
        <f aca="false">IF(ISNUMBER(Summary!G44),1-Summary!G44,"n.m.")</f>
        <v>0.479808890880585</v>
      </c>
      <c r="C510" s="419" t="n">
        <f aca="false">Summary!G44</f>
        <v>0.520191109119415</v>
      </c>
    </row>
    <row r="511" customFormat="false" ht="15" hidden="false" customHeight="false" outlineLevel="0" collapsed="false">
      <c r="A511" s="416" t="s">
        <v>1185</v>
      </c>
      <c r="B511" s="419" t="n">
        <f aca="false">Summary!B60</f>
        <v>0.50464456375405</v>
      </c>
      <c r="C511" s="419" t="n">
        <f aca="false">Summary!B59</f>
        <v>0.49535543624595</v>
      </c>
    </row>
    <row r="512" customFormat="false" ht="15" hidden="false" customHeight="false" outlineLevel="0" collapsed="false">
      <c r="A512" s="248" t="s">
        <v>1160</v>
      </c>
    </row>
    <row r="514" customFormat="false" ht="15" hidden="false" customHeight="false" outlineLevel="0" collapsed="false">
      <c r="A514" s="417" t="s">
        <v>1186</v>
      </c>
    </row>
    <row r="515" customFormat="false" ht="15" hidden="false" customHeight="false" outlineLevel="0" collapsed="false">
      <c r="A515" s="415" t="s">
        <v>235</v>
      </c>
      <c r="B515" s="415" t="s">
        <v>870</v>
      </c>
    </row>
    <row r="516" customFormat="false" ht="15" hidden="false" customHeight="false" outlineLevel="0" collapsed="false">
      <c r="A516" s="416" t="s">
        <v>586</v>
      </c>
      <c r="B516" s="418" t="n">
        <f aca="false">Summary!B49</f>
        <v>37.6107630979458</v>
      </c>
    </row>
    <row r="517" customFormat="false" ht="15" hidden="false" customHeight="false" outlineLevel="0" collapsed="false">
      <c r="A517" s="416" t="s">
        <v>1187</v>
      </c>
      <c r="B517" s="418" t="n">
        <f aca="false">Summary!B51</f>
        <v>20.6859197038702</v>
      </c>
    </row>
    <row r="518" customFormat="false" ht="15" hidden="false" customHeight="false" outlineLevel="0" collapsed="false">
      <c r="A518" s="416" t="s">
        <v>1188</v>
      </c>
      <c r="B518" s="418" t="n">
        <f aca="false">Summary!B52</f>
        <v>31.844394096273</v>
      </c>
    </row>
    <row r="519" customFormat="false" ht="15" hidden="false" customHeight="false" outlineLevel="0" collapsed="false">
      <c r="A519" s="416" t="s">
        <v>590</v>
      </c>
      <c r="B519" s="419" t="n">
        <f aca="false">Summary!B53</f>
        <v>0.393790141489956</v>
      </c>
    </row>
    <row r="520" customFormat="false" ht="15" hidden="false" customHeight="false" outlineLevel="0" collapsed="false">
      <c r="A520" s="416" t="s">
        <v>1189</v>
      </c>
      <c r="B520" s="418" t="n">
        <f aca="false">Summary!B54</f>
        <v>16.9248433940756</v>
      </c>
    </row>
    <row r="521" customFormat="false" ht="15" hidden="false" customHeight="false" outlineLevel="0" collapsed="false">
      <c r="A521" s="416" t="s">
        <v>1190</v>
      </c>
      <c r="B521" s="433" t="n">
        <f aca="false">Summary!B55</f>
        <v>0.25</v>
      </c>
    </row>
    <row r="522" customFormat="false" ht="15" hidden="false" customHeight="false" outlineLevel="0" collapsed="false">
      <c r="A522" s="416" t="s">
        <v>1191</v>
      </c>
      <c r="B522" s="418" t="n">
        <f aca="false">Summary!B57</f>
        <v>101.018826793901</v>
      </c>
    </row>
    <row r="523" customFormat="false" ht="15" hidden="false" customHeight="false" outlineLevel="0" collapsed="false">
      <c r="A523" s="416" t="s">
        <v>595</v>
      </c>
      <c r="B523" s="419" t="n">
        <f aca="false">Summary!B58</f>
        <v>0.167541476487405</v>
      </c>
    </row>
    <row r="524" customFormat="false" ht="15" hidden="false" customHeight="false" outlineLevel="0" collapsed="false">
      <c r="A524" s="416" t="s">
        <v>1192</v>
      </c>
      <c r="B524" s="419" t="n">
        <f aca="false">Summary!B59</f>
        <v>0.49535543624595</v>
      </c>
    </row>
    <row r="525" customFormat="false" ht="15" hidden="false" customHeight="false" outlineLevel="0" collapsed="false">
      <c r="A525" s="416" t="s">
        <v>1193</v>
      </c>
      <c r="B525" s="419" t="n">
        <f aca="false">Summary!B60</f>
        <v>0.50464456375405</v>
      </c>
    </row>
    <row r="526" customFormat="false" ht="15" hidden="false" customHeight="false" outlineLevel="0" collapsed="false">
      <c r="A526" s="416" t="s">
        <v>1194</v>
      </c>
      <c r="B526" s="419" t="n">
        <f aca="false">Summary!B61</f>
        <v>0.541511453105982</v>
      </c>
    </row>
    <row r="527" customFormat="false" ht="15" hidden="false" customHeight="false" outlineLevel="0" collapsed="false">
      <c r="A527" s="248" t="s">
        <v>1160</v>
      </c>
    </row>
    <row r="529" customFormat="false" ht="15" hidden="false" customHeight="false" outlineLevel="0" collapsed="false">
      <c r="A529" s="417" t="s">
        <v>1195</v>
      </c>
    </row>
    <row r="530" customFormat="false" ht="15" hidden="false" customHeight="false" outlineLevel="0" collapsed="false">
      <c r="A530" s="415" t="s">
        <v>235</v>
      </c>
      <c r="B530" s="415" t="s">
        <v>240</v>
      </c>
      <c r="C530" s="415" t="s">
        <v>241</v>
      </c>
      <c r="D530" s="415" t="s">
        <v>242</v>
      </c>
      <c r="E530" s="415" t="s">
        <v>243</v>
      </c>
      <c r="F530" s="415" t="s">
        <v>244</v>
      </c>
    </row>
    <row r="531" customFormat="false" ht="15" hidden="false" customHeight="false" outlineLevel="0" collapsed="false">
      <c r="A531" s="416" t="s">
        <v>1196</v>
      </c>
      <c r="B531" s="420" t="n">
        <f aca="false">(Drivers!F117+Drivers!F111)/1000000</f>
        <v>1.6026</v>
      </c>
      <c r="C531" s="420" t="n">
        <f aca="false">(Drivers!G117+Drivers!G111)/1000000</f>
        <v>32.7014418323515</v>
      </c>
      <c r="D531" s="420" t="n">
        <f aca="false">(Drivers!H117+Drivers!H111)/1000000</f>
        <v>32.7014418323515</v>
      </c>
      <c r="E531" s="420" t="n">
        <f aca="false">(Drivers!I117+Drivers!I111)/1000000</f>
        <v>26.4816734658812</v>
      </c>
      <c r="F531" s="420" t="n">
        <f aca="false">(Drivers!J117+Drivers!J111)/1000000</f>
        <v>20.2619050994109</v>
      </c>
    </row>
    <row r="532" customFormat="false" ht="15" hidden="false" customHeight="false" outlineLevel="0" collapsed="false">
      <c r="A532" s="416" t="s">
        <v>1197</v>
      </c>
      <c r="B532" s="418" t="n">
        <f aca="false">Drivers!F119/1000000</f>
        <v>0.16026</v>
      </c>
      <c r="C532" s="418" t="n">
        <f aca="false">Drivers!G119/1000000</f>
        <v>1.71520209161757</v>
      </c>
      <c r="D532" s="418" t="n">
        <f aca="false">Drivers!H119/1000000</f>
        <v>3.27014418323515</v>
      </c>
      <c r="E532" s="418" t="n">
        <f aca="false">Drivers!I119/1000000</f>
        <v>2.95915576491163</v>
      </c>
      <c r="F532" s="418" t="n">
        <f aca="false">Drivers!J119/1000000</f>
        <v>2.3371789282646</v>
      </c>
    </row>
    <row r="533" customFormat="false" ht="15" hidden="false" customHeight="false" outlineLevel="0" collapsed="false">
      <c r="A533" s="416" t="s">
        <v>1198</v>
      </c>
      <c r="B533" s="418" t="n">
        <f aca="false">Drivers!F115/1000000</f>
        <v>0</v>
      </c>
      <c r="C533" s="418" t="n">
        <f aca="false">Drivers!G115/1000000</f>
        <v>0</v>
      </c>
      <c r="D533" s="418" t="n">
        <f aca="false">Drivers!H115/1000000</f>
        <v>0</v>
      </c>
      <c r="E533" s="418" t="n">
        <f aca="false">Drivers!I115/1000000</f>
        <v>6.21976836647029</v>
      </c>
      <c r="F533" s="418" t="n">
        <f aca="false">Drivers!J115/1000000</f>
        <v>6.21976836647029</v>
      </c>
    </row>
    <row r="534" customFormat="false" ht="15" hidden="false" customHeight="false" outlineLevel="0" collapsed="false">
      <c r="A534" s="416" t="s">
        <v>1199</v>
      </c>
      <c r="B534" s="418" t="n">
        <f aca="false">Drivers!F79/1000000</f>
        <v>11.3842040346466</v>
      </c>
      <c r="C534" s="418" t="n">
        <f aca="false">Drivers!G79/1000000</f>
        <v>14.2697745825946</v>
      </c>
      <c r="D534" s="418" t="n">
        <f aca="false">Drivers!H79/1000000</f>
        <v>17.7575145630708</v>
      </c>
      <c r="E534" s="418" t="n">
        <f aca="false">Drivers!I79/1000000</f>
        <v>26.926664252477</v>
      </c>
      <c r="F534" s="418" t="n">
        <f aca="false">Drivers!J79/1000000</f>
        <v>34.4346344002363</v>
      </c>
    </row>
    <row r="535" customFormat="false" ht="15" hidden="false" customHeight="false" outlineLevel="0" collapsed="false">
      <c r="A535" s="416" t="s">
        <v>1200</v>
      </c>
      <c r="B535" s="431" t="n">
        <f aca="false">('Income Statement'!E65-'Income Statement'!E71)/'Income Statement'!E69</f>
        <v>47.6856959606055</v>
      </c>
      <c r="C535" s="431" t="n">
        <f aca="false">('Income Statement'!F65-'Income Statement'!F71)/'Income Statement'!F69</f>
        <v>5.2469085822699</v>
      </c>
      <c r="D535" s="431" t="n">
        <f aca="false">('Income Statement'!G65-'Income Statement'!G71)/'Income Statement'!G69</f>
        <v>1.91657610113112</v>
      </c>
      <c r="E535" s="431" t="n">
        <f aca="false">('Income Statement'!H65-'Income Statement'!H71)/'Income Statement'!H69</f>
        <v>4.67932309194358</v>
      </c>
      <c r="F535" s="431" t="n">
        <f aca="false">('Income Statement'!I65-'Income Statement'!I71)/'Income Statement'!I69</f>
        <v>8.40995262382476</v>
      </c>
    </row>
    <row r="536" customFormat="false" ht="15" hidden="false" customHeight="false" outlineLevel="0" collapsed="false">
      <c r="A536" s="416" t="s">
        <v>1201</v>
      </c>
      <c r="B536" s="431" t="n">
        <f aca="false">(Drivers!F79-Drivers!F127)/(Drivers!F119+Drivers!F115)</f>
        <v>65.4030592575921</v>
      </c>
      <c r="C536" s="431" t="n">
        <f aca="false">(Drivers!G79-Drivers!G127)/(Drivers!G119+Drivers!G115)</f>
        <v>7.47020619236032</v>
      </c>
      <c r="D536" s="431" t="n">
        <f aca="false">(Drivers!H79-Drivers!H127)/(Drivers!H119+Drivers!H115)</f>
        <v>5.24687793581477</v>
      </c>
      <c r="E536" s="431" t="n">
        <f aca="false">(Drivers!I79-Drivers!I127)/(Drivers!I119+Drivers!I115)</f>
        <v>2.69629924711573</v>
      </c>
      <c r="F536" s="431" t="n">
        <f aca="false">(Drivers!J79-Drivers!J127)/(Drivers!J119+Drivers!J115)</f>
        <v>3.61939326106686</v>
      </c>
    </row>
    <row r="537" customFormat="false" ht="15" hidden="false" customHeight="false" outlineLevel="0" collapsed="false">
      <c r="A537" s="416" t="s">
        <v>1202</v>
      </c>
      <c r="B537" s="431" t="n">
        <f aca="false">(Drivers!F117+Drivers!F111)/Drivers!F79</f>
        <v>0.140774005378211</v>
      </c>
      <c r="C537" s="431" t="n">
        <f aca="false">(Drivers!G117+Drivers!G111)/Drivers!G79</f>
        <v>2.29165791253905</v>
      </c>
      <c r="D537" s="431" t="n">
        <f aca="false">(Drivers!H117+Drivers!H111)/Drivers!H79</f>
        <v>1.84155511832488</v>
      </c>
      <c r="E537" s="431" t="n">
        <f aca="false">(Drivers!I117+Drivers!I111)/Drivers!I79</f>
        <v>0.983473972771994</v>
      </c>
      <c r="F537" s="431" t="n">
        <f aca="false">(Drivers!J117+Drivers!J111)/Drivers!J79</f>
        <v>0.588416443279324</v>
      </c>
    </row>
    <row r="538" customFormat="false" ht="15" hidden="false" customHeight="false" outlineLevel="0" collapsed="false">
      <c r="A538" s="248" t="s">
        <v>1203</v>
      </c>
    </row>
    <row r="540" customFormat="false" ht="15" hidden="false" customHeight="false" outlineLevel="0" collapsed="false">
      <c r="A540" s="417" t="s">
        <v>1204</v>
      </c>
    </row>
    <row r="541" customFormat="false" ht="15" hidden="false" customHeight="false" outlineLevel="0" collapsed="false">
      <c r="A541" s="415" t="s">
        <v>1205</v>
      </c>
      <c r="B541" s="415" t="s">
        <v>1206</v>
      </c>
      <c r="C541" s="415" t="s">
        <v>1207</v>
      </c>
      <c r="D541" s="415" t="s">
        <v>1208</v>
      </c>
      <c r="E541" s="415" t="s">
        <v>1209</v>
      </c>
      <c r="F541" s="415" t="s">
        <v>1210</v>
      </c>
      <c r="G541" s="415" t="s">
        <v>1211</v>
      </c>
    </row>
    <row r="542" customFormat="false" ht="15" hidden="false" customHeight="false" outlineLevel="0" collapsed="false">
      <c r="A542" s="416" t="s">
        <v>1212</v>
      </c>
      <c r="B542" s="420" t="n">
        <f aca="false">-Summary!$C$7</f>
        <v>-37.6107630979458</v>
      </c>
      <c r="C542" s="420" t="n">
        <v>0</v>
      </c>
      <c r="D542" s="420" t="n">
        <v>0</v>
      </c>
      <c r="E542" s="420" t="n">
        <v>0</v>
      </c>
      <c r="F542" s="420" t="n">
        <v>0</v>
      </c>
      <c r="G542" s="420" t="n">
        <f aca="false">IF(ISNUMBER(Summary!$E$7),Summary!$E$7*VCM!$E$6/1000000,0)</f>
        <v>107.59412197276</v>
      </c>
    </row>
    <row r="543" customFormat="false" ht="15" hidden="false" customHeight="false" outlineLevel="0" collapsed="false">
      <c r="A543" s="416" t="s">
        <v>1213</v>
      </c>
      <c r="B543" s="420" t="n">
        <f aca="false">-Summary!$C$7</f>
        <v>-37.6107630979458</v>
      </c>
      <c r="C543" s="420" t="n">
        <v>0</v>
      </c>
      <c r="D543" s="420" t="n">
        <v>0</v>
      </c>
      <c r="E543" s="420" t="n">
        <v>0</v>
      </c>
      <c r="F543" s="420" t="n">
        <v>0</v>
      </c>
      <c r="G543" s="420" t="n">
        <f aca="false">IF(ISNUMBER(Summary!$E$7),(1-VCM!$B$6)*Summary!$E$7*VCM!$E$6/1000000,0)</f>
        <v>64.5564731836562</v>
      </c>
    </row>
    <row r="544" customFormat="false" ht="15" hidden="false" customHeight="false" outlineLevel="0" collapsed="false">
      <c r="A544" s="416" t="s">
        <v>1214</v>
      </c>
      <c r="B544" s="420" t="n">
        <f aca="false">-Summary!$B$51</f>
        <v>-20.6859197038702</v>
      </c>
      <c r="C544" s="420" t="n">
        <v>0</v>
      </c>
      <c r="D544" s="420" t="n">
        <f aca="false">-Summary!$B$54</f>
        <v>-16.9248433940756</v>
      </c>
      <c r="E544" s="420" t="n">
        <v>0</v>
      </c>
      <c r="F544" s="420" t="n">
        <v>0</v>
      </c>
      <c r="G544" s="420" t="n">
        <f aca="false">IF(ISNUMBER(Summary!$B$59),Summary!$B$59*VCM!$E$6/1000000,0)</f>
        <v>98.4232797323412</v>
      </c>
    </row>
    <row r="545" customFormat="false" ht="15" hidden="false" customHeight="false" outlineLevel="0" collapsed="false">
      <c r="A545" s="416" t="s">
        <v>1215</v>
      </c>
      <c r="B545" s="420" t="n">
        <f aca="false">-Summary!$B$51</f>
        <v>-20.6859197038702</v>
      </c>
      <c r="C545" s="420" t="n">
        <v>0</v>
      </c>
      <c r="D545" s="420" t="n">
        <f aca="false">-((1-VCM!$B$8)^2)*Summary!$B$54</f>
        <v>-13.7970157160098</v>
      </c>
      <c r="E545" s="420" t="n">
        <v>0</v>
      </c>
      <c r="F545" s="420" t="n">
        <v>0</v>
      </c>
      <c r="G545" s="420" t="n">
        <f aca="false">IF(ISNUMBER(Summary!$B$59),((1-VCM!$B$8)^2)*(1-Summary!$B$55)*Summary!$B$59*VCM!$E$6/1000000,0)</f>
        <v>60.1754845969656</v>
      </c>
    </row>
    <row r="546" customFormat="false" ht="15" hidden="false" customHeight="false" outlineLevel="0" collapsed="false">
      <c r="A546" s="416" t="s">
        <v>1216</v>
      </c>
      <c r="B546" s="421" t="n">
        <f aca="false">IFERROR(IRR(B542:G542),"n.m.")</f>
        <v>0.233943515751103</v>
      </c>
    </row>
    <row r="547" customFormat="false" ht="15" hidden="false" customHeight="false" outlineLevel="0" collapsed="false">
      <c r="A547" s="416" t="s">
        <v>1217</v>
      </c>
      <c r="B547" s="421" t="n">
        <f aca="false">IFERROR(IRR(B543:G543),"n.m.")</f>
        <v>0.11410347856199</v>
      </c>
    </row>
    <row r="548" customFormat="false" ht="15" hidden="false" customHeight="false" outlineLevel="0" collapsed="false">
      <c r="A548" s="416" t="s">
        <v>1218</v>
      </c>
      <c r="B548" s="421" t="n">
        <f aca="false">IFERROR(IRR(B544:G544),"n.m.")</f>
        <v>0.256682411053007</v>
      </c>
    </row>
    <row r="549" customFormat="false" ht="15" hidden="false" customHeight="false" outlineLevel="0" collapsed="false">
      <c r="A549" s="416" t="s">
        <v>1219</v>
      </c>
      <c r="B549" s="421" t="n">
        <f aca="false">IFERROR(IRR(B545:G545),"n.m.")</f>
        <v>0.139586690377859</v>
      </c>
    </row>
    <row r="550" customFormat="false" ht="15" hidden="false" customHeight="false" outlineLevel="0" collapsed="false">
      <c r="A550" s="416" t="s">
        <v>197</v>
      </c>
      <c r="B550" s="419" t="n">
        <f aca="false">'Discount rate'!$E$5</f>
        <v>0.138360839936764</v>
      </c>
    </row>
    <row r="551" customFormat="false" ht="15" hidden="false" customHeight="false" outlineLevel="0" collapsed="false">
      <c r="A551" s="416" t="s">
        <v>1220</v>
      </c>
      <c r="B551" s="430" t="n">
        <f aca="false">IFERROR(G542/-B542,"n.m.")</f>
        <v>2.86072690661883</v>
      </c>
    </row>
    <row r="552" customFormat="false" ht="15" hidden="false" customHeight="false" outlineLevel="0" collapsed="false">
      <c r="A552" s="416" t="s">
        <v>1221</v>
      </c>
      <c r="B552" s="430" t="n">
        <f aca="false">IFERROR(G544/-(B544+D544),"n.m.")</f>
        <v>2.61689132645428</v>
      </c>
    </row>
    <row r="553" customFormat="false" ht="15" hidden="false" customHeight="false" outlineLevel="0" collapsed="false">
      <c r="A553" s="416" t="s">
        <v>1222</v>
      </c>
      <c r="B553" s="421" t="n">
        <f aca="false">((1-VCM!$B$8)^2)</f>
        <v>0.815193109605923</v>
      </c>
    </row>
    <row r="554" customFormat="false" ht="15" hidden="false" customHeight="false" outlineLevel="0" collapsed="false">
      <c r="A554" s="248" t="s">
        <v>1223</v>
      </c>
    </row>
    <row r="556" customFormat="false" ht="15" hidden="false" customHeight="false" outlineLevel="0" collapsed="false">
      <c r="A556" s="417" t="s">
        <v>1224</v>
      </c>
    </row>
    <row r="557" customFormat="false" ht="53.7" hidden="false" customHeight="false" outlineLevel="0" collapsed="false">
      <c r="A557" s="415" t="s">
        <v>1225</v>
      </c>
      <c r="B557" s="415" t="s">
        <v>1226</v>
      </c>
      <c r="C557" s="415" t="s">
        <v>1227</v>
      </c>
      <c r="D557" s="415" t="s">
        <v>1228</v>
      </c>
    </row>
    <row r="558" customFormat="false" ht="15" hidden="false" customHeight="false" outlineLevel="0" collapsed="false">
      <c r="A558" s="416" t="s">
        <v>1229</v>
      </c>
      <c r="B558" s="418" t="n">
        <f aca="false">Summary!B7</f>
        <v>31.844394096273</v>
      </c>
    </row>
    <row r="559" customFormat="false" ht="15" hidden="false" customHeight="false" outlineLevel="0" collapsed="false">
      <c r="A559" s="416" t="s">
        <v>1230</v>
      </c>
      <c r="B559" s="418" t="n">
        <f aca="false">Summary!C43</f>
        <v>-27.2063810462328</v>
      </c>
      <c r="C559" s="418" t="n">
        <f aca="false">Summary!C43-Summary!B43</f>
        <v>-59.0507751425058</v>
      </c>
      <c r="D559" s="418" t="n">
        <f aca="false">C559</f>
        <v>-59.0507751425058</v>
      </c>
    </row>
    <row r="560" customFormat="false" ht="15" hidden="false" customHeight="false" outlineLevel="0" collapsed="false">
      <c r="A560" s="416" t="s">
        <v>1231</v>
      </c>
      <c r="B560" s="418" t="n">
        <f aca="false">Summary!E43</f>
        <v>23.9733868318704</v>
      </c>
      <c r="C560" s="418" t="n">
        <f aca="false">Summary!E43-Summary!B43</f>
        <v>-7.87100726440263</v>
      </c>
      <c r="D560" s="418" t="n">
        <f aca="false">C560</f>
        <v>-7.87100726440263</v>
      </c>
    </row>
    <row r="561" customFormat="false" ht="15" hidden="false" customHeight="false" outlineLevel="0" collapsed="false">
      <c r="A561" s="416" t="s">
        <v>1232</v>
      </c>
      <c r="B561" s="418" t="n">
        <f aca="false">Sensitivity!D9</f>
        <v>29.4495529357517</v>
      </c>
      <c r="C561" s="418" t="n">
        <f aca="false">Sensitivity!D9-Sensitivity!D8</f>
        <v>-9.48622097744916</v>
      </c>
      <c r="D561" s="418" t="n">
        <f aca="false">C561*Summary!$F$5/SUM(Summary!$F$5:$F$6)</f>
        <v>-4.74311048872458</v>
      </c>
    </row>
    <row r="562" customFormat="false" ht="15" hidden="false" customHeight="false" outlineLevel="0" collapsed="false">
      <c r="A562" s="416" t="s">
        <v>1233</v>
      </c>
      <c r="B562" s="418" t="n">
        <f aca="false">Sensitivity!D18</f>
        <v>19.5560328312376</v>
      </c>
      <c r="C562" s="418" t="n">
        <f aca="false">Sensitivity!D18-Sensitivity!D17</f>
        <v>-5.19698144810758</v>
      </c>
      <c r="D562" s="418" t="n">
        <f aca="false">C562*Summary!$F$6/SUM(Summary!$F$5:$F$6)</f>
        <v>-2.59849072405379</v>
      </c>
    </row>
    <row r="563" customFormat="false" ht="15" hidden="false" customHeight="false" outlineLevel="0" collapsed="false">
      <c r="A563" s="416" t="s">
        <v>1234</v>
      </c>
      <c r="B563" s="418" t="n">
        <f aca="false">Sensitivity!C17</f>
        <v>15.3984476727515</v>
      </c>
      <c r="C563" s="418" t="n">
        <f aca="false">Sensitivity!C17-Sensitivity!D17</f>
        <v>-9.35456660659365</v>
      </c>
      <c r="D563" s="418" t="n">
        <f aca="false">C563*Summary!$F$6/SUM(Summary!$F$5:$F$6)</f>
        <v>-4.67728330329683</v>
      </c>
    </row>
    <row r="564" customFormat="false" ht="15" hidden="false" customHeight="false" outlineLevel="0" collapsed="false">
      <c r="A564" s="416" t="s">
        <v>1235</v>
      </c>
      <c r="B564" s="418" t="n">
        <f aca="false">Sensitivity!B26</f>
        <v>31.1780435683103</v>
      </c>
      <c r="C564" s="418" t="n">
        <f aca="false">Sensitivity!B26-Sensitivity!D26</f>
        <v>-7.75773034489058</v>
      </c>
      <c r="D564" s="418" t="n">
        <f aca="false">C564*Summary!$F$5/SUM(Summary!$F$5:$F$6)</f>
        <v>-3.87886517244529</v>
      </c>
    </row>
    <row r="565" customFormat="false" ht="15" hidden="false" customHeight="false" outlineLevel="0" collapsed="false">
      <c r="A565" s="416" t="s">
        <v>1236</v>
      </c>
      <c r="B565" s="431" t="n">
        <f aca="false">('Income Statement'!G65-'Income Statement'!G71)/'Income Statement'!G69</f>
        <v>1.91657610113112</v>
      </c>
    </row>
    <row r="566" customFormat="false" ht="15" hidden="false" customHeight="false" outlineLevel="0" collapsed="false">
      <c r="A566" s="248" t="s">
        <v>1237</v>
      </c>
    </row>
    <row r="568" customFormat="false" ht="15" hidden="false" customHeight="false" outlineLevel="0" collapsed="false">
      <c r="A568" s="417" t="s">
        <v>1238</v>
      </c>
    </row>
    <row r="569" customFormat="false" ht="32.8" hidden="false" customHeight="false" outlineLevel="0" collapsed="false">
      <c r="A569" s="415" t="s">
        <v>235</v>
      </c>
      <c r="B569" s="415" t="s">
        <v>1239</v>
      </c>
      <c r="C569" s="415" t="s">
        <v>1240</v>
      </c>
      <c r="D569" s="415" t="s">
        <v>1241</v>
      </c>
    </row>
    <row r="570" customFormat="false" ht="15" hidden="false" customHeight="false" outlineLevel="0" collapsed="false">
      <c r="A570" s="416" t="s">
        <v>1242</v>
      </c>
      <c r="B570" s="418" t="n">
        <f aca="false">VCM!E6/1000000</f>
        <v>198.692236988942</v>
      </c>
      <c r="C570" s="418" t="n">
        <f aca="false">VCM!E6/1000000</f>
        <v>198.692236988942</v>
      </c>
      <c r="D570" s="418" t="n">
        <f aca="false">VCM!E6/1000000</f>
        <v>198.692236988942</v>
      </c>
    </row>
    <row r="571" customFormat="false" ht="15" hidden="false" customHeight="false" outlineLevel="0" collapsed="false">
      <c r="A571" s="416" t="s">
        <v>1141</v>
      </c>
      <c r="B571" s="419" t="n">
        <f aca="false">VCM!D21</f>
        <v>0.575</v>
      </c>
      <c r="C571" s="419" t="n">
        <f aca="false">VCM!D20</f>
        <v>0.725</v>
      </c>
      <c r="D571" s="419" t="n">
        <f aca="false">VCM!B6</f>
        <v>0.4</v>
      </c>
    </row>
    <row r="572" customFormat="false" ht="15" hidden="false" customHeight="false" outlineLevel="0" collapsed="false">
      <c r="A572" s="416" t="s">
        <v>1243</v>
      </c>
      <c r="B572" s="420" t="n">
        <f aca="false">VCM!$E$6/1000000*(1-B571)/(1+VCM!$B$7)^VCM!$B$5</f>
        <v>44.1743423089145</v>
      </c>
      <c r="C572" s="420" t="n">
        <f aca="false">VCM!$E$6/1000000*(1-C571)/(1+VCM!$B$7)^VCM!$B$5</f>
        <v>28.5833979645917</v>
      </c>
      <c r="D572" s="420" t="n">
        <f aca="false">VCM!$E$6/1000000*(1-D571)/(1+VCM!$B$7)^VCM!$B$5</f>
        <v>62.363777377291</v>
      </c>
    </row>
    <row r="573" customFormat="false" ht="15" hidden="false" customHeight="false" outlineLevel="0" collapsed="false">
      <c r="A573" s="248" t="s">
        <v>1244</v>
      </c>
    </row>
    <row r="575" customFormat="false" ht="15" hidden="false" customHeight="false" outlineLevel="0" collapsed="false">
      <c r="A575" s="417" t="s">
        <v>1245</v>
      </c>
    </row>
    <row r="576" customFormat="false" ht="15" hidden="false" customHeight="false" outlineLevel="0" collapsed="false">
      <c r="A576" s="415" t="s">
        <v>891</v>
      </c>
      <c r="B576" s="415" t="s">
        <v>237</v>
      </c>
      <c r="C576" s="415" t="s">
        <v>238</v>
      </c>
      <c r="D576" s="415" t="s">
        <v>239</v>
      </c>
      <c r="E576" s="415" t="s">
        <v>240</v>
      </c>
      <c r="F576" s="415" t="s">
        <v>241</v>
      </c>
      <c r="G576" s="415" t="s">
        <v>242</v>
      </c>
      <c r="H576" s="415" t="s">
        <v>243</v>
      </c>
      <c r="I576" s="415" t="s">
        <v>244</v>
      </c>
    </row>
    <row r="577" customFormat="false" ht="15" hidden="false" customHeight="false" outlineLevel="0" collapsed="false">
      <c r="A577" s="416" t="s">
        <v>49</v>
      </c>
      <c r="B577" s="418" t="n">
        <f aca="false">'Income Statement'!B13/1000000</f>
        <v>19.43824</v>
      </c>
      <c r="C577" s="418" t="n">
        <f aca="false">'Income Statement'!C13/1000000</f>
        <v>30.928285</v>
      </c>
      <c r="D577" s="418" t="n">
        <f aca="false">'Income Statement'!D13/1000000</f>
        <v>47.5465281</v>
      </c>
      <c r="E577" s="418" t="n">
        <f aca="false">'Income Statement'!E13/1000000</f>
        <v>63.67381698996</v>
      </c>
      <c r="F577" s="418" t="n">
        <f aca="false">'Income Statement'!F13/1000000</f>
        <v>79.7406200829525</v>
      </c>
      <c r="G577" s="418" t="n">
        <f aca="false">'Income Statement'!G13/1000000</f>
        <v>110.401664919354</v>
      </c>
      <c r="H577" s="418" t="n">
        <f aca="false">'Income Statement'!H13/1000000</f>
        <v>141.604332588451</v>
      </c>
      <c r="I577" s="418" t="n">
        <f aca="false">'Income Statement'!I13/1000000</f>
        <v>170.317748046407</v>
      </c>
    </row>
    <row r="578" customFormat="false" ht="15" hidden="false" customHeight="false" outlineLevel="0" collapsed="false">
      <c r="A578" s="416" t="s">
        <v>50</v>
      </c>
      <c r="B578" s="418" t="n">
        <f aca="false">-'Income Statement'!B18/1000000</f>
        <v>-6.0117512</v>
      </c>
      <c r="C578" s="418" t="n">
        <f aca="false">-'Income Statement'!C18/1000000</f>
        <v>-8.89257125</v>
      </c>
      <c r="D578" s="418" t="n">
        <f aca="false">-'Income Statement'!D18/1000000</f>
        <v>-12.9254493845</v>
      </c>
      <c r="E578" s="418" t="n">
        <f aca="false">-'Income Statement'!E18/1000000</f>
        <v>-17.32265924749</v>
      </c>
      <c r="F578" s="418" t="n">
        <f aca="false">-'Income Statement'!F18/1000000</f>
        <v>-21.8784836211529</v>
      </c>
      <c r="G578" s="418" t="n">
        <f aca="false">-'Income Statement'!G18/1000000</f>
        <v>-32.4075375782256</v>
      </c>
      <c r="H578" s="418" t="n">
        <f aca="false">-'Income Statement'!H18/1000000</f>
        <v>-40.3841449909396</v>
      </c>
      <c r="I578" s="418" t="n">
        <f aca="false">-'Income Statement'!I18/1000000</f>
        <v>-49.1306885130299</v>
      </c>
    </row>
    <row r="579" customFormat="false" ht="15" hidden="false" customHeight="false" outlineLevel="0" collapsed="false">
      <c r="A579" s="416" t="s">
        <v>54</v>
      </c>
      <c r="B579" s="418" t="n">
        <f aca="false">'Income Statement'!B20/1000000</f>
        <v>13.4264888</v>
      </c>
      <c r="C579" s="418" t="n">
        <f aca="false">'Income Statement'!C20/1000000</f>
        <v>22.03571375</v>
      </c>
      <c r="D579" s="418" t="n">
        <f aca="false">'Income Statement'!D20/1000000</f>
        <v>34.6210787155</v>
      </c>
      <c r="E579" s="418" t="n">
        <f aca="false">'Income Statement'!E20/1000000</f>
        <v>46.35115774247</v>
      </c>
      <c r="F579" s="418" t="n">
        <f aca="false">'Income Statement'!F20/1000000</f>
        <v>57.8621364617996</v>
      </c>
      <c r="G579" s="418" t="n">
        <f aca="false">'Income Statement'!G20/1000000</f>
        <v>77.9941273411285</v>
      </c>
      <c r="H579" s="418" t="n">
        <f aca="false">'Income Statement'!H20/1000000</f>
        <v>101.220187597512</v>
      </c>
      <c r="I579" s="418" t="n">
        <f aca="false">'Income Statement'!I20/1000000</f>
        <v>121.187059533377</v>
      </c>
    </row>
    <row r="580" customFormat="false" ht="15" hidden="false" customHeight="false" outlineLevel="0" collapsed="false">
      <c r="A580" s="416" t="s">
        <v>86</v>
      </c>
      <c r="B580" s="418" t="n">
        <f aca="false">-'Income Statement'!B55/1000000</f>
        <v>-6.992</v>
      </c>
      <c r="C580" s="418" t="n">
        <f aca="false">-'Income Statement'!C55/1000000</f>
        <v>-7.6912</v>
      </c>
      <c r="D580" s="418" t="n">
        <f aca="false">-'Income Statement'!D55/1000000</f>
        <v>-10.76768</v>
      </c>
      <c r="E580" s="418" t="n">
        <f aca="false">-'Income Statement'!E55/1000000</f>
        <v>-14.326608822741</v>
      </c>
      <c r="F580" s="418" t="n">
        <f aca="false">-'Income Statement'!F55/1000000</f>
        <v>-18.3403426190791</v>
      </c>
      <c r="G580" s="418" t="n">
        <f aca="false">-'Income Statement'!G55/1000000</f>
        <v>-25.9443912560482</v>
      </c>
      <c r="H580" s="418" t="n">
        <f aca="false">-'Income Statement'!H55/1000000</f>
        <v>-32.5689964953438</v>
      </c>
      <c r="I580" s="418" t="n">
        <f aca="false">-'Income Statement'!I55/1000000</f>
        <v>-38.3214933104416</v>
      </c>
    </row>
    <row r="581" customFormat="false" ht="15" hidden="false" customHeight="false" outlineLevel="0" collapsed="false">
      <c r="A581" s="416" t="s">
        <v>59</v>
      </c>
      <c r="B581" s="418" t="n">
        <f aca="false">-'Income Statement'!B26/1000000</f>
        <v>-3.977</v>
      </c>
      <c r="C581" s="418" t="n">
        <f aca="false">-'Income Statement'!C26/1000000</f>
        <v>-5.36895</v>
      </c>
      <c r="D581" s="418" t="n">
        <f aca="false">-'Income Statement'!D26/1000000</f>
        <v>-7.5702195</v>
      </c>
      <c r="E581" s="418" t="n">
        <f aca="false">-'Income Statement'!E26/1000000</f>
        <v>-8.47864584</v>
      </c>
      <c r="F581" s="418" t="n">
        <f aca="false">-'Income Statement'!F26/1000000</f>
        <v>-9.750442716</v>
      </c>
      <c r="G581" s="418" t="n">
        <f aca="false">-'Income Statement'!G26/1000000</f>
        <v>-12.6755755308</v>
      </c>
      <c r="H581" s="418" t="n">
        <f aca="false">-'Income Statement'!H26/1000000</f>
        <v>-14.196644594496</v>
      </c>
      <c r="I581" s="418" t="n">
        <f aca="false">-'Income Statement'!I26/1000000</f>
        <v>-15.9002419458355</v>
      </c>
    </row>
    <row r="582" customFormat="false" ht="15" hidden="false" customHeight="false" outlineLevel="0" collapsed="false">
      <c r="A582" s="416" t="s">
        <v>1059</v>
      </c>
      <c r="B582" s="418" t="n">
        <f aca="false">-'Income Statement'!B42/1000000</f>
        <v>-2.15</v>
      </c>
      <c r="C582" s="418" t="n">
        <f aca="false">-'Income Statement'!C42/1000000</f>
        <v>-2.58</v>
      </c>
      <c r="D582" s="418" t="n">
        <f aca="false">-'Income Statement'!D42/1000000</f>
        <v>-3.096</v>
      </c>
      <c r="E582" s="418" t="n">
        <f aca="false">-'Income Statement'!E42/1000000</f>
        <v>-4.01145047036748</v>
      </c>
      <c r="F582" s="418" t="n">
        <f aca="false">-'Income Statement'!F42/1000000</f>
        <v>-5.13529593334214</v>
      </c>
      <c r="G582" s="418" t="n">
        <f aca="false">-'Income Statement'!G42/1000000</f>
        <v>-7.2644295516935</v>
      </c>
      <c r="H582" s="418" t="n">
        <f aca="false">-'Income Statement'!H42/1000000</f>
        <v>-9.11931901869627</v>
      </c>
      <c r="I582" s="418" t="n">
        <f aca="false">-'Income Statement'!I42/1000000</f>
        <v>-10.7300181269236</v>
      </c>
    </row>
    <row r="583" customFormat="false" ht="15" hidden="false" customHeight="false" outlineLevel="0" collapsed="false">
      <c r="A583" s="416" t="s">
        <v>331</v>
      </c>
      <c r="B583" s="418" t="n">
        <f aca="false">-'Income Statement'!B30/1000000</f>
        <v>-1.2</v>
      </c>
      <c r="C583" s="418" t="n">
        <f aca="false">-'Income Statement'!C30/1000000</f>
        <v>-1.8</v>
      </c>
      <c r="D583" s="418" t="n">
        <f aca="false">-'Income Statement'!D30/1000000</f>
        <v>-2.25</v>
      </c>
      <c r="E583" s="418" t="n">
        <f aca="false">-'Income Statement'!E30/1000000</f>
        <v>-3.183690849498</v>
      </c>
      <c r="F583" s="418" t="n">
        <f aca="false">-'Income Statement'!F30/1000000</f>
        <v>-3.98703100414762</v>
      </c>
      <c r="G583" s="418" t="n">
        <f aca="false">-'Income Statement'!G30/1000000</f>
        <v>-5.52008324596771</v>
      </c>
      <c r="H583" s="418" t="n">
        <f aca="false">-'Income Statement'!H30/1000000</f>
        <v>-7.08021662942257</v>
      </c>
      <c r="I583" s="418" t="n">
        <f aca="false">-'Income Statement'!I30/1000000</f>
        <v>-8.51588740232035</v>
      </c>
    </row>
    <row r="584" customFormat="false" ht="15" hidden="false" customHeight="false" outlineLevel="0" collapsed="false">
      <c r="A584" s="416" t="s">
        <v>61</v>
      </c>
      <c r="B584" s="418" t="n">
        <f aca="false">-'Income Statement'!B28/1000000</f>
        <v>-0.95</v>
      </c>
      <c r="C584" s="418" t="n">
        <f aca="false">-'Income Statement'!C28/1000000</f>
        <v>-1.615</v>
      </c>
      <c r="D584" s="418" t="n">
        <f aca="false">-'Income Statement'!D28/1000000</f>
        <v>-2.08335</v>
      </c>
      <c r="E584" s="418" t="n">
        <f aca="false">-'Income Statement'!E28/1000000</f>
        <v>-2.80164794755824</v>
      </c>
      <c r="F584" s="418" t="n">
        <f aca="false">-'Income Statement'!F28/1000000</f>
        <v>-3.50858728364991</v>
      </c>
      <c r="G584" s="418" t="n">
        <f aca="false">-'Income Statement'!G28/1000000</f>
        <v>-4.85767325645158</v>
      </c>
      <c r="H584" s="418" t="n">
        <f aca="false">-'Income Statement'!H28/1000000</f>
        <v>-6.23059063389186</v>
      </c>
      <c r="I584" s="418" t="n">
        <f aca="false">-'Income Statement'!I28/1000000</f>
        <v>-7.49398091404191</v>
      </c>
    </row>
    <row r="585" customFormat="false" ht="15" hidden="false" customHeight="false" outlineLevel="0" collapsed="false">
      <c r="A585" s="416" t="s">
        <v>334</v>
      </c>
      <c r="B585" s="418" t="n">
        <f aca="false">-'Income Statement'!B50/1000000</f>
        <v>-0.92</v>
      </c>
      <c r="C585" s="418" t="n">
        <f aca="false">-'Income Statement'!C50/1000000</f>
        <v>-0.966</v>
      </c>
      <c r="D585" s="418" t="n">
        <f aca="false">-'Income Statement'!D50/1000000</f>
        <v>-1.1592</v>
      </c>
      <c r="E585" s="418" t="n">
        <f aca="false">-'Income Statement'!E50/1000000</f>
        <v>-1.78286687571888</v>
      </c>
      <c r="F585" s="418" t="n">
        <f aca="false">-'Income Statement'!F50/1000000</f>
        <v>-2.39221860248857</v>
      </c>
      <c r="G585" s="418" t="n">
        <f aca="false">-'Income Statement'!G50/1000000</f>
        <v>-3.31204994758062</v>
      </c>
      <c r="H585" s="418" t="n">
        <f aca="false">-'Income Statement'!H50/1000000</f>
        <v>-4.24812997765354</v>
      </c>
      <c r="I585" s="418" t="n">
        <f aca="false">-'Income Statement'!I50/1000000</f>
        <v>-4.76889694529939</v>
      </c>
    </row>
    <row r="586" customFormat="false" ht="15" hidden="false" customHeight="false" outlineLevel="0" collapsed="false">
      <c r="A586" s="416" t="s">
        <v>337</v>
      </c>
      <c r="B586" s="418" t="n">
        <f aca="false">-'Income Statement'!B45/1000000</f>
        <v>-0</v>
      </c>
      <c r="C586" s="418" t="n">
        <f aca="false">-'Income Statement'!C45/1000000</f>
        <v>-0</v>
      </c>
      <c r="D586" s="418" t="n">
        <f aca="false">-'Income Statement'!D45/1000000</f>
        <v>-0</v>
      </c>
      <c r="E586" s="418" t="n">
        <f aca="false">-'Income Statement'!E45/1000000</f>
        <v>-0.38204290193976</v>
      </c>
      <c r="F586" s="418" t="n">
        <f aca="false">-'Income Statement'!F45/1000000</f>
        <v>-0.478443720497715</v>
      </c>
      <c r="G586" s="418" t="n">
        <f aca="false">-'Income Statement'!G45/1000000</f>
        <v>-0.662409989516125</v>
      </c>
      <c r="H586" s="418" t="n">
        <f aca="false">-'Income Statement'!H45/1000000</f>
        <v>-0.849625995530709</v>
      </c>
      <c r="I586" s="418" t="n">
        <f aca="false">-'Income Statement'!I45/1000000</f>
        <v>-1.02190648827844</v>
      </c>
    </row>
    <row r="587" customFormat="false" ht="15" hidden="false" customHeight="false" outlineLevel="0" collapsed="false">
      <c r="A587" s="416" t="s">
        <v>340</v>
      </c>
      <c r="B587" s="418" t="n">
        <f aca="false">'Income Statement'!B65/1000000</f>
        <v>-2.7625112</v>
      </c>
      <c r="C587" s="418" t="n">
        <f aca="false">'Income Statement'!C65/1000000</f>
        <v>2.01456375</v>
      </c>
      <c r="D587" s="418" t="n">
        <f aca="false">'Income Statement'!D65/1000000</f>
        <v>7.6946292155</v>
      </c>
      <c r="E587" s="418" t="n">
        <f aca="false">'Income Statement'!E65/1000000</f>
        <v>11.3842040346466</v>
      </c>
      <c r="F587" s="418" t="n">
        <f aca="false">'Income Statement'!F65/1000000</f>
        <v>14.2697745825946</v>
      </c>
      <c r="G587" s="418" t="n">
        <f aca="false">'Income Statement'!G65/1000000</f>
        <v>17.7575145630708</v>
      </c>
      <c r="H587" s="418" t="n">
        <f aca="false">'Income Statement'!H65/1000000</f>
        <v>26.926664252477</v>
      </c>
      <c r="I587" s="418" t="n">
        <f aca="false">'Income Statement'!I65/1000000</f>
        <v>34.4346344002363</v>
      </c>
    </row>
    <row r="588" customFormat="false" ht="15" hidden="false" customHeight="false" outlineLevel="0" collapsed="false">
      <c r="A588" s="416" t="s">
        <v>101</v>
      </c>
      <c r="B588" s="418" t="n">
        <f aca="false">-'Income Statement'!B71/1000000</f>
        <v>-1.4322</v>
      </c>
      <c r="C588" s="418" t="n">
        <f aca="false">-'Income Statement'!C71/1000000</f>
        <v>-2.37528</v>
      </c>
      <c r="D588" s="418" t="n">
        <f aca="false">-'Income Statement'!D71/1000000</f>
        <v>-3.131952</v>
      </c>
      <c r="E588" s="418" t="n">
        <f aca="false">-'Income Statement'!E71/1000000</f>
        <v>-3.7420944</v>
      </c>
      <c r="F588" s="418" t="n">
        <f aca="false">-'Income Statement'!F71/1000000</f>
        <v>-5.27026600775904</v>
      </c>
      <c r="G588" s="418" t="n">
        <f aca="false">-'Income Statement'!G71/1000000</f>
        <v>-11.4900343742293</v>
      </c>
      <c r="H588" s="418" t="n">
        <f aca="false">-'Income Statement'!H71/1000000</f>
        <v>-13.079818349068</v>
      </c>
      <c r="I588" s="418" t="n">
        <f aca="false">-'Income Statement'!I71/1000000</f>
        <v>-14.7790703401295</v>
      </c>
    </row>
    <row r="589" customFormat="false" ht="15" hidden="false" customHeight="false" outlineLevel="0" collapsed="false">
      <c r="A589" s="416" t="s">
        <v>1069</v>
      </c>
      <c r="B589" s="420" t="n">
        <f aca="false">('Income Statement'!B65-'Income Statement'!B71)/1000000</f>
        <v>-4.1947112</v>
      </c>
      <c r="C589" s="420" t="n">
        <f aca="false">('Income Statement'!C65-'Income Statement'!C71)/1000000</f>
        <v>-0.36071625</v>
      </c>
      <c r="D589" s="420" t="n">
        <f aca="false">('Income Statement'!D65-'Income Statement'!D71)/1000000</f>
        <v>4.5626772155</v>
      </c>
      <c r="E589" s="420" t="n">
        <f aca="false">('Income Statement'!E65-'Income Statement'!E71)/1000000</f>
        <v>7.64210963464663</v>
      </c>
      <c r="F589" s="420" t="n">
        <f aca="false">('Income Statement'!F65-'Income Statement'!F71)/1000000</f>
        <v>8.99950857483553</v>
      </c>
      <c r="G589" s="420" t="n">
        <f aca="false">('Income Statement'!G65-'Income Statement'!G71)/1000000</f>
        <v>6.26748018884142</v>
      </c>
      <c r="H589" s="420" t="n">
        <f aca="false">('Income Statement'!H65-'Income Statement'!H71)/1000000</f>
        <v>13.846845903409</v>
      </c>
      <c r="I589" s="420" t="n">
        <f aca="false">('Income Statement'!I65-'Income Statement'!I71)/1000000</f>
        <v>19.6555640601068</v>
      </c>
    </row>
    <row r="590" customFormat="false" ht="15" hidden="false" customHeight="false" outlineLevel="0" collapsed="false">
      <c r="A590" s="416" t="s">
        <v>384</v>
      </c>
      <c r="B590" s="418" t="n">
        <f aca="false">-'Income Statement'!B69/1000000</f>
        <v>-0.1143</v>
      </c>
      <c r="C590" s="418" t="n">
        <f aca="false">-'Income Statement'!C69/1000000</f>
        <v>-0.14256</v>
      </c>
      <c r="D590" s="418" t="n">
        <f aca="false">-'Income Statement'!D69/1000000</f>
        <v>-0.142182</v>
      </c>
      <c r="E590" s="418" t="n">
        <f aca="false">-'Income Statement'!E69/1000000</f>
        <v>-0.16026</v>
      </c>
      <c r="F590" s="418" t="n">
        <f aca="false">-'Income Statement'!F69/1000000</f>
        <v>-1.71520209161757</v>
      </c>
      <c r="G590" s="418" t="n">
        <f aca="false">-'Income Statement'!G69/1000000</f>
        <v>-3.27014418323515</v>
      </c>
      <c r="H590" s="418" t="n">
        <f aca="false">-'Income Statement'!H69/1000000</f>
        <v>-2.95915576491163</v>
      </c>
      <c r="I590" s="418" t="n">
        <f aca="false">-'Income Statement'!I69/1000000</f>
        <v>-2.3371789282646</v>
      </c>
    </row>
    <row r="591" customFormat="false" ht="15" hidden="false" customHeight="false" outlineLevel="0" collapsed="false">
      <c r="A591" s="416" t="s">
        <v>104</v>
      </c>
      <c r="B591" s="418" t="n">
        <f aca="false">'Income Statement'!B76/1000000</f>
        <v>-4.3090112</v>
      </c>
      <c r="C591" s="418" t="n">
        <f aca="false">'Income Statement'!C76/1000000</f>
        <v>-0.50327625</v>
      </c>
      <c r="D591" s="418" t="n">
        <f aca="false">'Income Statement'!D76/1000000</f>
        <v>4.4204952155</v>
      </c>
      <c r="E591" s="418" t="n">
        <f aca="false">'Income Statement'!E76/1000000</f>
        <v>7.48184963464663</v>
      </c>
      <c r="F591" s="418" t="n">
        <f aca="false">'Income Statement'!F76/1000000</f>
        <v>7.28430648321796</v>
      </c>
      <c r="G591" s="418" t="n">
        <f aca="false">'Income Statement'!G76/1000000</f>
        <v>2.99733600560627</v>
      </c>
      <c r="H591" s="418" t="n">
        <f aca="false">'Income Statement'!H76/1000000</f>
        <v>10.8876901384973</v>
      </c>
      <c r="I591" s="418" t="n">
        <f aca="false">'Income Statement'!I76/1000000</f>
        <v>17.3183851318422</v>
      </c>
    </row>
    <row r="592" customFormat="false" ht="15" hidden="false" customHeight="false" outlineLevel="0" collapsed="false">
      <c r="A592" s="416" t="s">
        <v>396</v>
      </c>
      <c r="B592" s="418" t="n">
        <f aca="false">-'Income Statement'!B78/1000000</f>
        <v>-0</v>
      </c>
      <c r="C592" s="418" t="n">
        <f aca="false">-'Income Statement'!C78/1000000</f>
        <v>-0</v>
      </c>
      <c r="D592" s="418" t="n">
        <f aca="false">-'Income Statement'!D78/1000000</f>
        <v>-0</v>
      </c>
      <c r="E592" s="418" t="n">
        <f aca="false">-'Income Statement'!E78/1000000</f>
        <v>-0.902709758024927</v>
      </c>
      <c r="F592" s="418" t="n">
        <f aca="false">-'Income Statement'!F78/1000000</f>
        <v>-1.45686129664359</v>
      </c>
      <c r="G592" s="418" t="n">
        <f aca="false">-'Income Statement'!G78/1000000</f>
        <v>-0.599467201121254</v>
      </c>
      <c r="H592" s="418" t="n">
        <f aca="false">-'Income Statement'!H78/1000000</f>
        <v>-2.17753802769946</v>
      </c>
      <c r="I592" s="418" t="n">
        <f aca="false">-'Income Statement'!I78/1000000</f>
        <v>-3.46367702636845</v>
      </c>
    </row>
    <row r="593" customFormat="false" ht="15" hidden="false" customHeight="false" outlineLevel="0" collapsed="false">
      <c r="A593" s="416" t="s">
        <v>107</v>
      </c>
      <c r="B593" s="418" t="n">
        <f aca="false">'Income Statement'!B80/1000000</f>
        <v>-4.3090112</v>
      </c>
      <c r="C593" s="418" t="n">
        <f aca="false">'Income Statement'!C80/1000000</f>
        <v>-0.50327625</v>
      </c>
      <c r="D593" s="418" t="n">
        <f aca="false">'Income Statement'!D80/1000000</f>
        <v>4.4204952155</v>
      </c>
      <c r="E593" s="418" t="n">
        <f aca="false">'Income Statement'!E80/1000000</f>
        <v>6.5791398766217</v>
      </c>
      <c r="F593" s="418" t="n">
        <f aca="false">'Income Statement'!F80/1000000</f>
        <v>5.82744518657437</v>
      </c>
      <c r="G593" s="418" t="n">
        <f aca="false">'Income Statement'!G80/1000000</f>
        <v>2.39786880448502</v>
      </c>
      <c r="H593" s="418" t="n">
        <f aca="false">'Income Statement'!H80/1000000</f>
        <v>8.71015211079786</v>
      </c>
      <c r="I593" s="418" t="n">
        <f aca="false">'Income Statement'!I80/1000000</f>
        <v>13.8547081054738</v>
      </c>
    </row>
    <row r="594" customFormat="false" ht="15" hidden="false" customHeight="false" outlineLevel="0" collapsed="false">
      <c r="A594" s="248" t="s">
        <v>1246</v>
      </c>
    </row>
    <row r="596" customFormat="false" ht="15" hidden="false" customHeight="false" outlineLevel="0" collapsed="false">
      <c r="A596" s="417" t="s">
        <v>1247</v>
      </c>
    </row>
    <row r="597" customFormat="false" ht="15" hidden="false" customHeight="false" outlineLevel="0" collapsed="false">
      <c r="A597" s="415" t="s">
        <v>891</v>
      </c>
      <c r="B597" s="415" t="s">
        <v>237</v>
      </c>
      <c r="C597" s="415" t="s">
        <v>238</v>
      </c>
      <c r="D597" s="415" t="s">
        <v>239</v>
      </c>
      <c r="E597" s="415" t="s">
        <v>240</v>
      </c>
      <c r="F597" s="415" t="s">
        <v>241</v>
      </c>
      <c r="G597" s="415" t="s">
        <v>242</v>
      </c>
      <c r="H597" s="415" t="s">
        <v>243</v>
      </c>
      <c r="I597" s="415" t="s">
        <v>244</v>
      </c>
    </row>
    <row r="598" customFormat="false" ht="15" hidden="false" customHeight="false" outlineLevel="0" collapsed="false">
      <c r="A598" s="416" t="s">
        <v>1089</v>
      </c>
      <c r="B598" s="418" t="n">
        <f aca="false">'Balance Sheet'!E7/1000000</f>
        <v>0.0439888000000008</v>
      </c>
      <c r="C598" s="418" t="n">
        <f aca="false">'Balance Sheet'!F7/1000000</f>
        <v>1.73553255</v>
      </c>
      <c r="D598" s="418" t="n">
        <f aca="false">'Balance Sheet'!G7/1000000</f>
        <v>2.93348176549999</v>
      </c>
      <c r="E598" s="418" t="n">
        <f aca="false">'Balance Sheet'!H7/1000000</f>
        <v>35.5463294140094</v>
      </c>
      <c r="F598" s="418" t="n">
        <f aca="false">'Balance Sheet'!I7/1000000</f>
        <v>22.6312637120003</v>
      </c>
      <c r="G598" s="418" t="n">
        <f aca="false">'Balance Sheet'!J7/1000000</f>
        <v>16.3318159734387</v>
      </c>
      <c r="H598" s="418" t="n">
        <f aca="false">'Balance Sheet'!K7/1000000</f>
        <v>11.3677721161802</v>
      </c>
      <c r="I598" s="418" t="n">
        <f aca="false">'Balance Sheet'!L7/1000000</f>
        <v>11.9350476839519</v>
      </c>
    </row>
    <row r="599" customFormat="false" ht="15" hidden="false" customHeight="false" outlineLevel="0" collapsed="false">
      <c r="A599" s="416" t="s">
        <v>119</v>
      </c>
      <c r="B599" s="418" t="n">
        <f aca="false">'Balance Sheet'!E12/1000000</f>
        <v>1.26</v>
      </c>
      <c r="C599" s="418" t="n">
        <f aca="false">'Balance Sheet'!F12/1000000</f>
        <v>1.5372</v>
      </c>
      <c r="D599" s="418" t="n">
        <f aca="false">'Balance Sheet'!G12/1000000</f>
        <v>1.76778</v>
      </c>
      <c r="E599" s="418" t="n">
        <f aca="false">'Balance Sheet'!H12/1000000</f>
        <v>3.14007864608022</v>
      </c>
      <c r="F599" s="418" t="n">
        <f aca="false">'Balance Sheet'!I12/1000000</f>
        <v>4.80628395020536</v>
      </c>
      <c r="G599" s="418" t="n">
        <f aca="false">'Balance Sheet'!J12/1000000</f>
        <v>7.86422818603618</v>
      </c>
      <c r="H599" s="418" t="n">
        <f aca="false">'Balance Sheet'!K12/1000000</f>
        <v>11.638712267544</v>
      </c>
      <c r="I599" s="418" t="n">
        <f aca="false">'Balance Sheet'!L12/1000000</f>
        <v>13.9987190175129</v>
      </c>
    </row>
    <row r="600" customFormat="false" ht="15" hidden="false" customHeight="false" outlineLevel="0" collapsed="false">
      <c r="A600" s="416" t="s">
        <v>116</v>
      </c>
      <c r="B600" s="418" t="n">
        <f aca="false">'Balance Sheet'!E9/1000000</f>
        <v>2.499</v>
      </c>
      <c r="C600" s="418" t="n">
        <f aca="false">'Balance Sheet'!F9/1000000</f>
        <v>2.9988</v>
      </c>
      <c r="D600" s="418" t="n">
        <f aca="false">'Balance Sheet'!G9/1000000</f>
        <v>3.7485</v>
      </c>
      <c r="E600" s="418" t="n">
        <f aca="false">'Balance Sheet'!H9/1000000</f>
        <v>4.74593404040822</v>
      </c>
      <c r="F600" s="418" t="n">
        <f aca="false">'Balance Sheet'!I9/1000000</f>
        <v>5.99410510168572</v>
      </c>
      <c r="G600" s="418" t="n">
        <f aca="false">'Balance Sheet'!J9/1000000</f>
        <v>9.32271628962655</v>
      </c>
      <c r="H600" s="418" t="n">
        <f aca="false">'Balance Sheet'!K9/1000000</f>
        <v>11.0641493125862</v>
      </c>
      <c r="I600" s="418" t="n">
        <f aca="false">'Balance Sheet'!L9/1000000</f>
        <v>12.7874394759941</v>
      </c>
    </row>
    <row r="601" customFormat="false" ht="15" hidden="false" customHeight="false" outlineLevel="0" collapsed="false">
      <c r="A601" s="416" t="s">
        <v>121</v>
      </c>
      <c r="B601" s="418" t="n">
        <f aca="false">'Balance Sheet'!E20/1000000</f>
        <v>1.233</v>
      </c>
      <c r="C601" s="418" t="n">
        <f aca="false">'Balance Sheet'!F20/1000000</f>
        <v>1.7097</v>
      </c>
      <c r="D601" s="418" t="n">
        <f aca="false">'Balance Sheet'!G20/1000000</f>
        <v>2.07309</v>
      </c>
      <c r="E601" s="418" t="n">
        <f aca="false">'Balance Sheet'!H20/1000000</f>
        <v>2.5469526795984</v>
      </c>
      <c r="F601" s="418" t="n">
        <f aca="false">'Balance Sheet'!I20/1000000</f>
        <v>3.1896248033181</v>
      </c>
      <c r="G601" s="418" t="n">
        <f aca="false">'Balance Sheet'!J20/1000000</f>
        <v>4.41606659677417</v>
      </c>
      <c r="H601" s="418" t="n">
        <f aca="false">'Balance Sheet'!K20/1000000</f>
        <v>5.66417330353806</v>
      </c>
      <c r="I601" s="418" t="n">
        <f aca="false">'Balance Sheet'!L20/1000000</f>
        <v>6.81270992185628</v>
      </c>
    </row>
    <row r="602" customFormat="false" ht="15" hidden="false" customHeight="false" outlineLevel="0" collapsed="false">
      <c r="A602" s="416" t="s">
        <v>128</v>
      </c>
      <c r="B602" s="418" t="n">
        <f aca="false">'Balance Sheet'!E22/1000000</f>
        <v>5.0359888</v>
      </c>
      <c r="C602" s="418" t="n">
        <f aca="false">'Balance Sheet'!F22/1000000</f>
        <v>7.98123255</v>
      </c>
      <c r="D602" s="418" t="n">
        <f aca="false">'Balance Sheet'!G22/1000000</f>
        <v>10.5228517655</v>
      </c>
      <c r="E602" s="418" t="n">
        <f aca="false">'Balance Sheet'!H22/1000000</f>
        <v>45.9792947800963</v>
      </c>
      <c r="F602" s="418" t="n">
        <f aca="false">'Balance Sheet'!I22/1000000</f>
        <v>36.6212775672095</v>
      </c>
      <c r="G602" s="418" t="n">
        <f aca="false">'Balance Sheet'!J22/1000000</f>
        <v>37.9348270458756</v>
      </c>
      <c r="H602" s="418" t="n">
        <f aca="false">'Balance Sheet'!K22/1000000</f>
        <v>39.7348069998484</v>
      </c>
      <c r="I602" s="418" t="n">
        <f aca="false">'Balance Sheet'!L22/1000000</f>
        <v>45.5339160993151</v>
      </c>
    </row>
    <row r="603" customFormat="false" ht="15" hidden="false" customHeight="false" outlineLevel="0" collapsed="false">
      <c r="A603" s="416" t="s">
        <v>1248</v>
      </c>
      <c r="B603" s="420" t="n">
        <f aca="false">('Balance Sheet'!E29+'Balance Sheet'!E30+'Balance Sheet'!E31)/1000000</f>
        <v>19.794</v>
      </c>
      <c r="C603" s="420" t="n">
        <f aca="false">('Balance Sheet'!F29+'Balance Sheet'!F30+'Balance Sheet'!F31)/1000000</f>
        <v>26.0996</v>
      </c>
      <c r="D603" s="420" t="n">
        <f aca="false">('Balance Sheet'!G29+'Balance Sheet'!G30+'Balance Sheet'!G31)/1000000</f>
        <v>31.18412</v>
      </c>
      <c r="E603" s="420" t="n">
        <f aca="false">('Balance Sheet'!H29+'Balance Sheet'!H30+'Balance Sheet'!H31)/1000000</f>
        <v>43.918883397992</v>
      </c>
      <c r="F603" s="420" t="n">
        <f aca="false">('Balance Sheet'!I29+'Balance Sheet'!I30+'Balance Sheet'!I31)/1000000</f>
        <v>95.7502864519111</v>
      </c>
      <c r="G603" s="420" t="n">
        <f aca="false">('Balance Sheet'!J29+'Balance Sheet'!J30+'Balance Sheet'!J31)/1000000</f>
        <v>108.998486242234</v>
      </c>
      <c r="H603" s="420" t="n">
        <f aca="false">('Balance Sheet'!K29+'Balance Sheet'!K30+'Balance Sheet'!K31)/1000000</f>
        <v>123.158919501079</v>
      </c>
      <c r="I603" s="420" t="n">
        <f aca="false">('Balance Sheet'!L29+'Balance Sheet'!L30+'Balance Sheet'!L31)/1000000</f>
        <v>140.190694305719</v>
      </c>
    </row>
    <row r="604" customFormat="false" ht="15" hidden="false" customHeight="false" outlineLevel="0" collapsed="false">
      <c r="A604" s="416" t="s">
        <v>131</v>
      </c>
      <c r="B604" s="418" t="n">
        <f aca="false">-'Balance Sheet'!E26/1000000</f>
        <v>-4.2822</v>
      </c>
      <c r="C604" s="418" t="n">
        <f aca="false">-'Balance Sheet'!F26/1000000</f>
        <v>-6.65748</v>
      </c>
      <c r="D604" s="418" t="n">
        <f aca="false">-'Balance Sheet'!G26/1000000</f>
        <v>-9.789432</v>
      </c>
      <c r="E604" s="418" t="n">
        <f aca="false">-'Balance Sheet'!H26/1000000</f>
        <v>-13.5315264</v>
      </c>
      <c r="F604" s="418" t="n">
        <f aca="false">-'Balance Sheet'!I26/1000000</f>
        <v>-18.801792407759</v>
      </c>
      <c r="G604" s="418" t="n">
        <f aca="false">-'Balance Sheet'!J26/1000000</f>
        <v>-30.2918267819884</v>
      </c>
      <c r="H604" s="418" t="n">
        <f aca="false">-'Balance Sheet'!K26/1000000</f>
        <v>-43.3716451310564</v>
      </c>
      <c r="I604" s="418" t="n">
        <f aca="false">-'Balance Sheet'!L26/1000000</f>
        <v>-58.1507154711859</v>
      </c>
    </row>
    <row r="605" customFormat="false" ht="15" hidden="false" customHeight="false" outlineLevel="0" collapsed="false">
      <c r="A605" s="416" t="s">
        <v>1249</v>
      </c>
      <c r="B605" s="418" t="n">
        <f aca="false">'Balance Sheet'!E32/1000000</f>
        <v>15.5118</v>
      </c>
      <c r="C605" s="418" t="n">
        <f aca="false">'Balance Sheet'!F32/1000000</f>
        <v>19.44212</v>
      </c>
      <c r="D605" s="418" t="n">
        <f aca="false">'Balance Sheet'!G32/1000000</f>
        <v>21.394688</v>
      </c>
      <c r="E605" s="418" t="n">
        <f aca="false">'Balance Sheet'!H32/1000000</f>
        <v>30.387356997992</v>
      </c>
      <c r="F605" s="418" t="n">
        <f aca="false">'Balance Sheet'!I32/1000000</f>
        <v>76.9484940441521</v>
      </c>
      <c r="G605" s="418" t="n">
        <f aca="false">'Balance Sheet'!J32/1000000</f>
        <v>78.7066594602453</v>
      </c>
      <c r="H605" s="418" t="n">
        <f aca="false">'Balance Sheet'!K32/1000000</f>
        <v>79.7872743700224</v>
      </c>
      <c r="I605" s="418" t="n">
        <f aca="false">'Balance Sheet'!L32/1000000</f>
        <v>82.0399788345336</v>
      </c>
    </row>
    <row r="606" customFormat="false" ht="15" hidden="false" customHeight="false" outlineLevel="0" collapsed="false">
      <c r="A606" s="416" t="s">
        <v>137</v>
      </c>
      <c r="B606" s="418" t="n">
        <f aca="false">'Balance Sheet'!E34/1000000</f>
        <v>20.5477888</v>
      </c>
      <c r="C606" s="418" t="n">
        <f aca="false">'Balance Sheet'!F34/1000000</f>
        <v>27.42335255</v>
      </c>
      <c r="D606" s="418" t="n">
        <f aca="false">'Balance Sheet'!G34/1000000</f>
        <v>31.9175397655</v>
      </c>
      <c r="E606" s="418" t="n">
        <f aca="false">'Balance Sheet'!H34/1000000</f>
        <v>76.3666517780883</v>
      </c>
      <c r="F606" s="418" t="n">
        <f aca="false">'Balance Sheet'!I34/1000000</f>
        <v>113.569771611362</v>
      </c>
      <c r="G606" s="418" t="n">
        <f aca="false">'Balance Sheet'!J34/1000000</f>
        <v>116.641486506121</v>
      </c>
      <c r="H606" s="418" t="n">
        <f aca="false">'Balance Sheet'!K34/1000000</f>
        <v>119.522081369871</v>
      </c>
      <c r="I606" s="418" t="n">
        <f aca="false">'Balance Sheet'!L34/1000000</f>
        <v>127.573894933849</v>
      </c>
    </row>
    <row r="607" customFormat="false" ht="15" hidden="false" customHeight="false" outlineLevel="0" collapsed="false">
      <c r="A607" s="416" t="s">
        <v>141</v>
      </c>
      <c r="B607" s="418" t="n">
        <f aca="false">'Balance Sheet'!E40/1000000</f>
        <v>0.156</v>
      </c>
      <c r="C607" s="418" t="n">
        <f aca="false">'Balance Sheet'!F40/1000000</f>
        <v>0.2028</v>
      </c>
      <c r="D607" s="418" t="n">
        <f aca="false">'Balance Sheet'!G40/1000000</f>
        <v>0.26364</v>
      </c>
      <c r="E607" s="418" t="n">
        <f aca="false">'Balance Sheet'!H40/1000000</f>
        <v>0.474593404040822</v>
      </c>
      <c r="F607" s="418" t="n">
        <f aca="false">'Balance Sheet'!I40/1000000</f>
        <v>0.719292612202287</v>
      </c>
      <c r="G607" s="418" t="n">
        <f aca="false">'Balance Sheet'!J40/1000000</f>
        <v>1.33181661280379</v>
      </c>
      <c r="H607" s="418" t="n">
        <f aca="false">'Balance Sheet'!K40/1000000</f>
        <v>1.65962239688793</v>
      </c>
      <c r="I607" s="418" t="n">
        <f aca="false">'Balance Sheet'!L40/1000000</f>
        <v>2.01906939094643</v>
      </c>
    </row>
    <row r="608" customFormat="false" ht="15" hidden="false" customHeight="false" outlineLevel="0" collapsed="false">
      <c r="A608" s="416" t="s">
        <v>372</v>
      </c>
      <c r="B608" s="418" t="n">
        <f aca="false">'Balance Sheet'!E48/1000000</f>
        <v>0.09</v>
      </c>
      <c r="C608" s="418" t="n">
        <f aca="false">'Balance Sheet'!F48/1000000</f>
        <v>0.108</v>
      </c>
      <c r="D608" s="418" t="n">
        <f aca="false">'Balance Sheet'!G48/1000000</f>
        <v>0.1026</v>
      </c>
      <c r="E608" s="418" t="n">
        <f aca="false">'Balance Sheet'!H48/1000000</f>
        <v>0.1026</v>
      </c>
      <c r="F608" s="418" t="n">
        <f aca="false">'Balance Sheet'!I48/1000000</f>
        <v>0.1026</v>
      </c>
      <c r="G608" s="418" t="n">
        <f aca="false">'Balance Sheet'!J48/1000000</f>
        <v>0.1026</v>
      </c>
      <c r="H608" s="418" t="n">
        <f aca="false">'Balance Sheet'!K48/1000000</f>
        <v>0.1026</v>
      </c>
      <c r="I608" s="418" t="n">
        <f aca="false">'Balance Sheet'!L48/1000000</f>
        <v>0.1026</v>
      </c>
    </row>
    <row r="609" customFormat="false" ht="15" hidden="false" customHeight="false" outlineLevel="0" collapsed="false">
      <c r="A609" s="416" t="s">
        <v>179</v>
      </c>
      <c r="B609" s="418" t="n">
        <f aca="false">'Balance Sheet'!E55/1000000</f>
        <v>0.0468</v>
      </c>
      <c r="C609" s="418" t="n">
        <f aca="false">'Balance Sheet'!F55/1000000</f>
        <v>0.06084</v>
      </c>
      <c r="D609" s="418" t="n">
        <f aca="false">'Balance Sheet'!G55/1000000</f>
        <v>0.079092</v>
      </c>
      <c r="E609" s="418" t="n">
        <f aca="false">'Balance Sheet'!H55/1000000</f>
        <v>0.12734763397992</v>
      </c>
      <c r="F609" s="418" t="n">
        <f aca="false">'Balance Sheet'!I55/1000000</f>
        <v>0.159481240165905</v>
      </c>
      <c r="G609" s="418" t="n">
        <f aca="false">'Balance Sheet'!J55/1000000</f>
        <v>0.220803329838708</v>
      </c>
      <c r="H609" s="418" t="n">
        <f aca="false">'Balance Sheet'!K55/1000000</f>
        <v>0.283208665176903</v>
      </c>
      <c r="I609" s="418" t="n">
        <f aca="false">'Balance Sheet'!L55/1000000</f>
        <v>0.340635496092814</v>
      </c>
    </row>
    <row r="610" customFormat="false" ht="15" hidden="false" customHeight="false" outlineLevel="0" collapsed="false">
      <c r="A610" s="416" t="s">
        <v>1250</v>
      </c>
      <c r="B610" s="418" t="n">
        <f aca="false">'Balance Sheet'!E61/1000000</f>
        <v>1.2</v>
      </c>
      <c r="C610" s="418" t="n">
        <f aca="false">'Balance Sheet'!F61/1000000</f>
        <v>1.5</v>
      </c>
      <c r="D610" s="418" t="n">
        <f aca="false">'Balance Sheet'!G61/1000000</f>
        <v>1.5</v>
      </c>
      <c r="E610" s="418" t="n">
        <f aca="false">'Balance Sheet'!H61/1000000</f>
        <v>1.5</v>
      </c>
      <c r="F610" s="418" t="n">
        <f aca="false">'Balance Sheet'!I61/1000000</f>
        <v>32.5988418323515</v>
      </c>
      <c r="G610" s="418" t="n">
        <f aca="false">'Balance Sheet'!J61/1000000</f>
        <v>32.5988418323515</v>
      </c>
      <c r="H610" s="418" t="n">
        <f aca="false">'Balance Sheet'!K61/1000000</f>
        <v>26.3790734658812</v>
      </c>
      <c r="I610" s="418" t="n">
        <f aca="false">'Balance Sheet'!L61/1000000</f>
        <v>20.1593050994109</v>
      </c>
    </row>
    <row r="611" customFormat="false" ht="15" hidden="false" customHeight="false" outlineLevel="0" collapsed="false">
      <c r="A611" s="416" t="s">
        <v>163</v>
      </c>
      <c r="B611" s="418" t="n">
        <f aca="false">'Balance Sheet'!E66/1000000</f>
        <v>1.4928</v>
      </c>
      <c r="C611" s="418" t="n">
        <f aca="false">'Balance Sheet'!F66/1000000</f>
        <v>1.87164</v>
      </c>
      <c r="D611" s="418" t="n">
        <f aca="false">'Balance Sheet'!G66/1000000</f>
        <v>1.945332</v>
      </c>
      <c r="E611" s="418" t="n">
        <f aca="false">'Balance Sheet'!H66/1000000</f>
        <v>2.20454103802074</v>
      </c>
      <c r="F611" s="418" t="n">
        <f aca="false">'Balance Sheet'!I66/1000000</f>
        <v>33.5802156847197</v>
      </c>
      <c r="G611" s="418" t="n">
        <f aca="false">'Balance Sheet'!J66/1000000</f>
        <v>34.254061774994</v>
      </c>
      <c r="H611" s="418" t="n">
        <f aca="false">'Balance Sheet'!K66/1000000</f>
        <v>28.424504527946</v>
      </c>
      <c r="I611" s="418" t="n">
        <f aca="false">'Balance Sheet'!L66/1000000</f>
        <v>22.6216099864501</v>
      </c>
    </row>
    <row r="612" customFormat="false" ht="15" hidden="false" customHeight="false" outlineLevel="0" collapsed="false">
      <c r="A612" s="416" t="s">
        <v>1251</v>
      </c>
      <c r="B612" s="420" t="n">
        <f aca="false">('Balance Sheet'!E70+'Balance Sheet'!E72)/1000000</f>
        <v>25.144</v>
      </c>
      <c r="C612" s="420" t="n">
        <f aca="false">('Balance Sheet'!F70+'Balance Sheet'!F72)/1000000</f>
        <v>32.144</v>
      </c>
      <c r="D612" s="420" t="n">
        <f aca="false">('Balance Sheet'!G70+'Balance Sheet'!G72)/1000000</f>
        <v>32.144</v>
      </c>
      <c r="E612" s="420" t="n">
        <f aca="false">('Balance Sheet'!H70+'Balance Sheet'!H72)/1000000</f>
        <v>69.7547630979458</v>
      </c>
      <c r="F612" s="420" t="n">
        <f aca="false">('Balance Sheet'!I70+'Balance Sheet'!I72)/1000000</f>
        <v>69.7547630979458</v>
      </c>
      <c r="G612" s="420" t="n">
        <f aca="false">('Balance Sheet'!J70+'Balance Sheet'!J72)/1000000</f>
        <v>69.7547630979458</v>
      </c>
      <c r="H612" s="420" t="n">
        <f aca="false">('Balance Sheet'!K70+'Balance Sheet'!K72)/1000000</f>
        <v>69.7547630979458</v>
      </c>
      <c r="I612" s="420" t="n">
        <f aca="false">('Balance Sheet'!L70+'Balance Sheet'!L72)/1000000</f>
        <v>69.7547630979458</v>
      </c>
    </row>
    <row r="613" customFormat="false" ht="15" hidden="false" customHeight="false" outlineLevel="0" collapsed="false">
      <c r="A613" s="416" t="s">
        <v>171</v>
      </c>
      <c r="B613" s="418" t="n">
        <f aca="false">'Balance Sheet'!E75/1000000</f>
        <v>-6.0890112</v>
      </c>
      <c r="C613" s="418" t="n">
        <f aca="false">'Balance Sheet'!F75/1000000</f>
        <v>-6.59228745</v>
      </c>
      <c r="D613" s="418" t="n">
        <f aca="false">'Balance Sheet'!G75/1000000</f>
        <v>-2.1717922345</v>
      </c>
      <c r="E613" s="418" t="n">
        <f aca="false">'Balance Sheet'!H75/1000000</f>
        <v>4.4073476421217</v>
      </c>
      <c r="F613" s="418" t="n">
        <f aca="false">'Balance Sheet'!I75/1000000</f>
        <v>10.2347928286961</v>
      </c>
      <c r="G613" s="418" t="n">
        <f aca="false">'Balance Sheet'!J75/1000000</f>
        <v>12.6326616331811</v>
      </c>
      <c r="H613" s="418" t="n">
        <f aca="false">'Balance Sheet'!K75/1000000</f>
        <v>21.3428137439789</v>
      </c>
      <c r="I613" s="418" t="n">
        <f aca="false">'Balance Sheet'!L75/1000000</f>
        <v>35.1975218494527</v>
      </c>
    </row>
    <row r="614" customFormat="false" ht="15" hidden="false" customHeight="false" outlineLevel="0" collapsed="false">
      <c r="A614" s="416" t="s">
        <v>164</v>
      </c>
      <c r="B614" s="418" t="n">
        <f aca="false">'Balance Sheet'!E76/1000000</f>
        <v>19.0549888</v>
      </c>
      <c r="C614" s="418" t="n">
        <f aca="false">'Balance Sheet'!F76/1000000</f>
        <v>25.55171255</v>
      </c>
      <c r="D614" s="418" t="n">
        <f aca="false">'Balance Sheet'!G76/1000000</f>
        <v>29.9722077655</v>
      </c>
      <c r="E614" s="418" t="n">
        <f aca="false">'Balance Sheet'!H76/1000000</f>
        <v>74.1621107400676</v>
      </c>
      <c r="F614" s="418" t="n">
        <f aca="false">'Balance Sheet'!I76/1000000</f>
        <v>79.9895559266419</v>
      </c>
      <c r="G614" s="418" t="n">
        <f aca="false">'Balance Sheet'!J76/1000000</f>
        <v>82.3874247311269</v>
      </c>
      <c r="H614" s="418" t="n">
        <f aca="false">'Balance Sheet'!K76/1000000</f>
        <v>91.0975768419248</v>
      </c>
      <c r="I614" s="418" t="n">
        <f aca="false">'Balance Sheet'!L76/1000000</f>
        <v>104.952284947399</v>
      </c>
    </row>
    <row r="615" customFormat="false" ht="15" hidden="false" customHeight="false" outlineLevel="0" collapsed="false">
      <c r="A615" s="416" t="s">
        <v>1252</v>
      </c>
      <c r="B615" s="418" t="n">
        <f aca="false">'Balance Sheet'!E78/1000000</f>
        <v>20.5477888</v>
      </c>
      <c r="C615" s="418" t="n">
        <f aca="false">'Balance Sheet'!F78/1000000</f>
        <v>27.42335255</v>
      </c>
      <c r="D615" s="418" t="n">
        <f aca="false">'Balance Sheet'!G78/1000000</f>
        <v>31.9175397655</v>
      </c>
      <c r="E615" s="418" t="n">
        <f aca="false">'Balance Sheet'!H78/1000000</f>
        <v>76.3666517780883</v>
      </c>
      <c r="F615" s="418" t="n">
        <f aca="false">'Balance Sheet'!I78/1000000</f>
        <v>113.569771611362</v>
      </c>
      <c r="G615" s="418" t="n">
        <f aca="false">'Balance Sheet'!J78/1000000</f>
        <v>116.641486506121</v>
      </c>
      <c r="H615" s="418" t="n">
        <f aca="false">'Balance Sheet'!K78/1000000</f>
        <v>119.522081369871</v>
      </c>
      <c r="I615" s="418" t="n">
        <f aca="false">'Balance Sheet'!L78/1000000</f>
        <v>127.573894933849</v>
      </c>
    </row>
    <row r="616" customFormat="false" ht="15" hidden="false" customHeight="false" outlineLevel="0" collapsed="false">
      <c r="A616" s="248" t="s">
        <v>1253</v>
      </c>
    </row>
    <row r="618" customFormat="false" ht="15" hidden="false" customHeight="false" outlineLevel="0" collapsed="false">
      <c r="A618" s="417" t="s">
        <v>1254</v>
      </c>
    </row>
    <row r="619" customFormat="false" ht="15" hidden="false" customHeight="false" outlineLevel="0" collapsed="false">
      <c r="A619" s="415" t="s">
        <v>891</v>
      </c>
      <c r="B619" s="415" t="s">
        <v>237</v>
      </c>
      <c r="C619" s="415" t="s">
        <v>238</v>
      </c>
      <c r="D619" s="415" t="s">
        <v>239</v>
      </c>
      <c r="E619" s="415" t="s">
        <v>240</v>
      </c>
      <c r="F619" s="415" t="s">
        <v>241</v>
      </c>
      <c r="G619" s="415" t="s">
        <v>242</v>
      </c>
      <c r="H619" s="415" t="s">
        <v>243</v>
      </c>
      <c r="I619" s="415" t="s">
        <v>244</v>
      </c>
    </row>
    <row r="620" customFormat="false" ht="15" hidden="false" customHeight="false" outlineLevel="0" collapsed="false">
      <c r="A620" s="416" t="s">
        <v>107</v>
      </c>
      <c r="B620" s="418" t="n">
        <f aca="false">'Cash Flow Statement'!C6/1000000</f>
        <v>-4.3090112</v>
      </c>
      <c r="C620" s="418" t="n">
        <f aca="false">'Cash Flow Statement'!D6/1000000</f>
        <v>-0.50327625</v>
      </c>
      <c r="D620" s="418" t="n">
        <f aca="false">'Cash Flow Statement'!E6/1000000</f>
        <v>4.4204952155</v>
      </c>
      <c r="E620" s="418" t="n">
        <f aca="false">'Cash Flow Statement'!F6/1000000</f>
        <v>6.5791398766217</v>
      </c>
      <c r="F620" s="418" t="n">
        <f aca="false">'Cash Flow Statement'!G6/1000000</f>
        <v>5.82744518657437</v>
      </c>
      <c r="G620" s="418" t="n">
        <f aca="false">'Cash Flow Statement'!H6/1000000</f>
        <v>2.39786880448502</v>
      </c>
      <c r="H620" s="418" t="n">
        <f aca="false">'Cash Flow Statement'!I6/1000000</f>
        <v>8.71015211079786</v>
      </c>
      <c r="I620" s="418" t="n">
        <f aca="false">'Cash Flow Statement'!J6/1000000</f>
        <v>13.8547081054738</v>
      </c>
    </row>
    <row r="621" customFormat="false" ht="15" hidden="false" customHeight="false" outlineLevel="0" collapsed="false">
      <c r="A621" s="416" t="s">
        <v>101</v>
      </c>
      <c r="B621" s="418" t="n">
        <f aca="false">'Cash Flow Statement'!C8/1000000</f>
        <v>1.4322</v>
      </c>
      <c r="C621" s="418" t="n">
        <f aca="false">'Cash Flow Statement'!D8/1000000</f>
        <v>2.37528</v>
      </c>
      <c r="D621" s="418" t="n">
        <f aca="false">'Cash Flow Statement'!E8/1000000</f>
        <v>3.131952</v>
      </c>
      <c r="E621" s="418" t="n">
        <f aca="false">'Cash Flow Statement'!F8/1000000</f>
        <v>3.7420944</v>
      </c>
      <c r="F621" s="418" t="n">
        <f aca="false">'Cash Flow Statement'!G8/1000000</f>
        <v>5.27026600775904</v>
      </c>
      <c r="G621" s="418" t="n">
        <f aca="false">'Cash Flow Statement'!H8/1000000</f>
        <v>11.4900343742293</v>
      </c>
      <c r="H621" s="418" t="n">
        <f aca="false">'Cash Flow Statement'!I8/1000000</f>
        <v>13.079818349068</v>
      </c>
      <c r="I621" s="418" t="n">
        <f aca="false">'Cash Flow Statement'!J8/1000000</f>
        <v>14.7790703401295</v>
      </c>
    </row>
    <row r="622" customFormat="false" ht="15" hidden="false" customHeight="false" outlineLevel="0" collapsed="false">
      <c r="A622" s="416" t="s">
        <v>1255</v>
      </c>
      <c r="B622" s="420" t="n">
        <f aca="false">('Cash Flow Statement'!C19-'Cash Flow Statement'!C6-'Cash Flow Statement'!C8)/1000000</f>
        <v>-1.0802</v>
      </c>
      <c r="C622" s="420" t="n">
        <f aca="false">('Cash Flow Statement'!D19-'Cash Flow Statement'!D6-'Cash Flow Statement'!D8)/1000000</f>
        <v>-1.17486</v>
      </c>
      <c r="D622" s="420" t="n">
        <f aca="false">('Cash Flow Statement'!E19-'Cash Flow Statement'!E6-'Cash Flow Statement'!E8)/1000000</f>
        <v>-1.269978</v>
      </c>
      <c r="E622" s="420" t="n">
        <f aca="false">('Cash Flow Statement'!F19-'Cash Flow Statement'!F6-'Cash Flow Statement'!F8)/1000000</f>
        <v>-2.5843863280661</v>
      </c>
      <c r="F622" s="420" t="n">
        <f aca="false">('Cash Flow Statement'!G19-'Cash Flow Statement'!G6-'Cash Flow Statement'!G8)/1000000</f>
        <v>-3.28021567477489</v>
      </c>
      <c r="G622" s="420" t="n">
        <f aca="false">('Cash Flow Statement'!H19-'Cash Flow Statement'!H6-'Cash Flow Statement'!H8)/1000000</f>
        <v>-6.93915112695341</v>
      </c>
      <c r="H622" s="420" t="n">
        <f aca="false">('Cash Flow Statement'!I19-'Cash Flow Statement'!I6-'Cash Flow Statement'!I8)/1000000</f>
        <v>-6.37381269180898</v>
      </c>
      <c r="I622" s="420" t="n">
        <f aca="false">('Cash Flow Statement'!J19-'Cash Flow Statement'!J6-'Cash Flow Statement'!J8)/1000000</f>
        <v>-4.81495970672064</v>
      </c>
    </row>
    <row r="623" customFormat="false" ht="15" hidden="false" customHeight="false" outlineLevel="0" collapsed="false">
      <c r="A623" s="416" t="s">
        <v>1256</v>
      </c>
      <c r="B623" s="418" t="n">
        <f aca="false">'Cash Flow Statement'!C19/1000000</f>
        <v>-3.9570112</v>
      </c>
      <c r="C623" s="418" t="n">
        <f aca="false">'Cash Flow Statement'!D19/1000000</f>
        <v>0.69714375</v>
      </c>
      <c r="D623" s="418" t="n">
        <f aca="false">'Cash Flow Statement'!E19/1000000</f>
        <v>6.2824692155</v>
      </c>
      <c r="E623" s="418" t="n">
        <f aca="false">'Cash Flow Statement'!F19/1000000</f>
        <v>7.73684794855561</v>
      </c>
      <c r="F623" s="418" t="n">
        <f aca="false">'Cash Flow Statement'!G19/1000000</f>
        <v>7.81749551955852</v>
      </c>
      <c r="G623" s="418" t="n">
        <f aca="false">'Cash Flow Statement'!H19/1000000</f>
        <v>6.94875205176094</v>
      </c>
      <c r="H623" s="418" t="n">
        <f aca="false">'Cash Flow Statement'!I19/1000000</f>
        <v>15.4161577680569</v>
      </c>
      <c r="I623" s="418" t="n">
        <f aca="false">'Cash Flow Statement'!J19/1000000</f>
        <v>23.8188187388826</v>
      </c>
    </row>
    <row r="624" customFormat="false" ht="15" hidden="false" customHeight="false" outlineLevel="0" collapsed="false">
      <c r="A624" s="416" t="s">
        <v>1257</v>
      </c>
      <c r="B624" s="418" t="n">
        <f aca="false">'Cash Flow Statement'!C24/1000000</f>
        <v>-5.009</v>
      </c>
      <c r="C624" s="418" t="n">
        <f aca="false">'Cash Flow Statement'!D24/1000000</f>
        <v>-6.3056</v>
      </c>
      <c r="D624" s="418" t="n">
        <f aca="false">'Cash Flow Statement'!E24/1000000</f>
        <v>-5.08452</v>
      </c>
      <c r="E624" s="418" t="n">
        <f aca="false">'Cash Flow Statement'!F24/1000000</f>
        <v>-12.734763397992</v>
      </c>
      <c r="F624" s="418" t="n">
        <f aca="false">'Cash Flow Statement'!G24/1000000</f>
        <v>-51.8314030539191</v>
      </c>
      <c r="G624" s="418" t="n">
        <f aca="false">'Cash Flow Statement'!H24/1000000</f>
        <v>-13.2481997903225</v>
      </c>
      <c r="H624" s="418" t="n">
        <f aca="false">'Cash Flow Statement'!I24/1000000</f>
        <v>-14.1604332588451</v>
      </c>
      <c r="I624" s="418" t="n">
        <f aca="false">'Cash Flow Statement'!J24/1000000</f>
        <v>-17.0317748046407</v>
      </c>
    </row>
    <row r="625" customFormat="false" ht="15" hidden="false" customHeight="false" outlineLevel="0" collapsed="false">
      <c r="A625" s="416" t="s">
        <v>1092</v>
      </c>
      <c r="B625" s="418" t="n">
        <f aca="false">'Cash Flow Statement'!C27/1000000</f>
        <v>8.1</v>
      </c>
      <c r="C625" s="418" t="n">
        <f aca="false">'Cash Flow Statement'!D27/1000000</f>
        <v>7</v>
      </c>
      <c r="D625" s="418" t="n">
        <f aca="false">'Cash Flow Statement'!E27/1000000</f>
        <v>0</v>
      </c>
      <c r="E625" s="418" t="n">
        <f aca="false">'Cash Flow Statement'!F27/1000000</f>
        <v>37.6107630979458</v>
      </c>
      <c r="F625" s="418" t="n">
        <f aca="false">'Cash Flow Statement'!G27/1000000</f>
        <v>0</v>
      </c>
      <c r="G625" s="418" t="n">
        <f aca="false">'Cash Flow Statement'!H27/1000000</f>
        <v>0</v>
      </c>
      <c r="H625" s="418" t="n">
        <f aca="false">'Cash Flow Statement'!I27/1000000</f>
        <v>0</v>
      </c>
      <c r="I625" s="418" t="n">
        <f aca="false">'Cash Flow Statement'!J27/1000000</f>
        <v>0</v>
      </c>
    </row>
    <row r="626" customFormat="false" ht="15" hidden="false" customHeight="false" outlineLevel="0" collapsed="false">
      <c r="A626" s="416" t="s">
        <v>186</v>
      </c>
      <c r="B626" s="418" t="n">
        <f aca="false">'Cash Flow Statement'!C28/1000000</f>
        <v>0</v>
      </c>
      <c r="C626" s="418" t="n">
        <f aca="false">'Cash Flow Statement'!D28/1000000</f>
        <v>0.3</v>
      </c>
      <c r="D626" s="418" t="n">
        <f aca="false">'Cash Flow Statement'!E28/1000000</f>
        <v>0</v>
      </c>
      <c r="E626" s="418" t="n">
        <f aca="false">'Cash Flow Statement'!F28/1000000</f>
        <v>0</v>
      </c>
      <c r="F626" s="418" t="n">
        <f aca="false">'Cash Flow Statement'!G28/1000000</f>
        <v>31.0988418323515</v>
      </c>
      <c r="G626" s="418" t="n">
        <f aca="false">'Cash Flow Statement'!H28/1000000</f>
        <v>0</v>
      </c>
      <c r="H626" s="418" t="n">
        <f aca="false">'Cash Flow Statement'!I28/1000000</f>
        <v>-6.21976836647029</v>
      </c>
      <c r="I626" s="418" t="n">
        <f aca="false">'Cash Flow Statement'!J28/1000000</f>
        <v>-6.21976836647029</v>
      </c>
    </row>
    <row r="627" customFormat="false" ht="15" hidden="false" customHeight="false" outlineLevel="0" collapsed="false">
      <c r="A627" s="416" t="s">
        <v>1258</v>
      </c>
      <c r="B627" s="418" t="n">
        <f aca="false">'Cash Flow Statement'!C30/1000000</f>
        <v>8.1</v>
      </c>
      <c r="C627" s="418" t="n">
        <f aca="false">'Cash Flow Statement'!D30/1000000</f>
        <v>7.3</v>
      </c>
      <c r="D627" s="418" t="n">
        <f aca="false">'Cash Flow Statement'!E30/1000000</f>
        <v>0</v>
      </c>
      <c r="E627" s="418" t="n">
        <f aca="false">'Cash Flow Statement'!F30/1000000</f>
        <v>37.6107630979458</v>
      </c>
      <c r="F627" s="418" t="n">
        <f aca="false">'Cash Flow Statement'!G30/1000000</f>
        <v>31.0988418323515</v>
      </c>
      <c r="G627" s="418" t="n">
        <f aca="false">'Cash Flow Statement'!H30/1000000</f>
        <v>0</v>
      </c>
      <c r="H627" s="418" t="n">
        <f aca="false">'Cash Flow Statement'!I30/1000000</f>
        <v>-6.21976836647029</v>
      </c>
      <c r="I627" s="418" t="n">
        <f aca="false">'Cash Flow Statement'!J30/1000000</f>
        <v>-6.21976836647029</v>
      </c>
    </row>
    <row r="628" customFormat="false" ht="15" hidden="false" customHeight="false" outlineLevel="0" collapsed="false">
      <c r="A628" s="416" t="s">
        <v>905</v>
      </c>
      <c r="B628" s="418" t="n">
        <f aca="false">'Cash Flow Statement'!C36/1000000</f>
        <v>0.0439888000000008</v>
      </c>
      <c r="C628" s="418" t="n">
        <f aca="false">'Cash Flow Statement'!D36/1000000</f>
        <v>1.73553255</v>
      </c>
      <c r="D628" s="418" t="n">
        <f aca="false">'Cash Flow Statement'!E36/1000000</f>
        <v>2.93348176549999</v>
      </c>
      <c r="E628" s="418" t="n">
        <f aca="false">'Cash Flow Statement'!F36/1000000</f>
        <v>35.5463294140094</v>
      </c>
      <c r="F628" s="418" t="n">
        <f aca="false">'Cash Flow Statement'!G36/1000000</f>
        <v>22.6312637120003</v>
      </c>
      <c r="G628" s="418" t="n">
        <f aca="false">'Cash Flow Statement'!H36/1000000</f>
        <v>16.3318159734387</v>
      </c>
      <c r="H628" s="418" t="n">
        <f aca="false">'Cash Flow Statement'!I36/1000000</f>
        <v>11.3677721161802</v>
      </c>
      <c r="I628" s="418" t="n">
        <f aca="false">'Cash Flow Statement'!J36/1000000</f>
        <v>11.9350476839519</v>
      </c>
    </row>
    <row r="629" customFormat="false" ht="15" hidden="false" customHeight="false" outlineLevel="0" collapsed="false">
      <c r="A629" s="416" t="s">
        <v>1259</v>
      </c>
      <c r="B629" s="420" t="n">
        <f aca="false">('Cash Flow Statement'!C19+'Cash Flow Statement'!C22)/1000000</f>
        <v>-8.9660112</v>
      </c>
      <c r="C629" s="420" t="n">
        <f aca="false">('Cash Flow Statement'!D19+'Cash Flow Statement'!D22)/1000000</f>
        <v>-5.60845625</v>
      </c>
      <c r="D629" s="420" t="n">
        <f aca="false">('Cash Flow Statement'!E19+'Cash Flow Statement'!E22)/1000000</f>
        <v>1.19794921549999</v>
      </c>
      <c r="E629" s="420" t="n">
        <f aca="false">DCF!C10/1000000</f>
        <v>-4.86489964943638</v>
      </c>
      <c r="F629" s="420" t="n">
        <f aca="false">DCF!D10/1000000</f>
        <v>-42.6417458610666</v>
      </c>
      <c r="G629" s="420" t="n">
        <f aca="false">DCF!E10/1000000</f>
        <v>-3.68333239197345</v>
      </c>
      <c r="H629" s="420" t="n">
        <f aca="false">DCF!F10/1000000</f>
        <v>3.62304912114108</v>
      </c>
      <c r="I629" s="420" t="n">
        <f aca="false">DCF!G10/1000000</f>
        <v>8.65678707685356</v>
      </c>
    </row>
    <row r="630" customFormat="false" ht="15" hidden="false" customHeight="false" outlineLevel="0" collapsed="false">
      <c r="A630" s="248" t="s">
        <v>1260</v>
      </c>
    </row>
    <row r="632" customFormat="false" ht="15" hidden="false" customHeight="false" outlineLevel="0" collapsed="false">
      <c r="A632" s="417" t="s">
        <v>1261</v>
      </c>
    </row>
    <row r="633" customFormat="false" ht="15" hidden="false" customHeight="false" outlineLevel="0" collapsed="false">
      <c r="A633" s="415" t="s">
        <v>1044</v>
      </c>
      <c r="B633" s="415" t="s">
        <v>240</v>
      </c>
      <c r="C633" s="415" t="s">
        <v>241</v>
      </c>
      <c r="D633" s="415" t="s">
        <v>242</v>
      </c>
      <c r="E633" s="415" t="s">
        <v>243</v>
      </c>
      <c r="F633" s="415" t="s">
        <v>244</v>
      </c>
    </row>
    <row r="634" customFormat="false" ht="15" hidden="false" customHeight="false" outlineLevel="0" collapsed="false">
      <c r="A634" s="416" t="s">
        <v>1049</v>
      </c>
      <c r="B634" s="419" t="n">
        <f aca="false">Drivers!F54</f>
        <v>0.25</v>
      </c>
      <c r="C634" s="419" t="n">
        <f aca="false">Drivers!G54</f>
        <v>0.255</v>
      </c>
      <c r="D634" s="419" t="n">
        <f aca="false">Drivers!H54</f>
        <v>0.27</v>
      </c>
      <c r="E634" s="419" t="n">
        <f aca="false">Drivers!I54</f>
        <v>0.265</v>
      </c>
      <c r="F634" s="419" t="n">
        <f aca="false">Drivers!J54</f>
        <v>0.27</v>
      </c>
    </row>
    <row r="635" customFormat="false" ht="15" hidden="false" customHeight="false" outlineLevel="0" collapsed="false">
      <c r="A635" s="416" t="s">
        <v>1050</v>
      </c>
      <c r="B635" s="419" t="n">
        <f aca="false">Drivers!F63</f>
        <v>0.225</v>
      </c>
      <c r="C635" s="419" t="n">
        <f aca="false">Drivers!G63</f>
        <v>0.23</v>
      </c>
      <c r="D635" s="419" t="n">
        <f aca="false">Drivers!H63</f>
        <v>0.235</v>
      </c>
      <c r="E635" s="419" t="n">
        <f aca="false">Drivers!I63</f>
        <v>0.23</v>
      </c>
      <c r="F635" s="419" t="n">
        <f aca="false">Drivers!J63</f>
        <v>0.225</v>
      </c>
    </row>
    <row r="636" customFormat="false" ht="15" hidden="false" customHeight="false" outlineLevel="0" collapsed="false">
      <c r="A636" s="416" t="s">
        <v>322</v>
      </c>
      <c r="B636" s="419" t="n">
        <f aca="false">Drivers!F65</f>
        <v>0.28</v>
      </c>
      <c r="C636" s="419" t="n">
        <f aca="false">Drivers!G65</f>
        <v>0.28</v>
      </c>
      <c r="D636" s="419" t="n">
        <f aca="false">Drivers!H65</f>
        <v>0.28</v>
      </c>
      <c r="E636" s="419" t="n">
        <f aca="false">Drivers!I65</f>
        <v>0.28</v>
      </c>
      <c r="F636" s="419" t="n">
        <f aca="false">Drivers!J65</f>
        <v>0.28</v>
      </c>
    </row>
    <row r="637" customFormat="false" ht="15" hidden="false" customHeight="false" outlineLevel="0" collapsed="false">
      <c r="A637" s="416" t="s">
        <v>1262</v>
      </c>
      <c r="B637" s="433" t="n">
        <f aca="false">Drivers!F67</f>
        <v>0.12</v>
      </c>
      <c r="C637" s="433" t="n">
        <f aca="false">Drivers!G67</f>
        <v>0.15</v>
      </c>
      <c r="D637" s="433" t="n">
        <f aca="false">Drivers!H67</f>
        <v>0.3</v>
      </c>
      <c r="E637" s="433" t="n">
        <f aca="false">Drivers!I67</f>
        <v>0.12</v>
      </c>
      <c r="F637" s="433" t="n">
        <f aca="false">Drivers!J67</f>
        <v>0.12</v>
      </c>
    </row>
    <row r="638" customFormat="false" ht="15" hidden="false" customHeight="false" outlineLevel="0" collapsed="false">
      <c r="A638" s="416" t="s">
        <v>1263</v>
      </c>
      <c r="B638" s="419" t="n">
        <f aca="false">Drivers!F71</f>
        <v>0.05</v>
      </c>
      <c r="C638" s="419" t="n">
        <f aca="false">Drivers!G71</f>
        <v>0.05</v>
      </c>
      <c r="D638" s="419" t="n">
        <f aca="false">Drivers!H71</f>
        <v>0.05</v>
      </c>
      <c r="E638" s="419" t="n">
        <f aca="false">Drivers!I71</f>
        <v>0.05</v>
      </c>
      <c r="F638" s="419" t="n">
        <f aca="false">Drivers!J71</f>
        <v>0.05</v>
      </c>
    </row>
    <row r="639" customFormat="false" ht="15" hidden="false" customHeight="false" outlineLevel="0" collapsed="false">
      <c r="A639" s="416" t="s">
        <v>1264</v>
      </c>
      <c r="B639" s="419" t="n">
        <f aca="false">Drivers!F69</f>
        <v>0.044</v>
      </c>
      <c r="C639" s="419" t="n">
        <f aca="false">Drivers!G69</f>
        <v>0.044</v>
      </c>
      <c r="D639" s="419" t="n">
        <f aca="false">Drivers!H69</f>
        <v>0.044</v>
      </c>
      <c r="E639" s="419" t="n">
        <f aca="false">Drivers!I69</f>
        <v>0.044</v>
      </c>
      <c r="F639" s="419" t="n">
        <f aca="false">Drivers!J69</f>
        <v>0.044</v>
      </c>
    </row>
    <row r="640" customFormat="false" ht="15" hidden="false" customHeight="false" outlineLevel="0" collapsed="false">
      <c r="A640" s="416" t="s">
        <v>1265</v>
      </c>
      <c r="B640" s="419" t="n">
        <f aca="false">Drivers!F73</f>
        <v>0.028</v>
      </c>
      <c r="C640" s="419" t="n">
        <f aca="false">Drivers!G73</f>
        <v>0.03</v>
      </c>
      <c r="D640" s="419" t="n">
        <f aca="false">Drivers!H73</f>
        <v>0.03</v>
      </c>
      <c r="E640" s="419" t="n">
        <f aca="false">Drivers!I73</f>
        <v>0.03</v>
      </c>
      <c r="F640" s="419" t="n">
        <f aca="false">Drivers!J73</f>
        <v>0.028</v>
      </c>
    </row>
    <row r="641" customFormat="false" ht="15" hidden="false" customHeight="false" outlineLevel="0" collapsed="false">
      <c r="A641" s="416" t="s">
        <v>1266</v>
      </c>
      <c r="B641" s="419" t="n">
        <f aca="false">Drivers!F75</f>
        <v>0.006</v>
      </c>
      <c r="C641" s="419" t="n">
        <f aca="false">Drivers!G75</f>
        <v>0.006</v>
      </c>
      <c r="D641" s="419" t="n">
        <f aca="false">Drivers!H75</f>
        <v>0.006</v>
      </c>
      <c r="E641" s="419" t="n">
        <f aca="false">Drivers!I75</f>
        <v>0.006</v>
      </c>
      <c r="F641" s="419" t="n">
        <f aca="false">Drivers!J75</f>
        <v>0.006</v>
      </c>
    </row>
    <row r="642" customFormat="false" ht="15" hidden="false" customHeight="false" outlineLevel="0" collapsed="false">
      <c r="A642" s="416" t="s">
        <v>844</v>
      </c>
      <c r="B642" s="433" t="n">
        <f aca="false">Drivers!F83</f>
        <v>0.2</v>
      </c>
      <c r="C642" s="433" t="n">
        <f aca="false">Drivers!G83</f>
        <v>0.65</v>
      </c>
      <c r="D642" s="433" t="n">
        <f aca="false">Drivers!H83</f>
        <v>0.12</v>
      </c>
      <c r="E642" s="433" t="n">
        <f aca="false">Drivers!I83</f>
        <v>0.1</v>
      </c>
      <c r="F642" s="433" t="n">
        <f aca="false">Drivers!J83</f>
        <v>0.1</v>
      </c>
    </row>
    <row r="643" customFormat="false" ht="15" hidden="false" customHeight="false" outlineLevel="0" collapsed="false">
      <c r="A643" s="416" t="s">
        <v>1267</v>
      </c>
      <c r="B643" s="433" t="n">
        <f aca="false">Drivers!F87</f>
        <v>0.12</v>
      </c>
      <c r="C643" s="433" t="n">
        <f aca="false">Drivers!G87</f>
        <v>0.12</v>
      </c>
      <c r="D643" s="433" t="n">
        <f aca="false">Drivers!H87</f>
        <v>0.12</v>
      </c>
      <c r="E643" s="433" t="n">
        <f aca="false">Drivers!I87</f>
        <v>0.12</v>
      </c>
      <c r="F643" s="433" t="n">
        <f aca="false">Drivers!J87</f>
        <v>0.12</v>
      </c>
    </row>
    <row r="644" customFormat="false" ht="15" hidden="false" customHeight="false" outlineLevel="0" collapsed="false">
      <c r="A644" s="416" t="s">
        <v>920</v>
      </c>
      <c r="B644" s="425" t="n">
        <f aca="false">Drivers!F94</f>
        <v>100</v>
      </c>
      <c r="C644" s="425" t="n">
        <f aca="false">Drivers!G94</f>
        <v>100</v>
      </c>
      <c r="D644" s="425" t="n">
        <f aca="false">Drivers!H94</f>
        <v>105</v>
      </c>
      <c r="E644" s="425" t="n">
        <f aca="false">Drivers!I94</f>
        <v>100</v>
      </c>
      <c r="F644" s="425" t="n">
        <f aca="false">Drivers!J94</f>
        <v>95</v>
      </c>
    </row>
    <row r="645" customFormat="false" ht="15" hidden="false" customHeight="false" outlineLevel="0" collapsed="false">
      <c r="A645" s="416" t="s">
        <v>921</v>
      </c>
      <c r="B645" s="425" t="n">
        <f aca="false">Drivers!F96</f>
        <v>18</v>
      </c>
      <c r="C645" s="425" t="n">
        <f aca="false">Drivers!G96</f>
        <v>22</v>
      </c>
      <c r="D645" s="425" t="n">
        <f aca="false">Drivers!H96</f>
        <v>26</v>
      </c>
      <c r="E645" s="425" t="n">
        <f aca="false">Drivers!I96</f>
        <v>30</v>
      </c>
      <c r="F645" s="425" t="n">
        <f aca="false">Drivers!J96</f>
        <v>30</v>
      </c>
    </row>
    <row r="646" customFormat="false" ht="15" hidden="false" customHeight="false" outlineLevel="0" collapsed="false">
      <c r="A646" s="416" t="s">
        <v>922</v>
      </c>
      <c r="B646" s="425" t="n">
        <f aca="false">Drivers!F100</f>
        <v>10</v>
      </c>
      <c r="C646" s="425" t="n">
        <f aca="false">Drivers!G100</f>
        <v>12</v>
      </c>
      <c r="D646" s="425" t="n">
        <f aca="false">Drivers!H100</f>
        <v>15</v>
      </c>
      <c r="E646" s="425" t="n">
        <f aca="false">Drivers!I100</f>
        <v>15</v>
      </c>
      <c r="F646" s="425" t="n">
        <f aca="false">Drivers!J100</f>
        <v>15</v>
      </c>
    </row>
    <row r="647" customFormat="false" ht="15" hidden="false" customHeight="false" outlineLevel="0" collapsed="false">
      <c r="A647" s="416" t="s">
        <v>1268</v>
      </c>
      <c r="B647" s="433" t="n">
        <f aca="false">Drivers!F109</f>
        <v>0.05</v>
      </c>
      <c r="C647" s="433" t="n">
        <f aca="false">Drivers!G109</f>
        <v>0.05</v>
      </c>
      <c r="D647" s="433" t="n">
        <f aca="false">Drivers!H109</f>
        <v>0.05</v>
      </c>
      <c r="E647" s="433" t="n">
        <f aca="false">Drivers!I109</f>
        <v>0.05</v>
      </c>
      <c r="F647" s="433" t="n">
        <f aca="false">Drivers!J109</f>
        <v>0.05</v>
      </c>
    </row>
    <row r="648" customFormat="false" ht="15" hidden="false" customHeight="false" outlineLevel="0" collapsed="false">
      <c r="A648" s="416" t="s">
        <v>1269</v>
      </c>
      <c r="B648" s="433" t="n">
        <f aca="false">Drivers!F118</f>
        <v>0.1</v>
      </c>
      <c r="C648" s="433" t="n">
        <f aca="false">Drivers!G118</f>
        <v>0.1</v>
      </c>
      <c r="D648" s="433" t="n">
        <f aca="false">Drivers!H118</f>
        <v>0.1</v>
      </c>
      <c r="E648" s="433" t="n">
        <f aca="false">Drivers!I118</f>
        <v>0.1</v>
      </c>
      <c r="F648" s="433" t="n">
        <f aca="false">Drivers!J118</f>
        <v>0.1</v>
      </c>
    </row>
    <row r="649" customFormat="false" ht="15" hidden="false" customHeight="false" outlineLevel="0" collapsed="false">
      <c r="A649" s="416" t="s">
        <v>1270</v>
      </c>
      <c r="B649" s="433" t="n">
        <f aca="false">Drivers!F125</f>
        <v>0.17</v>
      </c>
      <c r="C649" s="433" t="n">
        <f aca="false">Drivers!G125</f>
        <v>0.2</v>
      </c>
      <c r="D649" s="433" t="n">
        <f aca="false">Drivers!H125</f>
        <v>0.2</v>
      </c>
      <c r="E649" s="433" t="n">
        <f aca="false">Drivers!I125</f>
        <v>0.2</v>
      </c>
      <c r="F649" s="433" t="n">
        <f aca="false">Drivers!J125</f>
        <v>0.2</v>
      </c>
    </row>
    <row r="650" customFormat="false" ht="15" hidden="false" customHeight="false" outlineLevel="0" collapsed="false">
      <c r="A650" s="248" t="s">
        <v>1051</v>
      </c>
    </row>
    <row r="652" customFormat="false" ht="15" hidden="false" customHeight="false" outlineLevel="0" collapsed="false">
      <c r="A652" s="417" t="s">
        <v>1271</v>
      </c>
    </row>
    <row r="653" customFormat="false" ht="15" hidden="false" customHeight="false" outlineLevel="0" collapsed="false">
      <c r="A653" s="415" t="s">
        <v>1272</v>
      </c>
      <c r="B653" s="415" t="s">
        <v>1273</v>
      </c>
      <c r="C653" s="415" t="s">
        <v>1274</v>
      </c>
      <c r="D653" s="415" t="s">
        <v>1275</v>
      </c>
      <c r="E653" s="415" t="s">
        <v>1276</v>
      </c>
      <c r="F653" s="415" t="s">
        <v>1277</v>
      </c>
    </row>
    <row r="654" customFormat="false" ht="15" hidden="false" customHeight="false" outlineLevel="0" collapsed="false">
      <c r="A654" s="416" t="s">
        <v>1278</v>
      </c>
      <c r="B654" s="433" t="n">
        <f aca="false">Sensitivity!B14</f>
        <v>-0.3</v>
      </c>
      <c r="C654" s="433" t="n">
        <f aca="false">Sensitivity!C14</f>
        <v>-0.15</v>
      </c>
      <c r="D654" s="433" t="n">
        <f aca="false">Sensitivity!D14</f>
        <v>0</v>
      </c>
      <c r="E654" s="433" t="n">
        <f aca="false">Sensitivity!E14</f>
        <v>0.15</v>
      </c>
      <c r="F654" s="433" t="n">
        <f aca="false">Sensitivity!F14</f>
        <v>0.3</v>
      </c>
    </row>
    <row r="655" customFormat="false" ht="15" hidden="false" customHeight="false" outlineLevel="0" collapsed="false">
      <c r="A655" s="443" t="n">
        <f aca="false">Sensitivity!A15</f>
        <v>0.3</v>
      </c>
      <c r="B655" s="418" t="n">
        <f aca="false">Sensitivity!B15</f>
        <v>13.3196550935085</v>
      </c>
      <c r="C655" s="418" t="n">
        <f aca="false">Sensitivity!C15</f>
        <v>24.2333161345344</v>
      </c>
      <c r="D655" s="418" t="n">
        <f aca="false">Sensitivity!D15</f>
        <v>35.1469771755604</v>
      </c>
      <c r="E655" s="418" t="n">
        <f aca="false">Sensitivity!E15</f>
        <v>46.0606382165863</v>
      </c>
      <c r="F655" s="418" t="n">
        <f aca="false">Sensitivity!F15</f>
        <v>56.9742992576122</v>
      </c>
    </row>
    <row r="656" customFormat="false" ht="15" hidden="false" customHeight="false" outlineLevel="0" collapsed="false">
      <c r="A656" s="443" t="n">
        <f aca="false">Sensitivity!A16</f>
        <v>0.35</v>
      </c>
      <c r="B656" s="418" t="n">
        <f aca="false">Sensitivity!B16</f>
        <v>9.6817680798332</v>
      </c>
      <c r="C656" s="418" t="n">
        <f aca="false">Sensitivity!C16</f>
        <v>19.815881903643</v>
      </c>
      <c r="D656" s="418" t="n">
        <f aca="false">Sensitivity!D16</f>
        <v>29.9499957274528</v>
      </c>
      <c r="E656" s="418" t="n">
        <f aca="false">Sensitivity!E16</f>
        <v>40.0841095512626</v>
      </c>
      <c r="F656" s="418" t="n">
        <f aca="false">Sensitivity!F16</f>
        <v>50.2182233750724</v>
      </c>
    </row>
    <row r="657" customFormat="false" ht="15" hidden="false" customHeight="false" outlineLevel="0" collapsed="false">
      <c r="A657" s="443" t="n">
        <f aca="false">Sensitivity!A17</f>
        <v>0.4</v>
      </c>
      <c r="B657" s="418" t="n">
        <f aca="false">Sensitivity!B17</f>
        <v>6.04388106615789</v>
      </c>
      <c r="C657" s="418" t="n">
        <f aca="false">Sensitivity!C17</f>
        <v>15.3984476727515</v>
      </c>
      <c r="D657" s="418" t="n">
        <f aca="false">Sensitivity!D17</f>
        <v>24.7530142793452</v>
      </c>
      <c r="E657" s="418" t="n">
        <f aca="false">Sensitivity!E17</f>
        <v>34.1075808859388</v>
      </c>
      <c r="F657" s="418" t="n">
        <f aca="false">Sensitivity!F17</f>
        <v>43.4621474925325</v>
      </c>
    </row>
    <row r="658" customFormat="false" ht="15" hidden="false" customHeight="false" outlineLevel="0" collapsed="false">
      <c r="A658" s="443" t="n">
        <f aca="false">Sensitivity!A18</f>
        <v>0.45</v>
      </c>
      <c r="B658" s="418" t="n">
        <f aca="false">Sensitivity!B18</f>
        <v>2.40599405248258</v>
      </c>
      <c r="C658" s="418" t="n">
        <f aca="false">Sensitivity!C18</f>
        <v>10.9810134418601</v>
      </c>
      <c r="D658" s="418" t="n">
        <f aca="false">Sensitivity!D18</f>
        <v>19.5560328312376</v>
      </c>
      <c r="E658" s="418" t="n">
        <f aca="false">Sensitivity!E18</f>
        <v>28.1310522206151</v>
      </c>
      <c r="F658" s="418" t="n">
        <f aca="false">Sensitivity!F18</f>
        <v>36.7060716099927</v>
      </c>
    </row>
    <row r="659" customFormat="false" ht="15" hidden="false" customHeight="false" outlineLevel="0" collapsed="false">
      <c r="A659" s="443" t="n">
        <f aca="false">Sensitivity!A19</f>
        <v>0.5</v>
      </c>
      <c r="B659" s="418" t="n">
        <f aca="false">Sensitivity!B19</f>
        <v>-1.23189296119273</v>
      </c>
      <c r="C659" s="418" t="n">
        <f aca="false">Sensitivity!C19</f>
        <v>6.56357921096865</v>
      </c>
      <c r="D659" s="418" t="n">
        <f aca="false">Sensitivity!D19</f>
        <v>14.35905138313</v>
      </c>
      <c r="E659" s="418" t="n">
        <f aca="false">Sensitivity!E19</f>
        <v>22.1545235552914</v>
      </c>
      <c r="F659" s="418" t="n">
        <f aca="false">Sensitivity!F19</f>
        <v>29.9499957274528</v>
      </c>
    </row>
    <row r="660" customFormat="false" ht="15" hidden="false" customHeight="false" outlineLevel="0" collapsed="false">
      <c r="A660" s="416" t="s">
        <v>1279</v>
      </c>
      <c r="B660" s="433" t="n">
        <f aca="false">Sensitivity!B23</f>
        <v>0.14</v>
      </c>
      <c r="C660" s="433" t="n">
        <f aca="false">Sensitivity!C23</f>
        <v>0.16</v>
      </c>
      <c r="D660" s="433" t="n">
        <f aca="false">Sensitivity!D23</f>
        <v>0.18</v>
      </c>
      <c r="E660" s="433" t="n">
        <f aca="false">Sensitivity!E23</f>
        <v>0.2</v>
      </c>
      <c r="F660" s="433" t="n">
        <f aca="false">Sensitivity!F23</f>
        <v>0.22</v>
      </c>
    </row>
    <row r="661" customFormat="false" ht="15" hidden="false" customHeight="false" outlineLevel="0" collapsed="false">
      <c r="A661" s="421" t="n">
        <f aca="false">Sensitivity!A24</f>
        <v>0.118360839936764</v>
      </c>
      <c r="B661" s="418" t="n">
        <f aca="false">Sensitivity!B24</f>
        <v>56.267091259081</v>
      </c>
      <c r="C661" s="418" t="n">
        <f aca="false">Sensitivity!C24</f>
        <v>62.4301971696789</v>
      </c>
      <c r="D661" s="418" t="n">
        <f aca="false">Sensitivity!D24</f>
        <v>67.2237239890328</v>
      </c>
      <c r="E661" s="418" t="n">
        <f aca="false">Sensitivity!E24</f>
        <v>71.0585454445159</v>
      </c>
      <c r="F661" s="418" t="n">
        <f aca="false">Sensitivity!F24</f>
        <v>74.1961266353657</v>
      </c>
    </row>
    <row r="662" customFormat="false" ht="15" hidden="false" customHeight="false" outlineLevel="0" collapsed="false">
      <c r="A662" s="421" t="n">
        <f aca="false">Sensitivity!A25</f>
        <v>0.128360839936764</v>
      </c>
      <c r="B662" s="418" t="n">
        <f aca="false">Sensitivity!B25</f>
        <v>41.9840773490499</v>
      </c>
      <c r="C662" s="418" t="n">
        <f aca="false">Sensitivity!C25</f>
        <v>47.1266172424787</v>
      </c>
      <c r="D662" s="418" t="n">
        <f aca="false">Sensitivity!D25</f>
        <v>51.1263704929234</v>
      </c>
      <c r="E662" s="418" t="n">
        <f aca="false">Sensitivity!E25</f>
        <v>54.3261730932791</v>
      </c>
      <c r="F662" s="418" t="n">
        <f aca="false">Sensitivity!F25</f>
        <v>56.9441934026611</v>
      </c>
    </row>
    <row r="663" customFormat="false" ht="15" hidden="false" customHeight="false" outlineLevel="0" collapsed="false">
      <c r="A663" s="421" t="n">
        <f aca="false">Sensitivity!A26</f>
        <v>0.138360839936764</v>
      </c>
      <c r="B663" s="418" t="n">
        <f aca="false">Sensitivity!B26</f>
        <v>31.1780435683103</v>
      </c>
      <c r="C663" s="418" t="n">
        <f aca="false">Sensitivity!C26</f>
        <v>35.5417668873113</v>
      </c>
      <c r="D663" s="418" t="n">
        <f aca="false">Sensitivity!D26</f>
        <v>38.9357739132009</v>
      </c>
      <c r="E663" s="418" t="n">
        <f aca="false">Sensitivity!E26</f>
        <v>41.6509795339126</v>
      </c>
      <c r="F663" s="418" t="n">
        <f aca="false">Sensitivity!F26</f>
        <v>43.872511405404</v>
      </c>
    </row>
    <row r="664" customFormat="false" ht="15" hidden="false" customHeight="false" outlineLevel="0" collapsed="false">
      <c r="A664" s="421" t="n">
        <f aca="false">Sensitivity!A27</f>
        <v>0.148360839936764</v>
      </c>
      <c r="B664" s="418" t="n">
        <f aca="false">Sensitivity!B27</f>
        <v>22.7787186488152</v>
      </c>
      <c r="C664" s="418" t="n">
        <f aca="false">Sensitivity!C27</f>
        <v>26.531062935217</v>
      </c>
      <c r="D664" s="418" t="n">
        <f aca="false">Sensitivity!D27</f>
        <v>29.4495529357517</v>
      </c>
      <c r="E664" s="418" t="n">
        <f aca="false">Sensitivity!E27</f>
        <v>31.7843449361795</v>
      </c>
      <c r="F664" s="418" t="n">
        <f aca="false">Sensitivity!F27</f>
        <v>33.6946293001659</v>
      </c>
    </row>
    <row r="665" customFormat="false" ht="15" hidden="false" customHeight="false" outlineLevel="0" collapsed="false">
      <c r="A665" s="421" t="n">
        <f aca="false">Sensitivity!A28</f>
        <v>0.158360839936764</v>
      </c>
      <c r="B665" s="418" t="n">
        <f aca="false">Sensitivity!B28</f>
        <v>16.1113815674334</v>
      </c>
      <c r="C665" s="418" t="n">
        <f aca="false">Sensitivity!C28</f>
        <v>19.3729393774341</v>
      </c>
      <c r="D665" s="418" t="n">
        <f aca="false">Sensitivity!D28</f>
        <v>21.9097065629902</v>
      </c>
      <c r="E665" s="418" t="n">
        <f aca="false">Sensitivity!E28</f>
        <v>23.9391203114351</v>
      </c>
      <c r="F665" s="418" t="n">
        <f aca="false">Sensitivity!F28</f>
        <v>25.5995497419809</v>
      </c>
    </row>
    <row r="666" customFormat="false" ht="15" hidden="false" customHeight="false" outlineLevel="0" collapsed="false">
      <c r="A666" s="248" t="s">
        <v>1280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64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90"/>
  </cols>
  <sheetData>
    <row r="1" customFormat="false" ht="16.15" hidden="false" customHeight="false" outlineLevel="0" collapsed="false">
      <c r="A1" s="402" t="s">
        <v>1281</v>
      </c>
    </row>
    <row r="3" customFormat="false" ht="48" hidden="false" customHeight="true" outlineLevel="0" collapsed="false">
      <c r="A3" s="186" t="s">
        <v>1282</v>
      </c>
      <c r="B3" s="444" t="s">
        <v>1283</v>
      </c>
      <c r="C3" s="444"/>
      <c r="D3" s="444"/>
    </row>
    <row r="4" customFormat="false" ht="48" hidden="false" customHeight="true" outlineLevel="0" collapsed="false">
      <c r="A4" s="186" t="s">
        <v>1284</v>
      </c>
      <c r="B4" s="444" t="s">
        <v>1285</v>
      </c>
      <c r="C4" s="444"/>
      <c r="D4" s="444"/>
    </row>
    <row r="5" customFormat="false" ht="48" hidden="false" customHeight="true" outlineLevel="0" collapsed="false">
      <c r="A5" s="186" t="s">
        <v>1286</v>
      </c>
      <c r="B5" s="444" t="s">
        <v>1287</v>
      </c>
      <c r="C5" s="444"/>
      <c r="D5" s="444"/>
    </row>
    <row r="6" customFormat="false" ht="48" hidden="false" customHeight="true" outlineLevel="0" collapsed="false">
      <c r="A6" s="186" t="s">
        <v>1288</v>
      </c>
      <c r="B6" s="444" t="s">
        <v>1289</v>
      </c>
      <c r="C6" s="444"/>
      <c r="D6" s="444"/>
    </row>
    <row r="7" customFormat="false" ht="48" hidden="false" customHeight="true" outlineLevel="0" collapsed="false">
      <c r="A7" s="186" t="s">
        <v>1290</v>
      </c>
      <c r="B7" s="444" t="s">
        <v>1291</v>
      </c>
      <c r="C7" s="444"/>
      <c r="D7" s="444"/>
    </row>
    <row r="10" customFormat="false" ht="15" hidden="false" customHeight="false" outlineLevel="0" collapsed="false">
      <c r="A10" s="250" t="s">
        <v>1292</v>
      </c>
    </row>
    <row r="11" customFormat="false" ht="15" hidden="false" customHeight="false" outlineLevel="0" collapsed="false">
      <c r="A11" s="247" t="s">
        <v>1293</v>
      </c>
      <c r="B11" s="247" t="s">
        <v>1294</v>
      </c>
      <c r="C11" s="247" t="s">
        <v>1295</v>
      </c>
      <c r="D11" s="247" t="s">
        <v>1296</v>
      </c>
    </row>
    <row r="12" customFormat="false" ht="39.75" hidden="false" customHeight="true" outlineLevel="0" collapsed="false">
      <c r="A12" s="416" t="s">
        <v>11</v>
      </c>
      <c r="B12" s="416" t="s">
        <v>1297</v>
      </c>
      <c r="C12" s="444" t="s">
        <v>1298</v>
      </c>
      <c r="D12" s="444" t="s">
        <v>1299</v>
      </c>
    </row>
    <row r="13" customFormat="false" ht="39.75" hidden="false" customHeight="true" outlineLevel="0" collapsed="false">
      <c r="A13" s="416" t="s">
        <v>11</v>
      </c>
      <c r="B13" s="416" t="s">
        <v>1300</v>
      </c>
      <c r="C13" s="444" t="s">
        <v>1301</v>
      </c>
      <c r="D13" s="444" t="s">
        <v>1302</v>
      </c>
    </row>
    <row r="14" customFormat="false" ht="39.75" hidden="false" customHeight="true" outlineLevel="0" collapsed="false">
      <c r="A14" s="416" t="s">
        <v>13</v>
      </c>
      <c r="B14" s="416" t="s">
        <v>1303</v>
      </c>
      <c r="C14" s="444" t="s">
        <v>1304</v>
      </c>
      <c r="D14" s="444" t="s">
        <v>1305</v>
      </c>
    </row>
    <row r="15" customFormat="false" ht="39.75" hidden="false" customHeight="true" outlineLevel="0" collapsed="false">
      <c r="A15" s="416" t="s">
        <v>13</v>
      </c>
      <c r="B15" s="416" t="s">
        <v>1306</v>
      </c>
      <c r="C15" s="444" t="s">
        <v>1307</v>
      </c>
      <c r="D15" s="444" t="s">
        <v>1308</v>
      </c>
    </row>
    <row r="16" customFormat="false" ht="39.75" hidden="false" customHeight="true" outlineLevel="0" collapsed="false">
      <c r="A16" s="416" t="s">
        <v>13</v>
      </c>
      <c r="B16" s="416" t="s">
        <v>1309</v>
      </c>
      <c r="C16" s="444" t="s">
        <v>1310</v>
      </c>
      <c r="D16" s="444" t="s">
        <v>1311</v>
      </c>
    </row>
    <row r="17" customFormat="false" ht="39.75" hidden="false" customHeight="true" outlineLevel="0" collapsed="false">
      <c r="A17" s="416" t="s">
        <v>552</v>
      </c>
      <c r="B17" s="416" t="s">
        <v>1312</v>
      </c>
      <c r="C17" s="444" t="s">
        <v>1313</v>
      </c>
      <c r="D17" s="444" t="s">
        <v>1314</v>
      </c>
    </row>
    <row r="18" customFormat="false" ht="39.75" hidden="false" customHeight="true" outlineLevel="0" collapsed="false">
      <c r="A18" s="416" t="s">
        <v>684</v>
      </c>
      <c r="B18" s="416" t="s">
        <v>1315</v>
      </c>
      <c r="C18" s="444" t="s">
        <v>1316</v>
      </c>
      <c r="D18" s="444" t="s">
        <v>1317</v>
      </c>
    </row>
    <row r="19" customFormat="false" ht="39.75" hidden="false" customHeight="true" outlineLevel="0" collapsed="false">
      <c r="A19" s="416" t="s">
        <v>40</v>
      </c>
      <c r="B19" s="416" t="s">
        <v>1318</v>
      </c>
      <c r="C19" s="444" t="s">
        <v>1319</v>
      </c>
      <c r="D19" s="444" t="s">
        <v>1320</v>
      </c>
    </row>
    <row r="20" customFormat="false" ht="39.75" hidden="false" customHeight="true" outlineLevel="0" collapsed="false">
      <c r="A20" s="416" t="s">
        <v>40</v>
      </c>
      <c r="B20" s="416" t="s">
        <v>1321</v>
      </c>
      <c r="C20" s="444" t="s">
        <v>1322</v>
      </c>
      <c r="D20" s="444" t="s">
        <v>1323</v>
      </c>
    </row>
    <row r="21" customFormat="false" ht="39.75" hidden="false" customHeight="true" outlineLevel="0" collapsed="false">
      <c r="A21" s="416" t="s">
        <v>108</v>
      </c>
      <c r="B21" s="416" t="s">
        <v>1324</v>
      </c>
      <c r="C21" s="444" t="s">
        <v>1325</v>
      </c>
      <c r="D21" s="444" t="s">
        <v>1326</v>
      </c>
    </row>
    <row r="22" customFormat="false" ht="39.75" hidden="false" customHeight="true" outlineLevel="0" collapsed="false">
      <c r="A22" s="416" t="s">
        <v>108</v>
      </c>
      <c r="B22" s="416" t="s">
        <v>1327</v>
      </c>
      <c r="C22" s="444" t="s">
        <v>1328</v>
      </c>
      <c r="D22" s="444" t="s">
        <v>1329</v>
      </c>
    </row>
    <row r="23" customFormat="false" ht="39.75" hidden="false" customHeight="true" outlineLevel="0" collapsed="false">
      <c r="A23" s="416" t="s">
        <v>108</v>
      </c>
      <c r="B23" s="416" t="s">
        <v>1330</v>
      </c>
      <c r="C23" s="444" t="s">
        <v>1331</v>
      </c>
      <c r="D23" s="444" t="s">
        <v>1332</v>
      </c>
    </row>
    <row r="24" customFormat="false" ht="39.75" hidden="false" customHeight="true" outlineLevel="0" collapsed="false">
      <c r="A24" s="416" t="s">
        <v>108</v>
      </c>
      <c r="B24" s="416" t="s">
        <v>1333</v>
      </c>
      <c r="C24" s="444" t="s">
        <v>1334</v>
      </c>
      <c r="D24" s="444" t="s">
        <v>1335</v>
      </c>
    </row>
    <row r="25" customFormat="false" ht="39.75" hidden="false" customHeight="true" outlineLevel="0" collapsed="false">
      <c r="A25" s="416" t="s">
        <v>108</v>
      </c>
      <c r="B25" s="416" t="s">
        <v>1336</v>
      </c>
      <c r="C25" s="444" t="s">
        <v>1337</v>
      </c>
      <c r="D25" s="444" t="s">
        <v>1338</v>
      </c>
    </row>
    <row r="26" customFormat="false" ht="39.75" hidden="false" customHeight="true" outlineLevel="0" collapsed="false">
      <c r="A26" s="416" t="s">
        <v>676</v>
      </c>
      <c r="B26" s="416" t="s">
        <v>1339</v>
      </c>
      <c r="C26" s="444" t="s">
        <v>1340</v>
      </c>
      <c r="D26" s="444" t="s">
        <v>1341</v>
      </c>
    </row>
    <row r="27" customFormat="false" ht="39.75" hidden="false" customHeight="true" outlineLevel="0" collapsed="false">
      <c r="A27" s="416" t="s">
        <v>676</v>
      </c>
      <c r="B27" s="416" t="s">
        <v>1342</v>
      </c>
      <c r="C27" s="444" t="s">
        <v>1343</v>
      </c>
      <c r="D27" s="444" t="s">
        <v>1344</v>
      </c>
    </row>
  </sheetData>
  <mergeCells count="5">
    <mergeCell ref="B3:D3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2020-12-20T23:38:57Z</dcterms:created>
  <dc:creator>Christina Ross</dc:creator>
  <dc:description/>
  <dc:language>en-US</dc:language>
  <cp:lastModifiedBy>Thi Minh Anh Do</cp:lastModifiedBy>
  <dcterms:modified xsi:type="dcterms:W3CDTF">2026-09-29T07:20:32Z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