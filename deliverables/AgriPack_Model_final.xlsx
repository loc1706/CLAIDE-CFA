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_rels/workbook.xml.rels" ContentType="application/vnd.openxmlformats-package.relationships+xml"/>
  <Override PartName="/xl/media/image1.png" ContentType="image/png"/>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ướng dẫn" sheetId="1" state="visible" r:id="rId3"/>
    <sheet name="Investment" sheetId="2" state="hidden" r:id="rId4"/>
    <sheet name="Income Statement" sheetId="3" state="visible" r:id="rId5"/>
    <sheet name="Balance Sheet" sheetId="4" state="visible" r:id="rId6"/>
    <sheet name="Cash Flow Statement" sheetId="5" state="visible" r:id="rId7"/>
    <sheet name="Discount rate" sheetId="6" state="visible" r:id="rId8"/>
    <sheet name="Assumption" sheetId="7" state="visible" r:id="rId9"/>
    <sheet name="Drivers" sheetId="8" state="visible" r:id="rId10"/>
    <sheet name="Pro Forma" sheetId="9" state="visible" r:id="rId11"/>
    <sheet name="DCF" sheetId="10" state="visible" r:id="rId12"/>
    <sheet name="VCM" sheetId="11" state="visible" r:id="rId13"/>
    <sheet name="Multiples" sheetId="12" state="visible" r:id="rId14"/>
    <sheet name="Summary" sheetId="13" state="visible" r:id="rId15"/>
    <sheet name="Sensitivity" sheetId="14" state="visible" r:id="rId16"/>
    <sheet name="Checks" sheetId="15" state="visible" r:id="rId17"/>
    <sheet name="Sheet1" sheetId="16" state="visible" r:id="rId18"/>
    <sheet name="Chart_Data" sheetId="17" state="visible" r:id="rId19"/>
    <sheet name="Ghi chu" sheetId="18" state="visible" r:id="rId20"/>
  </sheet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Đề bài: "đầu tư lớn vào năm 2027; CAPEX/Doanh thu = 65%". File Excel mẫu lại khóa 65% ở cột 2028 (Assumption!G13). Base case theo đề bài (2027); nhập 2028 để chạy độ nhạy.</t>
        </r>
      </text>
    </comment>
  </commentList>
</comments>
</file>

<file path=xl/sharedStrings.xml><?xml version="1.0" encoding="utf-8"?>
<sst xmlns="http://schemas.openxmlformats.org/spreadsheetml/2006/main" count="2437" uniqueCount="1669">
  <si>
    <t xml:space="preserve">Three Statement Model</t>
  </si>
  <si>
    <t xml:space="preserve">Năm hiện tại</t>
  </si>
  <si>
    <t xml:space="preserve">LƯU Ý</t>
  </si>
  <si>
    <t xml:space="preserve">Model Legend</t>
  </si>
  <si>
    <t xml:space="preserve">Ô nhập liệu</t>
  </si>
  <si>
    <t xml:space="preserve">ABC</t>
  </si>
  <si>
    <t xml:space="preserve">Chỉ nhập dữ liệu vào những ô màu vàng này</t>
  </si>
  <si>
    <t xml:space="preserve">Tất cả các ô khác đã được nhập sẵn hàm hoặc là ô chứa dữ liệu cho trước. KHÔNG thay đổi những ô này!</t>
  </si>
  <si>
    <t xml:space="preserve">CẤU TRÚC FILE SAU KHI HOÀN THIỆN (Lộc)</t>
  </si>
  <si>
    <t xml:space="preserve">Drivers</t>
  </si>
  <si>
    <t xml:space="preserve">Mô hình động lực: sản lượng × giá theo 4 phân khúc, chi phí theo dòng, BCKQKD theo chức năng (70/30 tiền lương, 90/10 khấu hao), CAPEX/khấu hao, vốn lưu động, vay, thuế, kịch bản (ô chọn C3, C4). Cột K: nguồn/lý do của từng giả định.</t>
  </si>
  <si>
    <t xml:space="preserve">Assumption</t>
  </si>
  <si>
    <t xml:space="preserve">Tỷ lệ tổng hợp 2026E–2030E (liên kết từ Drivers) + g, RONIC (nguồn ở cột E).</t>
  </si>
  <si>
    <t xml:space="preserve">Pro Forma</t>
  </si>
  <si>
    <t xml:space="preserve">KQKD 5 năm, CAPEX, VLĐ, lưu chuyển tiền trước khi huy động vốn, nhu cầu vốn (B61:B63).</t>
  </si>
  <si>
    <t xml:space="preserve">IS / BS / CF</t>
  </si>
  <si>
    <t xml:space="preserve">Báo cáo tài chính đầy đủ 2023A–2030E; BCKQKD theo chức năng (VAS), EBITDA ghi nhớ ở IS hàng 82; BCĐKT cân (hàng 80).</t>
  </si>
  <si>
    <t xml:space="preserve">Discount rate</t>
  </si>
  <si>
    <t xml:space="preserve">WACC: Rf = bình quân lợi suất TPCP 10 năm 2016–2025 (bảng A28:D40), ERP Việt Nam, beta ngành → total beta, Kd, cơ cấu vốn mục tiêu; nguồn ở cột C.</t>
  </si>
  <si>
    <t xml:space="preserve">DCF / VCM / Multiples</t>
  </si>
  <si>
    <t xml:space="preserve">Định giá theo 3 phương pháp: DCF (FCFF), VC Method (thoái vốn 2030, z 40%), bội số EV/EBITDA và P/E của 14 DN bao bì niêm yết (DLOM 30%).</t>
  </si>
  <si>
    <t xml:space="preserve">Summary / Sensitivity</t>
  </si>
  <si>
    <t xml:space="preserve">Tổng hợp định giá (trọng số 40/40/20), football field, kịch bản, độ nhạy theo nhân tố vĩ mô – ngành (Summary hàng 48–58); bảng độ nhạy tính lại toàn bộ mô hình.</t>
  </si>
  <si>
    <t xml:space="preserve">Checks / Chart_Data / Ghi chu</t>
  </si>
  <si>
    <t xml:space="preserve">Kiểm tra toàn vẹn; dữ liệu cho từng Fig. của báo cáo; các chỉnh sửa template.</t>
  </si>
  <si>
    <t xml:space="preserve">Các khoản đầu tư dự kiến 5 năm</t>
  </si>
  <si>
    <t xml:space="preserve">Đơn giá
(nghìn đồng)</t>
  </si>
  <si>
    <t xml:space="preserve">Số lượng</t>
  </si>
  <si>
    <t xml:space="preserve">Thành tiền</t>
  </si>
  <si>
    <t xml:space="preserve">Tháng</t>
  </si>
  <si>
    <t xml:space="preserve">Năm</t>
  </si>
  <si>
    <t xml:space="preserve">Thời gian sử dụng</t>
  </si>
  <si>
    <t xml:space="preserve">Giá trị còn lại </t>
  </si>
  <si>
    <t xml:space="preserve">Nhà máy sản xuất</t>
  </si>
  <si>
    <t xml:space="preserve">Thiết bị sản xuất</t>
  </si>
  <si>
    <t xml:space="preserve">Xe tải chở hàng</t>
  </si>
  <si>
    <t xml:space="preserve">Kho hàng</t>
  </si>
  <si>
    <t xml:space="preserve">Đầu tư mạnh tăng trưởng mở rộng KD</t>
  </si>
  <si>
    <t xml:space="preserve">CAPEX/Revenue = 60%</t>
  </si>
  <si>
    <t xml:space="preserve">Nâng cấp văn phòng</t>
  </si>
  <si>
    <t xml:space="preserve">Income Statement</t>
  </si>
  <si>
    <t xml:space="preserve">Đơn vị: Nghìn đồng</t>
  </si>
  <si>
    <t xml:space="preserve">Ngoài kỳ dự phóng 5 năm – không sử dụng</t>
  </si>
  <si>
    <t xml:space="preserve">Doanh thu bán hàng</t>
  </si>
  <si>
    <t xml:space="preserve">Doanh thu 1</t>
  </si>
  <si>
    <t xml:space="preserve">Doanh thu 2</t>
  </si>
  <si>
    <t xml:space="preserve">Doanh thu 3</t>
  </si>
  <si>
    <t xml:space="preserve">Doanh thu 4</t>
  </si>
  <si>
    <t xml:space="preserve">(-) Khoản giảm trừ </t>
  </si>
  <si>
    <t xml:space="preserve">Doanh thu thuần</t>
  </si>
  <si>
    <t xml:space="preserve">Giá vốn hàng bán</t>
  </si>
  <si>
    <t xml:space="preserve">Chi phí biến đổi</t>
  </si>
  <si>
    <t xml:space="preserve">Chi phí cố định</t>
  </si>
  <si>
    <t xml:space="preserve">Tiền lương bộ phận sản xuất (70% quỹ lương)</t>
  </si>
  <si>
    <t xml:space="preserve">Khấu hao TSCĐ sản xuất (90% khấu hao)</t>
  </si>
  <si>
    <t xml:space="preserve">Tổng Giá vốn hàng bán</t>
  </si>
  <si>
    <t xml:space="preserve">Lợi nhuận gộp</t>
  </si>
  <si>
    <t xml:space="preserve">Biên lợi nhuận gộp</t>
  </si>
  <si>
    <t xml:space="preserve">Chi phí</t>
  </si>
  <si>
    <t xml:space="preserve">Chi phí Bán hàng và quản lý doanh nghiệp</t>
  </si>
  <si>
    <t xml:space="preserve">Tiền lương bộ phận bán hàng &amp; quản lý (30% quỹ lương)</t>
  </si>
  <si>
    <t xml:space="preserve">Thuê mặt bằng</t>
  </si>
  <si>
    <t xml:space="preserve">Khấu hao TSCĐ bộ phận bán hàng &amp; quản lý (10% khấu hao)</t>
  </si>
  <si>
    <t xml:space="preserve">Sửa chữa, bảo dưỡng</t>
  </si>
  <si>
    <t xml:space="preserve">Furniture &amp; Fixtures</t>
  </si>
  <si>
    <t xml:space="preserve">Chi phí dịch vụ chung (điện, nước...)</t>
  </si>
  <si>
    <t xml:space="preserve">Internet &amp; Communications </t>
  </si>
  <si>
    <t xml:space="preserve">Infrastructure Services</t>
  </si>
  <si>
    <t xml:space="preserve">Software</t>
  </si>
  <si>
    <t xml:space="preserve">Bank Service Charges</t>
  </si>
  <si>
    <t xml:space="preserve">Business Licenses and Permits</t>
  </si>
  <si>
    <t xml:space="preserve">Conferences, Dues, and Subscriptions</t>
  </si>
  <si>
    <t xml:space="preserve">Văn phòng phẩm</t>
  </si>
  <si>
    <t xml:space="preserve">Gifts</t>
  </si>
  <si>
    <t xml:space="preserve">Printing , Postage and Delivery</t>
  </si>
  <si>
    <t xml:space="preserve">Miscellaneous</t>
  </si>
  <si>
    <t xml:space="preserve">Recruiting Expense</t>
  </si>
  <si>
    <t xml:space="preserve">Hỗ trợ tiền ăn cho CNV</t>
  </si>
  <si>
    <t xml:space="preserve">Equipment Rental</t>
  </si>
  <si>
    <t xml:space="preserve">Other Tech Expense</t>
  </si>
  <si>
    <t xml:space="preserve">Professional Services (dùng cho: Kiểm nghiệm, chứng nhận &amp; R&amp;D vật liệu)</t>
  </si>
  <si>
    <t xml:space="preserve">Accounting Fees</t>
  </si>
  <si>
    <t xml:space="preserve">Legal Fees</t>
  </si>
  <si>
    <t xml:space="preserve">Consultant Fees</t>
  </si>
  <si>
    <t xml:space="preserve">Other Professional Services</t>
  </si>
  <si>
    <t xml:space="preserve">Marketing </t>
  </si>
  <si>
    <t xml:space="preserve">Public Relations</t>
  </si>
  <si>
    <t xml:space="preserve">Tổng Chi phí bán hàng và quản lý doanh nghiệp</t>
  </si>
  <si>
    <t xml:space="preserve">Tiền lương</t>
  </si>
  <si>
    <t xml:space="preserve">Tổng quỹ tiền lương (trước phân bổ)</t>
  </si>
  <si>
    <t xml:space="preserve">(−) Phân bổ vào giá vốn hàng bán (70%)</t>
  </si>
  <si>
    <t xml:space="preserve">(−) Phân bổ vào chi phí bán hàng &amp; QLDN (30%)</t>
  </si>
  <si>
    <t xml:space="preserve">Payroll Processing Fees</t>
  </si>
  <si>
    <t xml:space="preserve">Bonuses</t>
  </si>
  <si>
    <t xml:space="preserve">Commissions</t>
  </si>
  <si>
    <t xml:space="preserve">Tiền lương chưa phân bổ (= 0)</t>
  </si>
  <si>
    <t xml:space="preserve">Tổng chi phí bán hàng &amp; QLDN (theo chức năng)</t>
  </si>
  <si>
    <t xml:space="preserve">Lợi nhuận thuần từ HĐKD trước lãi vay (EBIT)</t>
  </si>
  <si>
    <t xml:space="preserve">Thu/chi khác</t>
  </si>
  <si>
    <t xml:space="preserve">Interest Income</t>
  </si>
  <si>
    <t xml:space="preserve">Other Income</t>
  </si>
  <si>
    <t xml:space="preserve">Chi phí tài chính</t>
  </si>
  <si>
    <t xml:space="preserve">Bad Debt Expense</t>
  </si>
  <si>
    <t xml:space="preserve">Khấu hao (ghi nhớ – đã phân bổ 90% vào GVHB, 10% vào CPBH &amp; QLDN)</t>
  </si>
  <si>
    <t xml:space="preserve">Amortization</t>
  </si>
  <si>
    <t xml:space="preserve">Tổng chi phí tài chính (khấu hao đã nằm trong GVHB và CPBH &amp; QLDN)</t>
  </si>
  <si>
    <t xml:space="preserve">Lợi nhuận trước thuế</t>
  </si>
  <si>
    <t xml:space="preserve">Thuế</t>
  </si>
  <si>
    <t xml:space="preserve">Thuế thu nhập doanh nghiệp</t>
  </si>
  <si>
    <t xml:space="preserve">Lợi nhuận sau thuế</t>
  </si>
  <si>
    <t xml:space="preserve">EBITDA = EBIT + khấu hao</t>
  </si>
  <si>
    <t xml:space="preserve">Biên EBITDA</t>
  </si>
  <si>
    <t xml:space="preserve">Balance Sheet</t>
  </si>
  <si>
    <t xml:space="preserve">Ngoài kỳ dự phóng – không sử dụng</t>
  </si>
  <si>
    <t xml:space="preserve">Tài sản ngắn hạn</t>
  </si>
  <si>
    <t xml:space="preserve">01/01/2023 (đầu kỳ)</t>
  </si>
  <si>
    <t xml:space="preserve">31/12/2023</t>
  </si>
  <si>
    <t xml:space="preserve">Tiền và các khoản tương đương tiền</t>
  </si>
  <si>
    <t xml:space="preserve">Tiền mặt</t>
  </si>
  <si>
    <t xml:space="preserve">Tổng tiền mặt</t>
  </si>
  <si>
    <t xml:space="preserve">Hàng tồn kho</t>
  </si>
  <si>
    <t xml:space="preserve">Tổng hàng tồn kho</t>
  </si>
  <si>
    <t xml:space="preserve">Khoản phải thu</t>
  </si>
  <si>
    <t xml:space="preserve">Phải thu khách hàng</t>
  </si>
  <si>
    <t xml:space="preserve">Tổng khoản phải thu</t>
  </si>
  <si>
    <t xml:space="preserve">Tài sản ngắn hạn khác</t>
  </si>
  <si>
    <t xml:space="preserve">Other Receivable</t>
  </si>
  <si>
    <t xml:space="preserve">Chi phí trả trước</t>
  </si>
  <si>
    <t xml:space="preserve">Prepaid Insurance</t>
  </si>
  <si>
    <t xml:space="preserve">-</t>
  </si>
  <si>
    <t xml:space="preserve">Unbilled Revenue</t>
  </si>
  <si>
    <t xml:space="preserve">Tổng tài sản ngắn hạn khác</t>
  </si>
  <si>
    <t xml:space="preserve">Tổng tài sản ngắn hạn</t>
  </si>
  <si>
    <t xml:space="preserve">Tài sản dài hạn</t>
  </si>
  <si>
    <t xml:space="preserve">Khấu khao</t>
  </si>
  <si>
    <t xml:space="preserve">Khấu hao lũy kế</t>
  </si>
  <si>
    <t xml:space="preserve">Accumulated Amortization</t>
  </si>
  <si>
    <t xml:space="preserve">Tài sản cố định vô hình</t>
  </si>
  <si>
    <t xml:space="preserve">Thiết bị, nhà xưởng</t>
  </si>
  <si>
    <t xml:space="preserve">Văn phòng</t>
  </si>
  <si>
    <t xml:space="preserve">Tổng tài sản dài hạn</t>
  </si>
  <si>
    <t xml:space="preserve">Tổng tài sản</t>
  </si>
  <si>
    <t xml:space="preserve">Nợ phải trả và Vốn chủ sở hữu</t>
  </si>
  <si>
    <t xml:space="preserve">Nợ ngắn hạn</t>
  </si>
  <si>
    <t xml:space="preserve">Khoản phải trả</t>
  </si>
  <si>
    <t xml:space="preserve">Phải trả người bán</t>
  </si>
  <si>
    <t xml:space="preserve">Tổng khoản khải trả</t>
  </si>
  <si>
    <t xml:space="preserve">Credit Cards</t>
  </si>
  <si>
    <t xml:space="preserve">Credit Card 1</t>
  </si>
  <si>
    <t xml:space="preserve">Credit Card 2</t>
  </si>
  <si>
    <t xml:space="preserve">Total Credit Cards Payable</t>
  </si>
  <si>
    <t xml:space="preserve">Nợ vay ngắn hạn</t>
  </si>
  <si>
    <t xml:space="preserve">Khoản vay 1</t>
  </si>
  <si>
    <t xml:space="preserve">Tổng nợ vay ngắn hạn</t>
  </si>
  <si>
    <t xml:space="preserve">Deferred Income/Advances from Customers</t>
  </si>
  <si>
    <t xml:space="preserve">Deferred Income - current</t>
  </si>
  <si>
    <t xml:space="preserve">Total Deferred Income</t>
  </si>
  <si>
    <t xml:space="preserve">Nợ phải trả ngắn hạn khác</t>
  </si>
  <si>
    <t xml:space="preserve">Accrued Expenses</t>
  </si>
  <si>
    <t xml:space="preserve">Accrued Income Taxes</t>
  </si>
  <si>
    <t xml:space="preserve">Tổng nợ phải trả ngắn hạn khác</t>
  </si>
  <si>
    <t xml:space="preserve">Tổng nợ ngắn hạn</t>
  </si>
  <si>
    <t xml:space="preserve">Nợ dài hạn</t>
  </si>
  <si>
    <t xml:space="preserve">Nợ vay dài hạn</t>
  </si>
  <si>
    <t xml:space="preserve">Deferred Income Taxes</t>
  </si>
  <si>
    <t xml:space="preserve">Nợ dài hạn khác</t>
  </si>
  <si>
    <t xml:space="preserve">Tổng nợ dài hạn</t>
  </si>
  <si>
    <t xml:space="preserve">Tổng nợ phải trả</t>
  </si>
  <si>
    <t xml:space="preserve">Vốn chủ sở hữu</t>
  </si>
  <si>
    <t xml:space="preserve">Paid-in Capital</t>
  </si>
  <si>
    <t xml:space="preserve">Vốn cổ phần</t>
  </si>
  <si>
    <t xml:space="preserve">Preferred Stock</t>
  </si>
  <si>
    <t xml:space="preserve">Vốn cổ phần tăng thêm</t>
  </si>
  <si>
    <t xml:space="preserve">Capital Raising Round B</t>
  </si>
  <si>
    <t xml:space="preserve">Capital Raising Round C</t>
  </si>
  <si>
    <t xml:space="preserve">Lợi nhuận giữ lại</t>
  </si>
  <si>
    <t xml:space="preserve">Tổng vốn chủ sở hữu</t>
  </si>
  <si>
    <t xml:space="preserve">Tổng Nợ phải trả và Vốn chủ sở hữu</t>
  </si>
  <si>
    <t xml:space="preserve">Statement of Cash Flows</t>
  </si>
  <si>
    <t xml:space="preserve">Hoạt động kinh doanh</t>
  </si>
  <si>
    <t xml:space="preserve">Khấu hao</t>
  </si>
  <si>
    <t xml:space="preserve">Biến động Tài sản ngắn hạn</t>
  </si>
  <si>
    <t xml:space="preserve">Biến động Nợ ngắn hạn</t>
  </si>
  <si>
    <t xml:space="preserve">Nợ ngắn hạn khác</t>
  </si>
  <si>
    <t xml:space="preserve">Lưu chuyển tiền thuần từ hoạt động kinh doanh</t>
  </si>
  <si>
    <t xml:space="preserve">Đầu tư</t>
  </si>
  <si>
    <t xml:space="preserve">Biến động Tài sản cố định</t>
  </si>
  <si>
    <t xml:space="preserve">Lưu chuyển tiền thuần từ hoạt động đầu tư</t>
  </si>
  <si>
    <t xml:space="preserve">Tài chính</t>
  </si>
  <si>
    <t xml:space="preserve">Nhận vốn góp cổ phần</t>
  </si>
  <si>
    <t xml:space="preserve">Vay (trả) nợ dài hạn</t>
  </si>
  <si>
    <t xml:space="preserve">Lưu chuyển tiền thuần từ hoạt động tài chính</t>
  </si>
  <si>
    <t xml:space="preserve">Số dư tiền mặt đầu kỳ</t>
  </si>
  <si>
    <t xml:space="preserve">Biến động tiền mặt trong kỳ</t>
  </si>
  <si>
    <t xml:space="preserve">Số dư tiền mặt cuối kỳ</t>
  </si>
  <si>
    <t xml:space="preserve">Discount rate calculation</t>
  </si>
  <si>
    <t xml:space="preserve">Beta</t>
  </si>
  <si>
    <t xml:space="preserve">Beta tổng của AgriPack (B23 = beta có đòn bẩy / ρ); chỉ dùng trong chi phí vốn chủ sở hữu ở E3.</t>
  </si>
  <si>
    <t xml:space="preserve">Chi phí vốn CSH</t>
  </si>
  <si>
    <t xml:space="preserve">CAPM: Ke = Rf + β × (Rm − Rf)</t>
  </si>
  <si>
    <t xml:space="preserve">Risk-free rate</t>
  </si>
  <si>
    <t xml:space="preserve">Chi phí vốn nợ (sau thuế)</t>
  </si>
  <si>
    <t xml:space="preserve">Kd × (1 − thuế suất)</t>
  </si>
  <si>
    <t xml:space="preserve">Market return</t>
  </si>
  <si>
    <t xml:space="preserve">Rm = Rf + ERP Việt Nam (B24). Thị trường có beta bằng 1 nên lợi suất thị trường không nhân beta.</t>
  </si>
  <si>
    <t xml:space="preserve">WACC</t>
  </si>
  <si>
    <t xml:space="preserve">WACC = E/(D + E) × Ke + D/(D + E) × Kd × (1 − t)</t>
  </si>
  <si>
    <t xml:space="preserve">Vốn CSH</t>
  </si>
  <si>
    <t xml:space="preserve">Total</t>
  </si>
  <si>
    <t xml:space="preserve">CƠ SỞ TÍNH CHI PHÍ VỐN </t>
  </si>
  <si>
    <t xml:space="preserve">Nguồn / lý do (ghi ngay cạnh ô giả định)</t>
  </si>
  <si>
    <t xml:space="preserve">Lợi suất phi rủi ro Rf = bình quân lợi suất TPCP 10 năm, 2016–2025</t>
  </si>
  <si>
    <t xml:space="preserve">Lý do: bình quân lợi suất TPCP kỳ hạn 10 năm của 10 năm 2016–2025 (bảng A28:D40) để không đưa đỉnh/đáy chu kỳ lãi suất vào chi phí vốn dài hạn</t>
  </si>
  <si>
    <t xml:space="preserve">ERP thị trường phát triển</t>
  </si>
  <si>
    <t xml:space="preserve">Nguồn: Damodaran (01/2026) – ERP thị trường trưởng thành (Aaa) 4,23%; bản 07/2026: 4,20%.</t>
  </si>
  <si>
    <t xml:space="preserve">Lãi suất vay trước thuế (Kd)</t>
  </si>
  <si>
    <t xml:space="preserve">Lý do: lãi suất cho vay VND 8,1–10,5%/năm (6/2026); DN nhỏ vay ở nửa trên khung → 10%. Nguồn: NHNN (2026), Mục 3.1.3.</t>
  </si>
  <si>
    <t xml:space="preserve">Phần bù rủi ro quốc gia Việt Nam (CRP)</t>
  </si>
  <si>
    <t xml:space="preserve">ƯỚC TÍNH: Moody's Ba2 (triển vọng tích cực từ 5/2026); chênh lệch vỡ nợ Ba2 ~2,9% × hệ số biến động cổ phiếu/trái phiếu ~1,35 (phương pháp Damodaran). Nguồn: Moody's (2026); Damodaran (2026).</t>
  </si>
  <si>
    <t xml:space="preserve">ERP Việt Nam = ERP phát triển + CRP</t>
  </si>
  <si>
    <t xml:space="preserve">Beta không đòn bẩy ngành bao bì (βu)</t>
  </si>
  <si>
    <t xml:space="preserve">Nguồn: Damodaran (01/2026) – beta không đòn bẩy ngành Packaging &amp; Container 0,78 (hiệu chỉnh tiền mặt 0,81). Beta 2 năm của DN bao bì niêm yết VN thấp (~0,6) do thanh khoản mỏng nên không dùng.</t>
  </si>
  <si>
    <t xml:space="preserve">D/E mục tiêu (BCĐKT dự phóng 2027, sau huy động)</t>
  </si>
  <si>
    <t xml:space="preserve">Công thức: D/E theo BCĐKT dự phóng cuối 2027 (sau huy động vốn cổ phần và khoản vay trung hạn).</t>
  </si>
  <si>
    <t xml:space="preserve">Thuế suất</t>
  </si>
  <si>
    <t xml:space="preserve">Nguồn: Luật Thuế TNDN 67/2025/QH15 (20%).</t>
  </si>
  <si>
    <t xml:space="preserve">Beta có đòn bẩy = βu × [1 + (1 − t) × D/E]</t>
  </si>
  <si>
    <t xml:space="preserve">Hệ số tương quan ρ (NĐT VC đa dạng hóa một phần)</t>
  </si>
  <si>
    <t xml:space="preserve">Công thức: beta tổng = beta có đòn bẩy / ρ (B23 = B21/B22), trong đó ρ là hệ số tương quan giữa danh mục của nhà đầu tư VC và thị trường. ρ = 0,7 vì quỹ VC nắm 20–30 khoản đầu tư nên chỉ đa dạng hóa một phần. Nguồn: Damodaran (2009), Valuing Young, Start-up and Growth Companies.</t>
  </si>
  <si>
    <t xml:space="preserve">Beta điều chỉnh cho startup (total beta = β / ρ)</t>
  </si>
  <si>
    <t xml:space="preserve">Lợi suất thị trường kỳ vọng = Rf + ERP Việt Nam</t>
  </si>
  <si>
    <t xml:space="preserve">Ghi chú: Trọng số theo cơ cấu vốn mục tiêu (BCĐKT dự phóng cuối 2027, sau Series A và khoản vay trung hạn). CAPM với total beta phản ánh rủi ro phi hệ thống mà NĐT VC không đa dạng hóa hết; rủi ro thất bại được xử lý riêng ở VCM để tránh tính trùng.</t>
  </si>
  <si>
    <t xml:space="preserve">LỢI SUẤT TPCP KỲ HẠN 10 NĂM – BÌNH QUÂN 10 NĂM (cơ sở của Rf)</t>
  </si>
  <si>
    <t xml:space="preserve">Lợi suất 10 năm</t>
  </si>
  <si>
    <t xml:space="preserve">Thời điểm quan sát</t>
  </si>
  <si>
    <t xml:space="preserve">Nguồn</t>
  </si>
  <si>
    <t xml:space="preserve">Q1/2016 – lãi suất phát hành kỳ hạn 10 năm</t>
  </si>
  <si>
    <t xml:space="preserve">Oxford Business Group (2017). The Report: Vietnam 2017 – Attractive yields (bonds)</t>
  </si>
  <si>
    <t xml:space="preserve">10/2017 – lãi suất trúng thầu kỳ hạn 10 năm</t>
  </si>
  <si>
    <t xml:space="preserve">Vietnam News (2017), tin đấu thầu TPCP tháng 10/2017; tháng 11/2017: 5,41–5,91%</t>
  </si>
  <si>
    <t xml:space="preserve">03/12/2018 – lợi suất spot kỳ hạn 10 năm</t>
  </si>
  <si>
    <t xml:space="preserve">CEIC Data (dữ liệu HNX), Vietnam Government Bond Yield: Spot</t>
  </si>
  <si>
    <t xml:space="preserve">12/2019 – thị trường thứ cấp (mức thấp kỷ lục)</t>
  </si>
  <si>
    <t xml:space="preserve">Vietnam News (2020). Gov't bond yields hit record low</t>
  </si>
  <si>
    <t xml:space="preserve">12/2020 – thị trường thứ cấp (−34 bps so với 11/2020)</t>
  </si>
  <si>
    <t xml:space="preserve">VBMA (2021). Bond Market Report 12/2020; MBS Fixed Income 01/2021</t>
  </si>
  <si>
    <t xml:space="preserve">12/2021 – thị trường thứ cấp</t>
  </si>
  <si>
    <t xml:space="preserve">VBMA (2022). Bond Market Monthly Highlights 12/2021</t>
  </si>
  <si>
    <t xml:space="preserve">31/12/2022 – thị trường thứ cấp</t>
  </si>
  <si>
    <t xml:space="preserve">ADB AsianBondsOnline (2023); VBMA Monthly Bond Market Report 12/2022</t>
  </si>
  <si>
    <t xml:space="preserve">29/11/2023 – lãi suất trúng thầu kỳ hạn 10 năm</t>
  </si>
  <si>
    <t xml:space="preserve">VBMA (2023). Kết quả đấu thầu TPCP ngày 29/11/2023</t>
  </si>
  <si>
    <t xml:space="preserve">Cuối năm 2024 – lợi suất kỳ hạn 10 năm</t>
  </si>
  <si>
    <t xml:space="preserve">Thị trường Tài chính Tiền tệ (2025). Thị trường TPCP: kỳ hạn 10 năm tiếp tục chi phối nhu cầu</t>
  </si>
  <si>
    <t xml:space="preserve">Cuối năm 2025 – lợi suất kỳ hạn 10 năm</t>
  </si>
  <si>
    <t xml:space="preserve">VNDirect (2025). La bàn thị trường; Thị trường Tài chính Tiền tệ (2026)</t>
  </si>
  <si>
    <t xml:space="preserve">Bình quân 2016–2025 = Rf dùng trong CAPM</t>
  </si>
  <si>
    <t xml:space="preserve">Tham khảo: lợi suất hiện hành đầu 06/2026 ~4,47%; 03/04/2026 4,35% (TradingEconomics). Dùng bình quân 10 năm để không đưa đỉnh/đáy chu kỳ lãi suất vào chi phí vốn dài hạn; 2016–2017 dùng quan sát phát hành/đấu thầu gần nhất có nguồn.</t>
  </si>
  <si>
    <t xml:space="preserve">% Tăng trưởng doanh thu</t>
  </si>
  <si>
    <t xml:space="preserve">GVHB/Doanh thu</t>
  </si>
  <si>
    <t xml:space="preserve">Tổng CP hoạt động/Doanh thu</t>
  </si>
  <si>
    <t xml:space="preserve">CP Tài chính/Doanh thu</t>
  </si>
  <si>
    <t xml:space="preserve">TSNH (ngoài tiền)/Doanh thu</t>
  </si>
  <si>
    <t xml:space="preserve">Nợ ngắn hạn (ngoài vay)/Doanh thu</t>
  </si>
  <si>
    <t xml:space="preserve">Hàng tồn kho/TSNH ngoài tiền</t>
  </si>
  <si>
    <t xml:space="preserve">Khoản phải thu/TSNH ngoài tiền</t>
  </si>
  <si>
    <t xml:space="preserve">Khoản phải trả/Nợ NH ngoài vay</t>
  </si>
  <si>
    <t xml:space="preserve">CAPEX/Doanh thu</t>
  </si>
  <si>
    <t xml:space="preserve">Thuế suất thuế TNDN</t>
  </si>
  <si>
    <t xml:space="preserve">Nguồn: Luật Thuế TNDN 67/2025/QH15 – thuế suất phổ thông 20% (dùng cho NOPAT dài hạn và P/E chuẩn hóa).</t>
  </si>
  <si>
    <t xml:space="preserve">Tỷ lệ tăng trưởng vĩnh viễn</t>
  </si>
  <si>
    <t xml:space="preserve">Lý do: tăng trưởng dài hạn danh nghĩa VND 5%: lạm phát mục tiêu ~4–4,5% cộng tăng trưởng thực thấp; thấp hơn GDP danh nghĩa VN (~10–12%) và thấp hơn Rf + tăng trưởng thực. Nguồn: NHNN, Quốc hội (mục tiêu CPI 2026 ~4,5%); Damodaran (2026).</t>
  </si>
  <si>
    <t xml:space="preserve">Tỷ lệ khấu hao</t>
  </si>
  <si>
    <t xml:space="preserve">Nguồn: file Excel mẫu (12% nguyên giá đầu kỳ), khớp BCTC 2024–2025.</t>
  </si>
  <si>
    <t xml:space="preserve">Tỷ lệ chiết khấu WACC</t>
  </si>
  <si>
    <t xml:space="preserve">Công thức: = WACC tính ở sheet Discount rate (E5).</t>
  </si>
  <si>
    <t xml:space="preserve">Lợi nhuận trên vốn đầu tư mới sau 2030 (RONIC) = ROIC 2030E</t>
  </si>
  <si>
    <t xml:space="preserve">Công thức: RONIC = ROIC 2030E của chính mô hình (DCF!B39 = NOPAT 2030/(tài sản dài hạn ròng + VLĐ)). Lý do: file mẫu tính giá trị cuối kỳ = FCFF 2031/(WACC − g); FCFF 2031 được chuẩn hóa = NOPAT 2031 × (1 − g/RONIC) để phần tái đầu tư chỉ vừa đủ cho tăng trưởng 5%/năm, vì FCFF 2030 còn chứa CAPEX của giai đoạn tăng ~20%. Lấy RONIC bằng ROIC 2030 nghĩa là vốn mới sinh lời như năm cuối dự phóng, không giả định thêm lợi thế; ROIC 2030 xấp xỉ WACC nên tăng trưởng sau 2030 gần như không tạo thêm giá trị (thận trọng). Nguồn: tính toán từ mô hình; Damodaran (2026).</t>
  </si>
  <si>
    <t xml:space="preserve">Ghi chú: các tỷ lệ 2026E–2030E là kết quả của mô hình động lực ở sheet Drivers (sản lượng × giá, chi phí theo dòng, số ngày VLĐ, lịch CAPEX/vay/thuế) để tránh giả định % doanh thu thiếu cơ sở.</t>
  </si>
  <si>
    <t xml:space="preserve">GIẢ ĐỊNH CHI TIẾT &amp; MÔ HÌNH ĐỘNG LỰC (DRIVERS) – AgriPack</t>
  </si>
  <si>
    <t xml:space="preserve">Đơn vị: nghìn đồng (trừ khi ghi khác). Ô vàng chữ xanh dương = giả định/số liệu nhập; chữ đen = công thức; chữ xanh lá = liên kết sheet khác. Lịch sử 2023A–2025A liên kết từ BCTC do đề bài cung cấp.</t>
  </si>
  <si>
    <t xml:space="preserve">Kịch bản đang chạy (1 = Bear, 2 = Base, 3 = Bull)</t>
  </si>
  <si>
    <t xml:space="preserve">Ô chọn kịch bản: mọi hàng giả định kịch bản (mục F) được chọn bằng INDEX theo ô này.</t>
  </si>
  <si>
    <t xml:space="preserve">Năm thực hiện khoản đầu tư lớn (CAPEX/Doanh thu = 65%)</t>
  </si>
  <si>
    <t xml:space="preserve">Đề bài ghi 2027; template khóa 65% ở cột 2028 → base case theo đề bài, 2028 là độ nhạy (xem Summary).</t>
  </si>
  <si>
    <t xml:space="preserve">Chỉ tiêu</t>
  </si>
  <si>
    <t xml:space="preserve">Đơn vị / cơ sở</t>
  </si>
  <si>
    <t xml:space="preserve">2023A</t>
  </si>
  <si>
    <t xml:space="preserve">2024A</t>
  </si>
  <si>
    <t xml:space="preserve">2025A</t>
  </si>
  <si>
    <t xml:space="preserve">2026E</t>
  </si>
  <si>
    <t xml:space="preserve">2027E</t>
  </si>
  <si>
    <t xml:space="preserve">2028E</t>
  </si>
  <si>
    <t xml:space="preserve">2029E</t>
  </si>
  <si>
    <t xml:space="preserve">2030E</t>
  </si>
  <si>
    <t xml:space="preserve">năm (dùng cho công thức)</t>
  </si>
  <si>
    <t xml:space="preserve">A. DOANH THU THEO PHÂN KHÚC (Sản lượng × Giá bán)</t>
  </si>
  <si>
    <t xml:space="preserve">A1. Bao bì F&amp;B/FMCG (hộp, khay ép khuôn từ bã mía + vỏ trứng)</t>
  </si>
  <si>
    <t xml:space="preserve">Giá bán bình quân (ASP)</t>
  </si>
  <si>
    <t xml:space="preserve">nghìn đ/sản phẩm</t>
  </si>
  <si>
    <t xml:space="preserve">Lý do: giá 2025 lấy cận dưới khung giá hộp/khay 2.500–4.000đ/cái của nhóm vì doanh thu gồm cả khay nhỏ và đơn hàng sỉ; cao hơn hộp bã mía 500 ml bán lẻ 1.900–2.700đ nhờ ép khuôn theo mẫu. Nguồn: bảng chiến lược giá (Mục 1.2.2; ecoeshop.com), bảng giá hộp 500 ml (Mục 1.1.1; QueenPack.com, baobixanh.com).</t>
  </si>
  <si>
    <t xml:space="preserve">Tăng giá bán bình quân</t>
  </si>
  <si>
    <t xml:space="preserve">%/năm</t>
  </si>
  <si>
    <t xml:space="preserve">Lý do: Base +2%/năm, thấp hơn CPI 8T/2026 (+4,45%) vì khách hàng B2B có sức mạnh đàm phán rất cao và bao bì nhựa rẻ hơn nhiều lần (Mục 3.1.2, 3.2.3); Bear +1%, Bull +2,5%. Nguồn: Cục Thống kê (2026); phân tích ngành của nhóm.</t>
  </si>
  <si>
    <t xml:space="preserve">Sản lượng quy đổi</t>
  </si>
  <si>
    <t xml:space="preserve">sản phẩm</t>
  </si>
  <si>
    <t xml:space="preserve">Lịch sử = doanh thu / ASP 2025 (quy đổi, giả định giá không đổi 2023–25 – do BCTC không công bố sản lượng).</t>
  </si>
  <si>
    <t xml:space="preserve">Tăng trưởng sản lượng</t>
  </si>
  <si>
    <t xml:space="preserve">%</t>
  </si>
  <si>
    <t xml:space="preserve">Lý do: sản lượng bị giới hạn bởi công suất: 2026 +32% nhờ máy ép bổ sung (CAPEX 20% DT); 2027 +22% do nhà máy mới đang xây; 2028 +35% khi 2 nhà máy mới chạy; giảm dần về +17% năm 2030. Lịch sử +60% (2024), +58% (2025). Đối chiếu: thị phần SAM tăng từ 4,3% lên ~11% năm 2030. Nguồn: BCTC 2023–2025 (đề bài); IMARC Group (2025); giả định của nhóm.</t>
  </si>
  <si>
    <t xml:space="preserve">Doanh thu F&amp;B/FMCG</t>
  </si>
  <si>
    <t xml:space="preserve">nghìn đồng</t>
  </si>
  <si>
    <t xml:space="preserve">A2. Thiết kế &amp; sản xuất khuôn theo mẫu</t>
  </si>
  <si>
    <t xml:space="preserve">Giá bình quân/bộ khuôn</t>
  </si>
  <si>
    <t xml:space="preserve">nghìn đ/bộ</t>
  </si>
  <si>
    <t xml:space="preserve">Lý do: ~20 triệu đồng/bộ khuôn, bằng giá tham chiếu khuôn ép bã mía/tre. Nguồn: bảng chiến lược giá (Mục 1.2.2; HTAECO.com).</t>
  </si>
  <si>
    <t xml:space="preserve">Tăng giá</t>
  </si>
  <si>
    <t xml:space="preserve">Số bộ khuôn bàn giao</t>
  </si>
  <si>
    <t xml:space="preserve">bộ</t>
  </si>
  <si>
    <t xml:space="preserve">Tăng trưởng số bộ khuôn</t>
  </si>
  <si>
    <t xml:space="preserve">Lý do: số bộ khuôn gắn với số SKU/khách hàng mới; tăng nhanh năm 2028 khi mở thị trường miền Bắc, sau đó chậm dần. Lịch sử +40% (2024), +39,5% (2025). Nguồn: BCTC 2023–2025; giả định của nhóm.</t>
  </si>
  <si>
    <t xml:space="preserve">Doanh thu thiết kế &amp; khuôn</t>
  </si>
  <si>
    <t xml:space="preserve">A3. Đệm bảo vệ nội thất / thương mại điện tử</t>
  </si>
  <si>
    <t xml:space="preserve">Giá bình quân</t>
  </si>
  <si>
    <t xml:space="preserve">nghìn đ/m²</t>
  </si>
  <si>
    <t xml:space="preserve">Lý do: trung điểm khung 15.000–30.000đ/m² của vật liệu đệm định hình (PE foam) mà sản phẩm thay thế. Nguồn: báo giá PE foam định hình trên thị trường (2026); Mục 3.2.6.</t>
  </si>
  <si>
    <t xml:space="preserve">Lý do: đệm bảo vệ cạnh tranh trực tiếp với EPE/PE foam giá rẻ (áp lực thay thế cao, Mục 3.2.6) nên chỉ tăng 1,5%/năm (Base); Bear 0,5%, Bull 2%. Nguồn: phân tích ngành của nhóm.</t>
  </si>
  <si>
    <t xml:space="preserve">Diện tích quy đổi</t>
  </si>
  <si>
    <t xml:space="preserve">m²</t>
  </si>
  <si>
    <t xml:space="preserve">Tăng trưởng diện tích</t>
  </si>
  <si>
    <t xml:space="preserve">Lý do: bám theo tăng trưởng TMĐT 18–25%/năm và khách hàng nội thất xuất khẩu; năm 2028 +40% nhờ công suất mới. Nguồn: Mục 3.2.2 (VECOM; Bộ Công Thương); BCTC 2023–2025.</t>
  </si>
  <si>
    <t xml:space="preserve">Doanh thu nội thất/TMĐT</t>
  </si>
  <si>
    <t xml:space="preserve">A4. Đệm bảo vệ thiết bị, linh kiện điện tử</t>
  </si>
  <si>
    <t xml:space="preserve">Lý do: trung điểm khung 25.000–55.000đ/m² của khay EPE/EPE chống tĩnh điện mà sản phẩm thay thế. Nguồn: báo giá khay EPE trên thị trường (2026); Mục 3.2.6.</t>
  </si>
  <si>
    <t xml:space="preserve">Lý do: nền nhỏ (1,2 tỷ đồng năm 2025); thay thế khay EPS/EPE cho khách hàng FDI điện tử khi chuỗi cung ứng xuất khẩu yêu cầu xanh hóa. Nguồn: Mục 3.2.2 (xuất khẩu 475 tỷ USD năm 2025, FDI chiếm 80%); BCTC 2024–2025.</t>
  </si>
  <si>
    <t xml:space="preserve">Doanh thu điện tử</t>
  </si>
  <si>
    <t xml:space="preserve">Tổng doanh thu gộp</t>
  </si>
  <si>
    <t xml:space="preserve">Khoản giảm trừ / doanh thu gộp</t>
  </si>
  <si>
    <t xml:space="preserve">Lý do: giữ mức 2025 (0,70% doanh thu gộp), xu hướng giảm từ 0,80% (2023). Nguồn: BCTC 2023–2025 (đề bài).</t>
  </si>
  <si>
    <t xml:space="preserve">Tăng trưởng doanh thu thuần</t>
  </si>
  <si>
    <t xml:space="preserve">Tỷ trọng F&amp;B/FMCG trong doanh thu gộp</t>
  </si>
  <si>
    <t xml:space="preserve">A5. Kiểm tra công suất (vòng quay tài sản) &amp; thị phần ngầm định</t>
  </si>
  <si>
    <t xml:space="preserve">Nguyên giá TSCĐ bình quân</t>
  </si>
  <si>
    <t xml:space="preserve">Vòng quay nguyên giá TSCĐ (DT thuần / NG bình quân)</t>
  </si>
  <si>
    <t xml:space="preserve">lần</t>
  </si>
  <si>
    <t xml:space="preserve">Vòng quay 2025 = 1,66x. Nếu vòng quay dự phóng &lt; 2025 → còn công suất trống (không cần CAPEX lớn tiếp theo); nếu &gt;&gt; 2025 → dự báo vượt công suất.</t>
  </si>
  <si>
    <t xml:space="preserve">Tỷ giá USD/VND bình quân</t>
  </si>
  <si>
    <t xml:space="preserve">VND/USD</t>
  </si>
  <si>
    <t xml:space="preserve">Lý do: dùng để quy đổi doanh thu sang USD khi so với TAM/SAM của IMARC. 2025: 26.000; 2026: 26.300; sau đó VND mất giá 2%/năm. Nguồn: Vietcombank (tỷ giá bán ra); MBS Research dự báo 26.800–27.000 cuối 2026 (Mục 3.1.4).</t>
  </si>
  <si>
    <t xml:space="preserve">Doanh thu F&amp;B/FMCG quy USD</t>
  </si>
  <si>
    <t xml:space="preserve">triệu USD</t>
  </si>
  <si>
    <t xml:space="preserve">SAM: bao bì dùng một lần phân hủy sinh học ngành F&amp;B VN</t>
  </si>
  <si>
    <t xml:space="preserve">Lý do: SAM = bao bì dùng một lần phân hủy sinh học cho ngành dịch vụ ăn uống VN, 33,93 triệu USD (2025), CAGR 4,73%. Nguồn: IMARC Group (2025), Mục 1.2.1.</t>
  </si>
  <si>
    <t xml:space="preserve">Thị phần ngầm định trong SAM</t>
  </si>
  <si>
    <t xml:space="preserve">Cờ đỏ nếu &gt; 15%: SAM của IMARC hẹp (chỉ đồ dùng một lần ngành dịch vụ ăn uống); cần luận điểm mở rộng thị trường (lộ trình dừng nhựa dùng một lần sau 2030, bao bì FMCG, xuất khẩu).</t>
  </si>
  <si>
    <t xml:space="preserve">TAM: thị trường bao bì xanh VN</t>
  </si>
  <si>
    <t xml:space="preserve">Lý do: TAM = thị trường bao bì xanh VN 1.129,79 triệu USD (2025), CAGR 4,15% (2026–2034). Nguồn: IMARC Group (2025), Mục 1.2.1.</t>
  </si>
  <si>
    <t xml:space="preserve">Thị phần ngầm định trong TAM (toàn bộ doanh thu)</t>
  </si>
  <si>
    <t xml:space="preserve">B. GIÁ VỐN &amp; CHI PHÍ HOẠT ĐỘNG</t>
  </si>
  <si>
    <t xml:space="preserve">Chi phí biến đổi (NVL, nhân công trực tiếp) / DT thuần</t>
  </si>
  <si>
    <t xml:space="preserve">Lý do: 25,5% → 25,0% → 24,5% (2023–25). Tăng lên 25,0–27,0% vì lạm phát tác động chủ yếu vào chi phí thu gom, vận chuyển, sấy và năng lượng (Mục 3.1.2), bã mía bị cạnh tranh bởi lò hơi nhà máy đường và các nhà sản xuất bao bì sợi trước mốc dừng nhựa dùng một lần 2030; năm đầu chạy nhà máy mới hao hụt cao. Nguồn: BCTC 2023–2025; Cục Thống kê (CPI 8T/2026 +4,45%, nhóm nhà ở-điện-nước +6,71%).</t>
  </si>
  <si>
    <t xml:space="preserve">Chi phí cố định sản xuất</t>
  </si>
  <si>
    <t xml:space="preserve">Tăng chi phí cố định sản xuất (nền)</t>
  </si>
  <si>
    <t xml:space="preserve">Lý do: giữ mức tăng 10%/năm như 2024–2025. Nguồn: BCTC 2023–2025 (đề bài).</t>
  </si>
  <si>
    <t xml:space="preserve">Chi phí cố định tăng thêm của nhà máy mới</t>
  </si>
  <si>
    <t xml:space="preserve">Lý do: bước nhảy chi phí cố định (phòng QC, bảo trì, quản đốc) 0,9 tỷ đồng/năm khi 2 nhà máy mới vận hành. Nguồn: giả định của nhóm.</t>
  </si>
  <si>
    <t xml:space="preserve">Giá vốn theo BCTC gốc (NVL, nhân công theo sản lượng, chi phí cố định SX)</t>
  </si>
  <si>
    <t xml:space="preserve">Theo tính chất, chưa gồm tiền lương và khấu hao. Là cơ sở tính số ngày tồn kho/phải trả (DIO, DPO) như BCTC 2023–2025.</t>
  </si>
  <si>
    <t xml:space="preserve">Chi phí nhân sự / DT thuần</t>
  </si>
  <si>
    <t xml:space="preserve">Lý do: 36,0% → 24,9% → 22,6% (2023–25). Giảm chậm lại (22,5–23,5%) vì lương tối thiểu vùng tăng 7,2% từ 01/01/2026 và nhà máy mới phải tuyển trước khi đạt công suất. Nguồn: BCTC 2023–2025; Nghị định 293/2025/NĐ-CP.</t>
  </si>
  <si>
    <t xml:space="preserve">Chi phí nhân sự (tiền lương)</t>
  </si>
  <si>
    <t xml:space="preserve">Hỗ trợ tiền ăn / tiền lương</t>
  </si>
  <si>
    <t xml:space="preserve">Lý do: giữ ~mức 2025 (28,8% quỹ lương). Nguồn: BCTC 2023–2025.</t>
  </si>
  <si>
    <t xml:space="preserve">Hỗ trợ tiền ăn CNV</t>
  </si>
  <si>
    <t xml:space="preserve">Tăng chi phí thuê mặt bằng</t>
  </si>
  <si>
    <t xml:space="preserve">Lý do: tiền thuê tăng 35%, 41% (2024–25) khi thuê thêm kho, xưởng. Sau đó tăng chậm (12%/năm) vì nhà máy mới là tài sản tự đầu tư; năm sau đầu tư lớn +30% do thuê kho vệ tinh gần khách hàng. Nguồn: BCTC 2023–2025; giả định của nhóm.</t>
  </si>
  <si>
    <t xml:space="preserve">Sửa chữa, bảo dưỡng / DT</t>
  </si>
  <si>
    <t xml:space="preserve">Lý do: giữ ~mức 2025 (4,4% DT; 2023–24: 4,9%, 5,2%). Nguồn: BCTC 2023–2025.</t>
  </si>
  <si>
    <t xml:space="preserve">Điện, nước, dịch vụ chung / DT</t>
  </si>
  <si>
    <t xml:space="preserve">Lý do: 6,2% → 5,8% → 4,7% (2023–25). Nâng lên 5,0% vì sấy, ép nhiệt tốn điện và giá bán lẻ điện bình quân tăng 4,8% ngày 11/10/2024 và 4,8% ngày 10/5/2025 (2.204,07 đ/kWh). Nguồn: BCTC 2023–2025; Quyết định 1279/QĐ-BCT (2025); Mục 3.1.2.</t>
  </si>
  <si>
    <t xml:space="preserve">Điện, nước, dịch vụ chung</t>
  </si>
  <si>
    <t xml:space="preserve">Marketing / DT</t>
  </si>
  <si>
    <t xml:space="preserve">Lý do: 4,7% → 3,1% → 2,4% (2023–25). Tăng lại 2,8–3,0% khi mở rộng ra miền Bắc và khách hàng FDI (hội chợ, mẫu thử). Nguồn: BCTC 2023–2025; Mục 1.2.1.</t>
  </si>
  <si>
    <t xml:space="preserve">Marketing</t>
  </si>
  <si>
    <t xml:space="preserve">Kiểm nghiệm, chứng nhận &amp; R&amp;D vật liệu / DT</t>
  </si>
  <si>
    <t xml:space="preserve">Lý do: dòng chi phí mới 0,6% DT cho kiểm nghiệm bao bì tiếp xúc trực tiếp với thực phẩm, chứng nhận phân hủy (BPI, OK compost) và R&amp;D lớp chống thấm không PFAS. Nguồn: Thông tư 27/2026/TT-BYT (hiệu lực 01/7/2026); Mục 3.1.6.1, 3.2.5.</t>
  </si>
  <si>
    <t xml:space="preserve">Kiểm nghiệm, chứng nhận &amp; R&amp;D</t>
  </si>
  <si>
    <t xml:space="preserve">Chi phí hoạt động theo tính chất (tiền lương + chi phí khác, không gồm khấu hao)</t>
  </si>
  <si>
    <t xml:space="preserve">EBITDA</t>
  </si>
  <si>
    <t xml:space="preserve">B2. BCKQKD theo chức năng (VAS): tiền lương 70% vào giá vốn – 30% vào CPBH &amp; QLDN; khấu hao 90% vào giá vốn – 10% vào CPBH &amp; QLDN</t>
  </si>
  <si>
    <t xml:space="preserve">Tiền lương bộ phận sản xuất (phân bổ vào giá vốn)</t>
  </si>
  <si>
    <t xml:space="preserve">Khấu hao TSCĐ sản xuất (phân bổ vào giá vốn)</t>
  </si>
  <si>
    <t xml:space="preserve">Tổng giá vốn hàng bán (theo chức năng)</t>
  </si>
  <si>
    <t xml:space="preserve">GVHB / DT thuần</t>
  </si>
  <si>
    <t xml:space="preserve">Biên lợi nhuận gộp (sau phân bổ tiền lương và khấu hao)</t>
  </si>
  <si>
    <t xml:space="preserve">BCTC gốc hạch toán toàn bộ tiền lương và khấu hao ngoài giá vốn nên biên gộp 69–73%. Mô hình phân bổ 70% tiền lương (công nhân, quản đốc, QC) và 90% khấu hao (máy ép, sấy, nhà xưởng) vào giá vốn theo đặc thù nhà máy sản xuất.</t>
  </si>
  <si>
    <t xml:space="preserve">Biên gộp theo BCTC gốc (tham khảo, chưa phân bổ)</t>
  </si>
  <si>
    <t xml:space="preserve">Tiền lương bộ phận bán hàng &amp; quản lý</t>
  </si>
  <si>
    <t xml:space="preserve">Khấu hao TSCĐ bộ phận bán hàng &amp; quản lý</t>
  </si>
  <si>
    <t xml:space="preserve">CPBH &amp; QLDN / DT thuần</t>
  </si>
  <si>
    <t xml:space="preserve">EBIT = DT thuần − GVHB − CPBH &amp; QLDN (= EBITDA − khấu hao)</t>
  </si>
  <si>
    <t xml:space="preserve">C. CAPEX, TÀI SẢN CỐ ĐỊNH &amp; KHẤU HAO</t>
  </si>
  <si>
    <t xml:space="preserve">CAPEX / DT thuần (tỷ lệ tái đầu tư)</t>
  </si>
  <si>
    <t xml:space="preserve">Lý do: tỷ lệ tái đầu tư = CAPEX/DT từng năm: 2026 20%, 2027 65% (đầu tư lớn theo đề bài), 2028 12% (hoàn thiện, chạy thử), 2029–30 10%. Ngành: trung vị CAPEX/DT của 16 DN bao bì niêm yết 2023–25 là 3,1%, tứ phân vị trên 8,3%, DN đang mở rộng 13–30% (Fig. A10); AgriPack cao hơn vì còn tăng trưởng 17–35%/năm và khấu hao chiếm 9–10% DT. Nguồn: đề bài (Mục III.2); FiinX (2026); BCTC 2023–2025.</t>
  </si>
  <si>
    <t xml:space="preserve">Tỷ lệ CAPEX năm thường</t>
  </si>
  <si>
    <t xml:space="preserve">Lý do: 2026: 20% (mức mặc định của file mẫu, tương đương 2024 là 20,4%) cho máy ép, xe tải, kho; sau mở rộng 10% ≈ khấu hao/DT (duy trì + nâng cấp). Nguồn: file Excel mẫu; BCTC 2023–2025; FiinX (Fig. A10).</t>
  </si>
  <si>
    <t xml:space="preserve">CAPEX</t>
  </si>
  <si>
    <t xml:space="preserve">Nguyên giá TSCĐ cuối kỳ</t>
  </si>
  <si>
    <t xml:space="preserve">Tỷ lệ khấu hao (% nguyên giá đầu kỳ)</t>
  </si>
  <si>
    <t xml:space="preserve">Lý do: 12% nguyên giá đầu kỳ, khớp số liệu 2024–2025. Nguồn: file Excel mẫu (Assumption!D17); BCTC 2024–2025.</t>
  </si>
  <si>
    <t xml:space="preserve">Giá trị còn lại TSCĐ</t>
  </si>
  <si>
    <t xml:space="preserve">Khấu hao / DT</t>
  </si>
  <si>
    <t xml:space="preserve">D. VỐN LƯU ĐỘNG</t>
  </si>
  <si>
    <t xml:space="preserve">Số ngày tồn kho (DIO, theo giá vốn chưa gồm lương, khấu hao)</t>
  </si>
  <si>
    <t xml:space="preserve">ngày</t>
  </si>
  <si>
    <t xml:space="preserve">Lý do: 152 → 123 → 106 ngày (2023–25), cao do tích trữ bã mía theo vụ ép (khoảng tháng 11–4). Giữ ~100 ngày; 2028 tăng lên 105 ngày để tích trữ cho 2 nhà máy mới. Nguồn: BCTC 2023–2025; lịch vụ ép mía.</t>
  </si>
  <si>
    <t xml:space="preserve">Số ngày phải thu (DSO, theo DT)</t>
  </si>
  <si>
    <t xml:space="preserve">Lý do: 24 → 18 → 14 ngày (2023–25), rất ngắn cho B2B vì nhiều khách F&amp;B nhỏ trả ngay. Khi phục vụ chuỗi F&amp;B, FMCG, FDI điện tử (điều khoản 30–45 ngày), DSO tăng dần lên 30 ngày. Nguồn: BCTC 2023–2025; Mục 3.2.7 (khách hàng B2B có sức mạnh cao).</t>
  </si>
  <si>
    <t xml:space="preserve">TSNH khác (chi phí trả trước...) / DT</t>
  </si>
  <si>
    <t xml:space="preserve">Lý do: 6,3% → 5,5% → 4,4% (2023–25); giữ 4,0%. Nguồn: BCTC 2023–2025.</t>
  </si>
  <si>
    <t xml:space="preserve">TSNH khác</t>
  </si>
  <si>
    <t xml:space="preserve">Số ngày phải trả (DPO, theo giá vốn chưa gồm lương, khấu hao)</t>
  </si>
  <si>
    <t xml:space="preserve">Lý do: 9 → 8 → 7 ngày (2023–25). Quy mô lớn hơn giúp đàm phán kỳ hạn 15 ngày với nhà máy đường và đơn vị thu gom. Nguồn: BCTC 2023–2025.</t>
  </si>
  <si>
    <t xml:space="preserve">Nợ ngắn hạn khác (không phải vay) / DT</t>
  </si>
  <si>
    <t xml:space="preserve">Lý do: giữ ~mức 2023–2025 (0,17–0,24% DT). Nguồn: BCTC 2023–2025.</t>
  </si>
  <si>
    <t xml:space="preserve">Vốn lưu động hoạt động thuần</t>
  </si>
  <si>
    <t xml:space="preserve">Thay đổi vốn lưu động</t>
  </si>
  <si>
    <t xml:space="preserve">VLĐ hoạt động / DT</t>
  </si>
  <si>
    <t xml:space="preserve">E. TÀI TRỢ, TIỀN MẶT TỐI THIỂU &amp; THUẾ TNDN</t>
  </si>
  <si>
    <t xml:space="preserve">Tiền mặt tối thiểu (% DT)</t>
  </si>
  <si>
    <t xml:space="preserve">Lý do: 5% DT ≈ 18 ngày chi phí tiền mặt, đệm cho vụ ép bã mía và kỳ thu tiền dài hơn. Nguồn: giả định của nhóm.</t>
  </si>
  <si>
    <t xml:space="preserve">Tiền mặt tối thiểu</t>
  </si>
  <si>
    <t xml:space="preserve">Vay ngắn hạn</t>
  </si>
  <si>
    <t xml:space="preserve">Lý do: giữ nguyên số dư 2025. Nguồn: BCTC 2025.</t>
  </si>
  <si>
    <t xml:space="preserve">Nợ vay dài hạn hiện hữu</t>
  </si>
  <si>
    <t xml:space="preserve">Lý do: giữ nguyên 1,5 tỷ đồng (đảo nợ; không có thông tin kỳ hạn). Nguồn: BCTC 2025.</t>
  </si>
  <si>
    <t xml:space="preserve">Tỷ lệ CAPEX năm đầu tư lớn tài trợ bằng vay xanh/trung hạn</t>
  </si>
  <si>
    <t xml:space="preserve">Lý do: 60% CAPEX nhà máy mới vay trung hạn có tài sản bảo đảm (nhà xưởng, máy); lãi suất cho vay 8,1–10,5% (Mục 3.1.3), có thể xin hỗ trợ lãi suất NATIF (Mục 3.1.5). Nguồn: NHNN (2026); NATIF (2026); giả định của nhóm.</t>
  </si>
  <si>
    <t xml:space="preserve">Vay trung hạn – giải ngân</t>
  </si>
  <si>
    <t xml:space="preserve">Vay trung hạn – trả gốc</t>
  </si>
  <si>
    <t xml:space="preserve">Lý do: kỳ hạn 7 năm, ân hạn gốc 2 năm, trả đều 5 năm. Nguồn: giả định của nhóm (thông lệ vay đầu tư trung hạn).</t>
  </si>
  <si>
    <t xml:space="preserve">Dư nợ vay trung hạn cuối kỳ</t>
  </si>
  <si>
    <t xml:space="preserve">Lý do: cuối 2025 chưa có khoản vay trung hạn nào cho nhà máy mới (số dư = 0). Nguồn: BCTC 2025.</t>
  </si>
  <si>
    <t xml:space="preserve">Tổng nợ vay dài hạn</t>
  </si>
  <si>
    <t xml:space="preserve">Lãi suất vay bình quân</t>
  </si>
  <si>
    <t xml:space="preserve">Chi phí lãi vay</t>
  </si>
  <si>
    <t xml:space="preserve">Lãi tính trên dư nợ bình quân (không vòng lặp vì dư nợ theo lịch vay).</t>
  </si>
  <si>
    <t xml:space="preserve">Chi phí tài chính / DT</t>
  </si>
  <si>
    <t xml:space="preserve">Vốn cổ phần huy động (Series A)</t>
  </si>
  <si>
    <t xml:space="preserve">Lý do: bằng nhu cầu vốn cổ phần ở Pro Forma!B63 (thiếu hụt tiền lớn nhất sau khoản vay + 10% dự phòng); là số vốn đầu tư dùng trong VC Method. Nguồn: mô hình.</t>
  </si>
  <si>
    <t xml:space="preserve">Lỗ tính thuế chuyển sang – đầu kỳ</t>
  </si>
  <si>
    <t xml:space="preserve">Lỗ được bù trừ trong kỳ</t>
  </si>
  <si>
    <t xml:space="preserve">Lỗ tính thuế chuyển sang – cuối kỳ</t>
  </si>
  <si>
    <t xml:space="preserve">Lý do: lỗ lũy kế chưa phân phối cuối 2025 (2,17 tỷ) được coi là lỗ tính thuế còn trong thời hạn chuyển lỗ 5 năm – vì vậy thuế TNDN 2025 = 0. Nguồn: BCTC 2025; Luật Thuế TNDN.</t>
  </si>
  <si>
    <t xml:space="preserve">Thuế suất TNDN áp dụng</t>
  </si>
  <si>
    <t xml:space="preserve">Lý do: 17% nếu tổng DT năm trước ≤ 50 tỷ đồng (2026: DT 2025 = 47,5 tỷ), 20% từ 2027. Không giả định miễn, giảm thuế khởi nghiệp sáng tạo (NQ 198/2025/QH15) vì chưa chứng minh đủ điều kiện. Nguồn: Luật Thuế TNDN 67/2025/QH15; Mục 3.1.6.3.</t>
  </si>
  <si>
    <t xml:space="preserve">Lợi nhuận trước thuế (từ BCKQKD)</t>
  </si>
  <si>
    <t xml:space="preserve">Thuế TNDN</t>
  </si>
  <si>
    <t xml:space="preserve">Thuế suất hiệu dụng</t>
  </si>
  <si>
    <t xml:space="preserve">F. KỊCH BẢN (Bear / Base / Bull) &amp; THAM SỐ</t>
  </si>
  <si>
    <t xml:space="preserve">Tham số theo kịch bản</t>
  </si>
  <si>
    <t xml:space="preserve">Bear</t>
  </si>
  <si>
    <t xml:space="preserve">Base</t>
  </si>
  <si>
    <t xml:space="preserve">Bull</t>
  </si>
  <si>
    <t xml:space="preserve">Hệ số nhân tăng trưởng sản lượng (mọi phân khúc)</t>
  </si>
  <si>
    <t xml:space="preserve">Lý do: Bear 0,7 (nhu cầu yếu, đối thủ nhập khẩu giá rẻ); Bull 1,2 (lộ trình hạn chế nhựa dùng một lần thực thi sớm, ký hợp đồng khung với chuỗi F&amp;B). Nguồn: giả định kịch bản của nhóm.</t>
  </si>
  <si>
    <t xml:space="preserve">Tăng giá bán F&amp;B và khuôn (%/năm)</t>
  </si>
  <si>
    <t xml:space="preserve">Lý do: xem hàng "Tăng giá bán bình quân". Nguồn: Cục Thống kê (CPI 2026); Mục 3.2.3.</t>
  </si>
  <si>
    <t xml:space="preserve">Tăng giá đệm bảo vệ (%/năm)</t>
  </si>
  <si>
    <t xml:space="preserve">Lý do: xem hàng "Tăng giá" của đệm bảo vệ. Nguồn: Mục 3.2.6.</t>
  </si>
  <si>
    <t xml:space="preserve">Chênh lệch chi phí biến đổi/DT so với Base (điểm %)</t>
  </si>
  <si>
    <t xml:space="preserve">Lý do: Bear +1 điểm % (giá bã mía, vận chuyển tăng mạnh); Bull −0,5 điểm % (tỷ lệ hao hụt giảm). Nguồn: giả định kịch bản.</t>
  </si>
  <si>
    <t xml:space="preserve">Chênh lệch chi phí nhân sự/DT so với Base (điểm %)</t>
  </si>
  <si>
    <t xml:space="preserve">Lý do: Bear +0,5 điểm %; Bull −0,5 điểm % (năng suất lao động). Nguồn: giả định kịch bản.</t>
  </si>
  <si>
    <t xml:space="preserve">Đường giả định nền theo năm (Base)</t>
  </si>
  <si>
    <t xml:space="preserve">Tăng trưởng sản lượng F&amp;B – đầu tư lớn năm 2027</t>
  </si>
  <si>
    <t xml:space="preserve">Lý do: xem hàng "Tăng trưởng sản lượng" (mục A1). Nguồn: BCTC 2023–2025; IMARC Group (2025); giả định của nhóm.</t>
  </si>
  <si>
    <t xml:space="preserve">Tăng trưởng sản lượng F&amp;B – đầu tư lớn năm 2028 (độ nhạy)</t>
  </si>
  <si>
    <t xml:space="preserve">Lý do: độ nhạy khi đầu tư lớn dời sang 2028 (vị trí 65% của file mẫu). Nguồn: file Excel mẫu; giả định của nhóm.</t>
  </si>
  <si>
    <t xml:space="preserve">Lý do: xem hàng "Tăng trưởng số bộ khuôn". Nguồn: giả định của nhóm.</t>
  </si>
  <si>
    <t xml:space="preserve">Tăng trưởng diện tích đệm nội thất/TMĐT</t>
  </si>
  <si>
    <t xml:space="preserve">Lý do: xem hàng "Tăng trưởng diện tích" (mục A3). Nguồn: VECOM; Bộ Công Thương (TMĐT +18–25%/năm).</t>
  </si>
  <si>
    <t xml:space="preserve">Tăng trưởng diện tích đệm điện tử</t>
  </si>
  <si>
    <t xml:space="preserve">Lý do: xem hàng "Tăng trưởng diện tích" (mục A4). Nguồn: Tổng cục Thống kê; Mục 3.2.2.</t>
  </si>
  <si>
    <t xml:space="preserve">Chi phí biến đổi/DT – Base</t>
  </si>
  <si>
    <t xml:space="preserve">Lý do: +1,5 điểm % năm đầu chạy nhà máy mới (hao hụt, đào tạo); 2030 tăng lại 27% do giá bã mía tăng khi nhiều nhà máy bao bì sợi cạnh tranh nguyên liệu trước mốc dừng nhựa dùng một lần 2030. Nguồn: BCTC 2023–2025; Mục 3.1.2, 3.2.3.</t>
  </si>
  <si>
    <t xml:space="preserve">Chi phí nhân sự/DT – Base</t>
  </si>
  <si>
    <t xml:space="preserve">Lý do: tuyển trước cho nhà máy mới (2027–28), sau đó đòn bẩy hoạt động. Nguồn: BCTC 2023–2025; Nghị định 293/2025/NĐ-CP.</t>
  </si>
  <si>
    <t xml:space="preserve">Tham số đơn</t>
  </si>
  <si>
    <t xml:space="preserve">CAPEX/DT năm đầu tư lớn (đề bài)</t>
  </si>
  <si>
    <t xml:space="preserve">Lý do: đề bài quy định đầu tư lớn năm 2027 với CAPEX/DT = 65%. Nguồn: đề bài (Mục III.2).</t>
  </si>
  <si>
    <t xml:space="preserve">CAPEX/DT năm sau đầu tư lớn</t>
  </si>
  <si>
    <t xml:space="preserve">Lý do: năm sau đầu tư lớn còn hoàn thiện, lắp đặt và chạy thử (12% DT). Nguồn: giả định của nhóm.</t>
  </si>
  <si>
    <t xml:space="preserve">Chi phí cố định sản xuất tăng thêm của 2 nhà máy mới (nghìn đồng)</t>
  </si>
  <si>
    <t xml:space="preserve">Lý do: xem hàng "Chi phí cố định tăng thêm của nhà máy mới". Nguồn: giả định của nhóm.</t>
  </si>
  <si>
    <t xml:space="preserve">Tăng tiền thuê – năm thường</t>
  </si>
  <si>
    <t xml:space="preserve">Lý do: tăng thuê theo diện tích kho khi sản lượng tăng. Nguồn: BCTC 2023–2025; giả định của nhóm.</t>
  </si>
  <si>
    <t xml:space="preserve">Tăng tiền thuê – năm đầu tư lớn</t>
  </si>
  <si>
    <t xml:space="preserve">Lý do: thuê thêm kho tạm khi xây nhà máy. Nguồn: giả định của nhóm.</t>
  </si>
  <si>
    <t xml:space="preserve">Tăng tiền thuê – năm sau đầu tư lớn</t>
  </si>
  <si>
    <t xml:space="preserve">Lý do: thuê đất KCN/kho vệ tinh cho 2 nhà máy mới. Nguồn: giả định của nhóm.</t>
  </si>
  <si>
    <t xml:space="preserve">Tăng tiền thuê – 2026</t>
  </si>
  <si>
    <t xml:space="preserve">Lý do: như năm thường. Nguồn: giả định của nhóm.</t>
  </si>
  <si>
    <t xml:space="preserve">Thuế suất TNDN cho DN có DT năm ≤ 50 tỷ (Luật 67/2025/QH15)</t>
  </si>
  <si>
    <t xml:space="preserve">Lý do: thuế suất 17% cho DN có tổng DT năm trên 3 tỷ đến không quá 50 tỷ đồng. Nguồn: Luật Thuế TNDN 67/2025/QH15 (Mục 3.1.6.3).</t>
  </si>
  <si>
    <t xml:space="preserve">Ngưỡng doanh thu áp dụng 17% (nghìn đồng)</t>
  </si>
  <si>
    <t xml:space="preserve">Lý do: ngưỡng 50 tỷ đồng doanh thu năm. Nguồn: Luật Thuế TNDN 67/2025/QH15.</t>
  </si>
  <si>
    <t xml:space="preserve">Tỷ lệ tiền lương phân bổ vào giá vốn (lao động sản xuất)</t>
  </si>
  <si>
    <t xml:space="preserve">Lý do: 70% quỹ lương là lao động trực tiếp và quản lý phân xưởng (công nhân ép, sấy, QC, quản đốc) → giá vốn; 30% là bán hàng và quản lý DN → CPBH &amp; QLDN. Nguồn: giả định phân bổ của nhóm theo đặc thù DN sản xuất (BCTC gốc hạch toán tiền lương ngoài giá vốn).</t>
  </si>
  <si>
    <t xml:space="preserve">Tỷ lệ khấu hao phân bổ vào giá vốn (TSCĐ sản xuất)</t>
  </si>
  <si>
    <t xml:space="preserve">Lý do: ~90% nguyên giá TSCĐ là máy ép khuôn, hệ thống sấy, nhà xưởng, kho nguyên liệu → giá vốn; ~10% là văn phòng, xe giao hàng, thiết bị quản lý → CPBH &amp; QLDN. Nguồn: giả định phân bổ của nhóm theo cơ cấu tài sản (Mục 2: TS dài hạn là nhà máy, dây chuyền ép, xe, kho).</t>
  </si>
  <si>
    <t xml:space="preserve">Báo cáo kết quả hoạt động kinh doanh (dự kiến) 5 năm</t>
  </si>
  <si>
    <t xml:space="preserve">Doanh thu</t>
  </si>
  <si>
    <t xml:space="preserve">Giá vốn hàng bán (gồm 70% tiền lương, 90% khấu hao)</t>
  </si>
  <si>
    <t xml:space="preserve">Chi phí bán hàng &amp; QLDN (gồm 30% tiền lương, 10% khấu hao)</t>
  </si>
  <si>
    <t xml:space="preserve">Chi phí thuê cửa hàng</t>
  </si>
  <si>
    <t xml:space="preserve">Khấu hao (ghi nhớ – đã phân bổ vào GVHB và CPBH &amp; QLDN)</t>
  </si>
  <si>
    <t xml:space="preserve">Lợi nhuận trước thuế và lãi vay (EBIT)</t>
  </si>
  <si>
    <t xml:space="preserve">Tính toán chi tiết:</t>
  </si>
  <si>
    <t xml:space="preserve">Chi phí đầu tư tài sản cố định (CAPEX)</t>
  </si>
  <si>
    <t xml:space="preserve">Tổng tài sản dài hạn (ròng)</t>
  </si>
  <si>
    <t xml:space="preserve">Điều chỉnh Vốn lưu động ròng</t>
  </si>
  <si>
    <t xml:space="preserve">Tài sản ngắn hạn (ngoài tiền)</t>
  </si>
  <si>
    <t xml:space="preserve">       Hàng tồn kho</t>
  </si>
  <si>
    <t xml:space="preserve">       Khoản phải thu ngắn hạn</t>
  </si>
  <si>
    <t xml:space="preserve">Nợ ngắn hạn (ngoài vay)</t>
  </si>
  <si>
    <t xml:space="preserve">      Khoản phải trả ngắn hạn</t>
  </si>
  <si>
    <t xml:space="preserve">Vốn lưu động hoạt động ròng (TSNH ngoài tiền − Nợ NH ngoài vay)</t>
  </si>
  <si>
    <t xml:space="preserve">Biến động VLĐ ròng</t>
  </si>
  <si>
    <t xml:space="preserve">Xác định nhu cầu vốn</t>
  </si>
  <si>
    <t xml:space="preserve">Cash Flow Statment Pro-forma</t>
  </si>
  <si>
    <t xml:space="preserve">Biến động TSNH</t>
  </si>
  <si>
    <t xml:space="preserve">Biến động Nợ NH</t>
  </si>
  <si>
    <t xml:space="preserve">Lưu chuyển tiền thuần từ HĐKD</t>
  </si>
  <si>
    <t xml:space="preserve">Hoạt động đầu tư</t>
  </si>
  <si>
    <t xml:space="preserve">Lưu chuyển tiền thuần từ HĐ đầu tư</t>
  </si>
  <si>
    <t xml:space="preserve">Hoạt động tài chính</t>
  </si>
  <si>
    <t xml:space="preserve">Lưu chuyển tiền thuần từ HĐ tài chính (vay/trả nợ theo kế hoạch, chưa gồm vốn cổ phần)</t>
  </si>
  <si>
    <t xml:space="preserve">Thiếu hụt so với tiền mặt tối thiểu (trước khi gọi vốn cổ phần)</t>
  </si>
  <si>
    <t xml:space="preserve">Nhu cầu vốn</t>
  </si>
  <si>
    <t xml:space="preserve">(+) Dự phòng</t>
  </si>
  <si>
    <t xml:space="preserve">Tổng vốn cần huy động</t>
  </si>
  <si>
    <t xml:space="preserve">Ghi chú (Lộc): Nhu cầu vốn cổ phần = thiếu hụt tiền lớn nhất so với mức tiền tối thiểu (5% DT) sau khi đã tính khoản vay trung hạn tài trợ 50% CAPEX nhà máy mới; cộng 10% dự phòng theo template.</t>
  </si>
  <si>
    <t xml:space="preserve">Dòng tiền tự do (FCFF) của doanh nghiệp</t>
  </si>
  <si>
    <t xml:space="preserve">Lợi nhuận sau thuế trước lãi vay EBIT*(1-t)</t>
  </si>
  <si>
    <t xml:space="preserve">+ Khấu hao</t>
  </si>
  <si>
    <t xml:space="preserve">- Điều chỉnh VLĐ</t>
  </si>
  <si>
    <t xml:space="preserve">- CAPEX</t>
  </si>
  <si>
    <t xml:space="preserve">FCFF 2031 chuẩn hóa</t>
  </si>
  <si>
    <t xml:space="preserve">Dòng tiền tự do (FCFF)</t>
  </si>
  <si>
    <t xml:space="preserve">FCFF 2031 = NOPAT 2031 × (1 − g/RONIC): phần tái đầu tư chỉ vừa đủ cho tăng trưởng g; RONIC = ROIC 2030E (Assumption!D19).</t>
  </si>
  <si>
    <t xml:space="preserve">Giá trị cuối kỳ tại t=5 = FCFF 2031 / (WACC − g)</t>
  </si>
  <si>
    <t xml:space="preserve">Giá trị hiện tại của các dòng tiền (FCFF; năm 2030 gồm giá trị cuối kỳ)</t>
  </si>
  <si>
    <t xml:space="preserve">Giá trị doanh nghiệp</t>
  </si>
  <si>
    <t xml:space="preserve">Tỷ lệ nắm giữ</t>
  </si>
  <si>
    <t xml:space="preserve">Post-money value</t>
  </si>
  <si>
    <t xml:space="preserve">Pre-money value</t>
  </si>
  <si>
    <t xml:space="preserve">Pitch: Kêu gọi</t>
  </si>
  <si>
    <t xml:space="preserve">nghìn đồng tương ứng </t>
  </si>
  <si>
    <t xml:space="preserve">cổ phần.</t>
  </si>
  <si>
    <t xml:space="preserve">CẦU NỐI EV → VỐN CSH &amp; KIỂM TRA </t>
  </si>
  <si>
    <t xml:space="preserve">PV dòng tiền tự do 2026–2030</t>
  </si>
  <si>
    <t xml:space="preserve">PV giá trị cuối kỳ</t>
  </si>
  <si>
    <t xml:space="preserve">Giá trị doanh nghiệp (EV)</t>
  </si>
  <si>
    <t xml:space="preserve">Tỷ trọng giá trị cuối kỳ / EV</t>
  </si>
  <si>
    <t xml:space="preserve">(+) Tiền mặt 31/12/2025</t>
  </si>
  <si>
    <t xml:space="preserve">(−) Nợ vay 31/12/2025</t>
  </si>
  <si>
    <t xml:space="preserve">Giá trị vốn CSH trước gọi vốn (pre-money)</t>
  </si>
  <si>
    <t xml:space="preserve">EV/EBITDA 2025A ngầm định</t>
  </si>
  <si>
    <t xml:space="preserve">EV/EBITDA 2026E ngầm định</t>
  </si>
  <si>
    <t xml:space="preserve">P/E 2026E ngầm định (pre-money)</t>
  </si>
  <si>
    <t xml:space="preserve">P/B 2025A ngầm định</t>
  </si>
  <si>
    <t xml:space="preserve">Giá trị cuối kỳ nếu không chuẩn hóa = FCFF 2030 × (1 + g)/(WACC − g)</t>
  </si>
  <si>
    <t xml:space="preserve">ROIC 2030E = NOPAT / (TSCĐ ròng + VLĐ)</t>
  </si>
  <si>
    <t xml:space="preserve">Tỷ lệ tái đầu tư trong giá trị cuối kỳ = g / RONIC</t>
  </si>
  <si>
    <t xml:space="preserve">Kiểm tra: pre-money = B22</t>
  </si>
  <si>
    <t xml:space="preserve">The VC Method</t>
  </si>
  <si>
    <t xml:space="preserve">Tỷ lệ chiết khấu có điều chỉnh</t>
  </si>
  <si>
    <t xml:space="preserve">Số kỳ</t>
  </si>
  <si>
    <t xml:space="preserve">Tỷ lệ thất bại của VC</t>
  </si>
  <si>
    <t xml:space="preserve">Giả định: theo hướng dẫn của BTL, DN giai đoạn đầu tăng trưởng có z = 35–45%; lấy 40% (trung điểm).</t>
  </si>
  <si>
    <t xml:space="preserve">Giá trị thoái vốn kỳ vọng</t>
  </si>
  <si>
    <t xml:space="preserve">Tỷ lệ chiết khấu (WACC)</t>
  </si>
  <si>
    <t xml:space="preserve">Post-money value </t>
  </si>
  <si>
    <t xml:space="preserve">Tỷ lệ chiết khấu có điều chỉnh p = (1 + r)/(1 − z)^(1/n) − 1</t>
  </si>
  <si>
    <t xml:space="preserve">Công thức giáo trình: (1 + p)^n = (1 + r)^n/(1 − z), với r = WACC (B7), z = B6, n = 5 năm.</t>
  </si>
  <si>
    <t xml:space="preserve">Tỷ lệ sở hữu của NĐT mới</t>
  </si>
  <si>
    <t xml:space="preserve">Tỷ lệ sở hữu của Founder và NĐT cũ</t>
  </si>
  <si>
    <t xml:space="preserve">Tỷ lệ thất bại theo giai đoạn đầu tư VC (đề bài)</t>
  </si>
  <si>
    <t xml:space="preserve">Thấp</t>
  </si>
  <si>
    <t xml:space="preserve">Cao</t>
  </si>
  <si>
    <t xml:space="preserve">Trung điểm</t>
  </si>
  <si>
    <t xml:space="preserve">Ươm mầm</t>
  </si>
  <si>
    <t xml:space="preserve">Nguồn: đề bài (BTL, Mục III.1 – tỷ lệ thất bại tại mỗi giai đoạn đầu tư của VC); bảng dùng cho Mục 8 (giai đoạn chưa có doanh thu).</t>
  </si>
  <si>
    <t xml:space="preserve">Thử nghiệm</t>
  </si>
  <si>
    <t xml:space="preserve">Đầu tăng trưởng</t>
  </si>
  <si>
    <t xml:space="preserve">Cuối tăng trưởng</t>
  </si>
  <si>
    <t xml:space="preserve">Giai đoạn của AgriPack (kết luận mục 2)</t>
  </si>
  <si>
    <t xml:space="preserve">Lý do: doanh thu 47,5 tỷ, tăng 54–59%/năm, LNST và FCF vừa dương năm 2025, D/E 6,5%. Nguồn: kết luận Mục 2.</t>
  </si>
  <si>
    <t xml:space="preserve">GIÁ TRỊ THOÁI VỐN CUỐI 2030 </t>
  </si>
  <si>
    <t xml:space="preserve">LNST 2030E</t>
  </si>
  <si>
    <t xml:space="preserve">P/E thoát vốn</t>
  </si>
  <si>
    <t xml:space="preserve">Lý do: P/E ngành Containers &amp; Packaging (ICB cấp 4) năm 2026: 9,43x; trung vị mẫu 14 DN: xem Multiples!G22. Nguồn: FiinX (giá đóng cửa 28/9/2026).</t>
  </si>
  <si>
    <t xml:space="preserve">Giá trị vốn CSH theo P/E</t>
  </si>
  <si>
    <t xml:space="preserve">EBITDA 2030E</t>
  </si>
  <si>
    <t xml:space="preserve">EV/EBITDA thoát vốn</t>
  </si>
  <si>
    <t xml:space="preserve">Lý do: EV/EBITDA ngành Containers &amp; Packaging 2026: 7,99x (2025: 7,5x). Nguồn: FiinX (giá đóng cửa 28/9/2026).</t>
  </si>
  <si>
    <t xml:space="preserve">EV theo EV/EBITDA</t>
  </si>
  <si>
    <t xml:space="preserve">(+) Tiền mặt 2030E</t>
  </si>
  <si>
    <t xml:space="preserve">(−) Nợ vay 2030E</t>
  </si>
  <si>
    <t xml:space="preserve">Giá trị vốn CSH theo EV/EBITDA</t>
  </si>
  <si>
    <t xml:space="preserve">Đối chiếu: giá trị vốn CSH theo DCF tại 2030 (TV + tiền − nợ)</t>
  </si>
  <si>
    <t xml:space="preserve">EV/EBITDA ngầm định của P/E thoát vốn</t>
  </si>
  <si>
    <t xml:space="preserve">Giá trị thoái vốn sử dụng (bình quân P/E và EV/EBITDA)</t>
  </si>
  <si>
    <t xml:space="preserve">IRR kỳ vọng của NĐT nếu thành công</t>
  </si>
  <si>
    <t xml:space="preserve">IRR kỳ vọng có tính xác suất thất bại (= WACC)</t>
  </si>
  <si>
    <t xml:space="preserve">ĐỊNH GIÁ BẰNG BỘI SỐ SO SÁNH (MULTIPLES / COMPARABLES) – AgriPack</t>
  </si>
  <si>
    <t xml:space="preserve">Đơn vị: tỷ đồng; bội số: lần. Mẫu so sánh: 16 DN bao bì niêm yết (FiinX, giá đóng cửa 28/9/2026; BCTC quý đến Q2/2026, TTM). Cột H = 1: đưa vào mẫu; loại MCP (EV/EBITDA 36x, P/E 84x do lợi nhuận quá thấp) và PBT (DN thương mại, EV/EBITDA ≈ 0).</t>
  </si>
  <si>
    <t xml:space="preserve">Mã</t>
  </si>
  <si>
    <t xml:space="preserve">Sàn</t>
  </si>
  <si>
    <t xml:space="preserve">Phân khúc</t>
  </si>
  <si>
    <t xml:space="preserve">DT TTM (tỷ)</t>
  </si>
  <si>
    <t xml:space="preserve">Biên EBITDA (%)</t>
  </si>
  <si>
    <t xml:space="preserve">EV/EBITDA (x)</t>
  </si>
  <si>
    <t xml:space="preserve">P/E (x)</t>
  </si>
  <si>
    <t xml:space="preserve">Đưa vào mẫu</t>
  </si>
  <si>
    <t xml:space="preserve">EV/EBITDA (mẫu)</t>
  </si>
  <si>
    <t xml:space="preserve">P/E (mẫu)</t>
  </si>
  <si>
    <t xml:space="preserve">DHC</t>
  </si>
  <si>
    <t xml:space="preserve">HOSE</t>
  </si>
  <si>
    <t xml:space="preserve">Giấy, bao bì carton</t>
  </si>
  <si>
    <t xml:space="preserve">FiinX: BCTC 4 quý gần nhất đến Q2/2026; giá đóng cửa 28/9/2026</t>
  </si>
  <si>
    <t xml:space="preserve">TDP</t>
  </si>
  <si>
    <t xml:space="preserve">Bao bì nhựa</t>
  </si>
  <si>
    <t xml:space="preserve">AAA</t>
  </si>
  <si>
    <t xml:space="preserve">Nhựa, nhựa sinh học</t>
  </si>
  <si>
    <t xml:space="preserve">APH</t>
  </si>
  <si>
    <t xml:space="preserve">Bao bì nhựa (holding)</t>
  </si>
  <si>
    <t xml:space="preserve">HHP</t>
  </si>
  <si>
    <t xml:space="preserve">Giấy bao bì</t>
  </si>
  <si>
    <t xml:space="preserve">INN</t>
  </si>
  <si>
    <t xml:space="preserve">HNX</t>
  </si>
  <si>
    <t xml:space="preserve">Bao bì giấy, in</t>
  </si>
  <si>
    <t xml:space="preserve">ILS</t>
  </si>
  <si>
    <t xml:space="preserve">UPCoM</t>
  </si>
  <si>
    <t xml:space="preserve">Bao bì khác</t>
  </si>
  <si>
    <t xml:space="preserve">TPP</t>
  </si>
  <si>
    <t xml:space="preserve">MCP</t>
  </si>
  <si>
    <t xml:space="preserve">Bao bì kim loại, in</t>
  </si>
  <si>
    <t xml:space="preserve">FiinX (28/9/2026); loại khỏi mẫu – xem ghi chú dòng 2</t>
  </si>
  <si>
    <t xml:space="preserve">PBT</t>
  </si>
  <si>
    <t xml:space="preserve">Thương mại vật tư bao bì</t>
  </si>
  <si>
    <t xml:space="preserve">TPC</t>
  </si>
  <si>
    <t xml:space="preserve">Màng, túi nhựa</t>
  </si>
  <si>
    <t xml:space="preserve">VBC</t>
  </si>
  <si>
    <t xml:space="preserve">BBS</t>
  </si>
  <si>
    <t xml:space="preserve">Bao bì giấy, bao xi măng</t>
  </si>
  <si>
    <t xml:space="preserve">STP</t>
  </si>
  <si>
    <t xml:space="preserve">Bao bì giấy</t>
  </si>
  <si>
    <t xml:space="preserve">PBP</t>
  </si>
  <si>
    <t xml:space="preserve">Bao bì PP</t>
  </si>
  <si>
    <t xml:space="preserve">PMP</t>
  </si>
  <si>
    <t xml:space="preserve">Trung vị các DN trong mẫu</t>
  </si>
  <si>
    <t xml:space="preserve">Bình quân ngành Containers &amp; Packaging 2026 (FiinX, ICB cấp 4)</t>
  </si>
  <si>
    <t xml:space="preserve">Nguồn: FiinX – bình quân ngành Containers &amp; Packaging (ICB cấp 4), cột 2026.</t>
  </si>
  <si>
    <t xml:space="preserve">Bội số dùng: trung vị (cận dưới, ít bị kéo bởi DN lỗ/lãi thấp) và bình quân ngành (cận trên)</t>
  </si>
  <si>
    <t xml:space="preserve">CHỈ TIÊU CỦA AGRIPACK (2025A – bộ máy hiện tại, trước khi gọi vốn)</t>
  </si>
  <si>
    <t xml:space="preserve">EBITDA 2025A</t>
  </si>
  <si>
    <t xml:space="preserve">Lợi nhuận trước thuế 2025A</t>
  </si>
  <si>
    <t xml:space="preserve">Thuế suất chuẩn hóa</t>
  </si>
  <si>
    <t xml:space="preserve">Lý do: LNST 2025 không phải nộp thuế nhờ chuyển lỗ; chuẩn hóa theo thuế suất phổ thông 20% để so sánh với P/E của DN đã nộp thuế. Nguồn: Luật Thuế TNDN 67/2025/QH15.</t>
  </si>
  <si>
    <t xml:space="preserve">LNST chuẩn hóa 2025A</t>
  </si>
  <si>
    <t xml:space="preserve">Tiền mặt 31/12/2025</t>
  </si>
  <si>
    <t xml:space="preserve">Nợ vay 31/12/2025</t>
  </si>
  <si>
    <t xml:space="preserve">Chiết khấu thiếu thanh khoản &amp; quy mô (DLOM)</t>
  </si>
  <si>
    <t xml:space="preserve">Lý do: DN tư nhân, cổ phần không giao dịch, doanh thu 47,5 tỷ (trung vị mẫu ~1.400 tỷ), phụ thuộc đội ngũ sáng lập → 30% (khoảng 20–35% theo nghiên cứu chiết khấu DN tư nhân). Nguồn: Damodaran (2026); Koeplin, Sarin &amp; Shapiro (2000).</t>
  </si>
  <si>
    <t xml:space="preserve">ĐỊNH GIÁ VỐN CHỦ SỞ HỮU (PRE-MONEY)</t>
  </si>
  <si>
    <t xml:space="preserve">Cách tính</t>
  </si>
  <si>
    <t xml:space="preserve">Bội số (x)</t>
  </si>
  <si>
    <t xml:space="preserve">Chỉ tiêu áp dụng (tỷ)</t>
  </si>
  <si>
    <t xml:space="preserve">Giá trị vốn CSH trước chiết khấu</t>
  </si>
  <si>
    <t xml:space="preserve">Sau chiết khấu DLOM</t>
  </si>
  <si>
    <t xml:space="preserve">EV/EBITDA 2025A × trung vị mẫu</t>
  </si>
  <si>
    <t xml:space="preserve">EV/EBITDA 2025A × bình quân ngành</t>
  </si>
  <si>
    <t xml:space="preserve">P/E 2025A (LNST chuẩn hóa) × trung vị mẫu</t>
  </si>
  <si>
    <t xml:space="preserve">P/E 2025A (LNST chuẩn hóa) × bình quân ngành</t>
  </si>
  <si>
    <t xml:space="preserve">Pre-money theo Multiples (bình quân 4 cách)</t>
  </si>
  <si>
    <t xml:space="preserve">Cận dưới / cận trên</t>
  </si>
  <si>
    <t xml:space="preserve">KẾT QUẢ: GIÁ TRỊ DOANH NGHIỆP, PRE-MONEY, POST-MONEY VÀ TỶ LỆ CỔ PHẦN</t>
  </si>
  <si>
    <t xml:space="preserve">EV = pre-money − tiền mặt (B31) + nợ vay (B32) tại 31/12/2025, cùng cầu nối giữa EV và vốn CSH như DCF!B22.</t>
  </si>
  <si>
    <t xml:space="preserve">Vốn cổ phần cần huy động năm 2026 (Pro Forma!B63), dùng chung cho DCF và VC Method.</t>
  </si>
  <si>
    <t xml:space="preserve">Lấy từ E41: bình quân 4 cách tính, sau chiết khấu thiếu thanh khoản 30%.</t>
  </si>
  <si>
    <t xml:space="preserve">tỷ đồng tương ứng</t>
  </si>
  <si>
    <t xml:space="preserve">ĐỐI CHIẾU: bội số trên chỉ tiêu 2026E (không dùng)</t>
  </si>
  <si>
    <t xml:space="preserve">EV/EBITDA 2026E × trung vị mẫu, chưa chiết khấu</t>
  </si>
  <si>
    <t xml:space="preserve">Lý do không dùng: EBITDA 2026E cần máy ép bổ sung và vốn lưu động được tài trợ bởi chính khoản vốn mới – áp bội số lên chỉ tiêu tương lai sẽ trả cho nhà đầu tư phần giá trị mà tiền của họ tạo ra.</t>
  </si>
  <si>
    <t xml:space="preserve">TỔNG HỢP ĐỊNH GIÁ &amp; ĐỀ XUẤT GỌI VỐN – AgriPack</t>
  </si>
  <si>
    <t xml:space="preserve">Đơn vị: tỷ đồng (trừ tỷ lệ). Thời điểm định giá t0 = 01/01/2026 (theo khung mô hình: BCTC đến 31/12/2025, năm hiện tại 2026).</t>
  </si>
  <si>
    <t xml:space="preserve">Phương pháp</t>
  </si>
  <si>
    <t xml:space="preserve">Pre-money</t>
  </si>
  <si>
    <t xml:space="preserve">Vốn CP cần huy động</t>
  </si>
  <si>
    <t xml:space="preserve">Post-money</t>
  </si>
  <si>
    <t xml:space="preserve">Tỷ lệ NĐT mới</t>
  </si>
  <si>
    <t xml:space="preserve">Trọng số</t>
  </si>
  <si>
    <t xml:space="preserve">Lý do trọng số / nguồn</t>
  </si>
  <si>
    <t xml:space="preserve">DCF (FCFF, WACC, giá trị cuối kỳ chuẩn hóa)</t>
  </si>
  <si>
    <t xml:space="preserve">Lý do: DCF 40% – phản ánh dự phóng dòng tiền và công suất; chưa trừ rủi ro thất bại. Nguồn: lựa chọn của nhóm.</t>
  </si>
  <si>
    <t xml:space="preserve">VC Method (thoái vốn 2030, tỷ lệ thất bại 40%)</t>
  </si>
  <si>
    <t xml:space="preserve">Lý do: VCM 40% – góc nhìn NĐT, có tỷ lệ thất bại 40% của giai đoạn đầu tăng trưởng (đề bài). Nguồn: lựa chọn của nhóm.</t>
  </si>
  <si>
    <t xml:space="preserve">Multiples/Comparables (EV/EBITDA, P/E 2025A; chiết khấu thanh khoản 30%)</t>
  </si>
  <si>
    <t xml:space="preserve">Lý do: Multiples 20% – mẫu so sánh là DN niêm yết lớn, trưởng thành; chỉ phản ánh bộ máy 2025A nên chỉ dùng làm neo thị trường. Nguồn: lựa chọn của nhóm.</t>
  </si>
  <si>
    <t xml:space="preserve">Pre-money khuyến nghị (bình quân gia quyền DCF, VCM, Multiples)</t>
  </si>
  <si>
    <t xml:space="preserve">ĐỐI CHIẾU (không tham gia trọng số)</t>
  </si>
  <si>
    <t xml:space="preserve">DCF điều chỉnh xác suất sống sót = (1 − z) × DCF + z × giá trị thanh lý</t>
  </si>
  <si>
    <t xml:space="preserve">Giá trị thanh lý = tỷ lệ thu hồi × VCSH sổ sách 31/12/2025</t>
  </si>
  <si>
    <t xml:space="preserve">Lý do: thu hồi 50% giá trị sổ sách khi thanh lý (máy ép chuyên dụng khó bán lại; nhà xưởng thuê). Nguồn: giả định của nhóm.</t>
  </si>
  <si>
    <t xml:space="preserve">Multiples trên chỉ tiêu 2026E (tham khảo – xem Multiples!D55; không dùng vì chỉ tiêu 2026E cần chính vốn mới)</t>
  </si>
  <si>
    <t xml:space="preserve">KHOẢNG GIÁ TRỊ PRE-MONEY (football field)</t>
  </si>
  <si>
    <t xml:space="preserve">Cơ sở</t>
  </si>
  <si>
    <t xml:space="preserve">Cách xác định khoảng</t>
  </si>
  <si>
    <t xml:space="preserve">DCF</t>
  </si>
  <si>
    <t xml:space="preserve">WACC ±1 điểm %, g ±1 điểm %</t>
  </si>
  <si>
    <t xml:space="preserve">VC Method</t>
  </si>
  <si>
    <t xml:space="preserve">z 35–45%, giá trị thoái vốn ±15%</t>
  </si>
  <si>
    <t xml:space="preserve">Multiples (EV/EBITDA, P/E 2025A)</t>
  </si>
  <si>
    <t xml:space="preserve">Trung vị mẫu – bình quân ngành, sau chiết khấu 30%</t>
  </si>
  <si>
    <t xml:space="preserve">Khuyến nghị (bình quân gia quyền)</t>
  </si>
  <si>
    <t xml:space="preserve">Bình quân gia quyền cận dưới/cận trên</t>
  </si>
  <si>
    <t xml:space="preserve">NHU CẦU VỐN – ĐẦU VÀO CỦA VC METHOD (kế hoạch huy động vốn chi tiết thuộc Mục 6, không nằm trong phạm vi file này)</t>
  </si>
  <si>
    <t xml:space="preserve">Vốn cổ phần cần huy động (tỷ đồng, Pro Forma!B63)</t>
  </si>
  <si>
    <t xml:space="preserve">Tỷ lệ cổ phần tương ứng (theo pre-money khuyến nghị)</t>
  </si>
  <si>
    <t xml:space="preserve">Vay trung hạn/thuê tài chính cho nhà máy mới (tỷ đồng)</t>
  </si>
  <si>
    <t xml:space="preserve">Tổng vốn huy động bên ngoài 2026–2027 (tỷ đồng)</t>
  </si>
  <si>
    <t xml:space="preserve">TỔNG HỢP KỊCH BẢN</t>
  </si>
  <si>
    <t xml:space="preserve">Cột B = kịch bản đang chạy (công thức sống). Cột C–F = kết quả chụp lại khi đổi ô chọn ở Drivers (giá trị tĩnh, cập nhật lại nếu đổi giả định).</t>
  </si>
  <si>
    <t xml:space="preserve">Bear (chụp)</t>
  </si>
  <si>
    <t xml:space="preserve">Bull (chụp)</t>
  </si>
  <si>
    <t xml:space="preserve">Đầu tư lớn 2028 (chụp)</t>
  </si>
  <si>
    <t xml:space="preserve">Chỉ vốn CP, không vay (chụp)</t>
  </si>
  <si>
    <t xml:space="preserve">Vay 75% CAPEX 2027 (chụp)</t>
  </si>
  <si>
    <t xml:space="preserve">Doanh thu thuần 2030E (tỷ)</t>
  </si>
  <si>
    <t xml:space="preserve">CAGR doanh thu 2025–2030</t>
  </si>
  <si>
    <t xml:space="preserve">Biên EBITDA 2030E</t>
  </si>
  <si>
    <t xml:space="preserve">LNST 2030E (tỷ)</t>
  </si>
  <si>
    <t xml:space="preserve">Tổng FCFF 2026–2030 (tỷ)</t>
  </si>
  <si>
    <t xml:space="preserve">Nhu cầu vốn cổ phần (tỷ)</t>
  </si>
  <si>
    <t xml:space="preserve">Vay trung hạn giải ngân (tỷ)</t>
  </si>
  <si>
    <t xml:space="preserve">DCF pre-money (tỷ)</t>
  </si>
  <si>
    <t xml:space="preserve">VCM pre-money (tỷ)</t>
  </si>
  <si>
    <t xml:space="preserve">Pre-money bình quân (tỷ)</t>
  </si>
  <si>
    <t xml:space="preserve">Tỷ lệ NĐT mới (theo pre-money bình quân)</t>
  </si>
  <si>
    <t xml:space="preserve">n.m.</t>
  </si>
  <si>
    <t xml:space="preserve">Tỷ lệ founder &amp; cổ đông hiện hữu sau vòng gọi vốn</t>
  </si>
  <si>
    <t xml:space="preserve">ĐỘ NHẠY THEO NHÂN TỐ VĨ MÔ – NGÀNH (kịch bản Base, đổi từng giả định, chạy lại toàn bộ mô hình)</t>
  </si>
  <si>
    <t xml:space="preserve">Mỗi dòng: một nhân tố ở Mục 3 được đưa về mức bất lợi và thuận lợi, các giả định khác giữ Base; kết quả chụp lại sau khi tính lại toàn bộ mô hình (giá trị tĩnh – chạy lại run_tornado.py nếu đổi giả định). Δ = chênh lệch pre-money so với Base (chụp), tỷ đồng.</t>
  </si>
  <si>
    <t xml:space="preserve">Nhân tố → giả định thay đổi (bất lợi / thuận lợi)</t>
  </si>
  <si>
    <t xml:space="preserve">Pre-money bất lợi</t>
  </si>
  <si>
    <t xml:space="preserve">Pre-money thuận lợi</t>
  </si>
  <si>
    <t xml:space="preserve">Δ bất lợi</t>
  </si>
  <si>
    <t xml:space="preserve">Δ thuận lợi</t>
  </si>
  <si>
    <t xml:space="preserve">DCF bất lợi</t>
  </si>
  <si>
    <t xml:space="preserve">DCF thuận lợi</t>
  </si>
  <si>
    <t xml:space="preserve">VCM bất lợi</t>
  </si>
  <si>
    <t xml:space="preserve">VCM thuận lợi</t>
  </si>
  <si>
    <t xml:space="preserve">DT 2030E bất lợi</t>
  </si>
  <si>
    <t xml:space="preserve">DT 2030E thuận lợi</t>
  </si>
  <si>
    <t xml:space="preserve">LNST 2030E bất lợi</t>
  </si>
  <si>
    <t xml:space="preserve">LNST 2030E thuận lợi</t>
  </si>
  <si>
    <t xml:space="preserve">Lý do biên độ / nguồn (ghi ngay cạnh giả định)</t>
  </si>
  <si>
    <t xml:space="preserve">Kịch bản cơ sở – Base (chụp)</t>
  </si>
  <si>
    <t xml:space="preserve">Cầu: tăng trưởng sản lượng ×0,8 / ×1,2 (GDP, tiêu dùng, TMĐT – Mục 3.1.1, 3.2.2)</t>
  </si>
  <si>
    <t xml:space="preserve">Lý do biên độ: ±20% tốc độ tăng sản lượng mọi phân khúc – GDP 6T/2026 +8,18%, tiêu dùng +8,15%, TMĐT +18–25%/năm nhưng SAM chỉ +4,73%/năm; tăng trưởng của AgriPack phụ thuộc giành thị phần và tiến độ nhà máy (kịch bản Bear dùng ×0,7).</t>
  </si>
  <si>
    <t xml:space="preserve">Giá bán: +1% / +3% mỗi năm, Base +2% (CPI, sức mạnh khách hàng B2B – Mục 3.1.2, 3.2.3)</t>
  </si>
  <si>
    <t xml:space="preserve">Lý do biên độ: ±1 điểm %/năm giá bán F&amp;B, khuôn và đệm – CPI 8T/2026 +4,45% cho phép tăng giá gần lạm phát, nhưng khách hàng B2B có sức mạnh đàm phán rất cao và bao bì nhựa rẻ hơn nhiều lần (Mục 3.2.3).</t>
  </si>
  <si>
    <t xml:space="preserve">Chi phí biến đổi/DT: +1 / −1 điểm % (lạm phát chi phí thu gom, năng lượng – Mục 3.1.2)</t>
  </si>
  <si>
    <t xml:space="preserve">Lý do biên độ: ±1 điểm % doanh thu – nhóm nhà ở, điện, nước, chất đốt, VLXD +6,71% (8T/2026); bã mía bị cạnh tranh bởi lò hơi nhà máy đường và nhà sản xuất bao bì sợi (Mục 3.1.2, 3.2.3).</t>
  </si>
  <si>
    <t xml:space="preserve">Chi phí nhân sự/DT: +1 / −1 điểm % (lương tối thiểu vùng +7,2% – NĐ 293/2025)</t>
  </si>
  <si>
    <t xml:space="preserve">Lý do biên độ: ±1 điểm % doanh thu – lương tối thiểu vùng tăng 7,2% từ 01/01/2026 (NĐ 293/2025/NĐ-CP); tiền lương là khoản chi phí lớn thứ hai sau chi phí biến đổi.</t>
  </si>
  <si>
    <t xml:space="preserve">Lãi suất: Rf và Kd +1 / −1 điểm % (điều hành lãi suất, tín dụng – Mục 3.1.3)</t>
  </si>
  <si>
    <t xml:space="preserve">Lý do biên độ: ±1 điểm % cho cả lợi suất phi rủi ro (bình quân TPCP 10 năm 3,92%) và lãi vay (10%, khung cho vay 8,1–10,5%/năm); nhỏ hơn độ lệch chuẩn ~1,6 điểm % của lợi suất TPCP 10 năm 2016–2025 (Discount rate A28:C40) vì Rf là bình quân dài hạn.</t>
  </si>
  <si>
    <t xml:space="preserve">Rủi ro quốc gia CRP: +1 / −1 điểm % (xếp hạng Moody's Ba2, triển vọng tích cực – Mục 3.1)</t>
  </si>
  <si>
    <t xml:space="preserve">Lý do biên độ: ±1 điểm % CRP 3,9% – Moody's nâng triển vọng Việt Nam lên tích cực (5/2026): nâng hạng làm CRP giảm; ngược lại nếu cú sốc bên ngoài làm chênh lệch lợi suất nới rộng.</t>
  </si>
  <si>
    <t xml:space="preserve">Ưu đãi thuế NQ 198/2025/QH15 nếu đủ điều kiện (miễn 2026–27, giảm 50% 2028–29 – Mục 3.1.6.2)</t>
  </si>
  <si>
    <t xml:space="preserve">Lý do: chỉ có chiều thuận lợi vì mô hình Base chưa đưa ưu đãi vào (chưa chứng minh đủ điều kiện). Chỉ tính ưu đãi đến 2029 để ưu đãi tạm thời không đi vào giá trị cuối kỳ (LNST 2030 chuẩn hóa ở thuế suất 20%).</t>
  </si>
  <si>
    <t xml:space="preserve">PHÂN TÍCH ĐỘ NHẠY (mỗi ô tính lại toàn bộ DCF/VCM)</t>
  </si>
  <si>
    <t xml:space="preserve">Đơn vị: tỷ đồng</t>
  </si>
  <si>
    <t xml:space="preserve">Bảng 1. DCF – giá trị vốn CSH pre-money: WACC (dòng) × g (cột)</t>
  </si>
  <si>
    <t xml:space="preserve">WACC \ g</t>
  </si>
  <si>
    <t xml:space="preserve">Kiểm tra ô trung tâm = DCF!B22</t>
  </si>
  <si>
    <t xml:space="preserve">Bảng 2. VC method – pre-money: tỷ lệ thất bại z (dòng) × thay đổi giá trị thoái vốn (cột)</t>
  </si>
  <si>
    <t xml:space="preserve">z \ Exit value</t>
  </si>
  <si>
    <t xml:space="preserve">Kiểm tra ô trung tâm = VCM!E11</t>
  </si>
  <si>
    <t xml:space="preserve">Bảng 3. DCF – pre-money: WACC (dòng) × RONIC (cột)</t>
  </si>
  <si>
    <t xml:space="preserve">WACC \ RONIC</t>
  </si>
  <si>
    <t xml:space="preserve">KIỂM TRA TÍNH TOÀN VẸN MÔ HÌNH</t>
  </si>
  <si>
    <t xml:space="preserve">Kiểm tra</t>
  </si>
  <si>
    <t xml:space="preserve">Trạng thái</t>
  </si>
  <si>
    <t xml:space="preserve">BCĐKT cân (Tài sản − Nguồn vốn)</t>
  </si>
  <si>
    <t xml:space="preserve">Tiền cuối kỳ LCTT − Tiền BCĐKT</t>
  </si>
  <si>
    <t xml:space="preserve">LNST BCKQKD − LNST trên LCTT</t>
  </si>
  <si>
    <t xml:space="preserve">Doanh thu Pro Forma − BCKQKD</t>
  </si>
  <si>
    <t xml:space="preserve">LNST Pro Forma − BCKQKD</t>
  </si>
  <si>
    <t xml:space="preserve">VLĐ Pro Forma − Drivers</t>
  </si>
  <si>
    <t xml:space="preserve">Khấu hao Pro Forma − BCKQKD</t>
  </si>
  <si>
    <t xml:space="preserve">CAPEX Drivers + dòng tiền đầu tư</t>
  </si>
  <si>
    <t xml:space="preserve">Tiền mặt sau gọi vốn − tiền tối thiểu (≥ 0)</t>
  </si>
  <si>
    <t xml:space="preserve">CAPEX/DT năm đầu tư lớn = 65%</t>
  </si>
  <si>
    <t xml:space="preserve">Ô trung tâm bảng độ nhạy = kết quả DCF/VCM</t>
  </si>
  <si>
    <t xml:space="preserve">g &lt; WACC</t>
  </si>
  <si>
    <t xml:space="preserve">TỔNG HỢP</t>
  </si>
  <si>
    <t xml:space="preserve">CHART_DATA – dữ liệu của toàn bộ Fig. trong báo cáo HTML (đánh số theo báo cáo)</t>
  </si>
  <si>
    <t xml:space="preserve">Mỗi block bắt đầu bằng mã Fig_xx (trùng số Fig. trong báo cáo). Số liệu mô hình = công thức liên kết (chữ xanh lá/đen); số liệu bên ngoài = ô nhập (chữ xanh dương, nền vàng) kèm nguồn ngay dưới block. Đơn vị: tỷ đồng trừ khi ghi khác.</t>
  </si>
  <si>
    <t xml:space="preserve">Fig.</t>
  </si>
  <si>
    <t xml:space="preserve">Tiêu đề</t>
  </si>
  <si>
    <t xml:space="preserve">Vùng dữ liệu</t>
  </si>
  <si>
    <t xml:space="preserve">Sheet nguồn</t>
  </si>
  <si>
    <t xml:space="preserve">Mục báo cáo</t>
  </si>
  <si>
    <t xml:space="preserve">Fig_01</t>
  </si>
  <si>
    <t xml:space="preserve">Doanh thu thuần và biên EBITDA 2023A–2030E</t>
  </si>
  <si>
    <t xml:space="preserve">A81:I86</t>
  </si>
  <si>
    <t xml:space="preserve">Tóm tắt</t>
  </si>
  <si>
    <t xml:space="preserve">Fig_02</t>
  </si>
  <si>
    <t xml:space="preserve">Khoảng giá trị pre-money theo phương pháp</t>
  </si>
  <si>
    <t xml:space="preserve">A88:D95</t>
  </si>
  <si>
    <t xml:space="preserve">Summary</t>
  </si>
  <si>
    <t xml:space="preserve">Fig_03</t>
  </si>
  <si>
    <t xml:space="preserve">Tóm tắt tài chính 2023A–2030E</t>
  </si>
  <si>
    <t xml:space="preserve">A97:I110</t>
  </si>
  <si>
    <t xml:space="preserve">Drivers, IS, CF, DCF, BS</t>
  </si>
  <si>
    <t xml:space="preserve">Fig_04</t>
  </si>
  <si>
    <t xml:space="preserve">Thị trường nhựa Việt Nam 2026–2031</t>
  </si>
  <si>
    <t xml:space="preserve">A112:C118</t>
  </si>
  <si>
    <t xml:space="preserve">External</t>
  </si>
  <si>
    <t xml:space="preserve">Mục 1</t>
  </si>
  <si>
    <t xml:space="preserve">Fig_05</t>
  </si>
  <si>
    <t xml:space="preserve">Lộ trình hạn chế nhựa dùng một lần và kế hoạch AgriPack</t>
  </si>
  <si>
    <t xml:space="preserve">—</t>
  </si>
  <si>
    <t xml:space="preserve">Bảng/hình văn bản: nguồn ghi dưới hình trong báo cáo</t>
  </si>
  <si>
    <t xml:space="preserve">Fig_06</t>
  </si>
  <si>
    <t xml:space="preserve">Giá tham khảo hộp đựng thực phẩm 500 ml</t>
  </si>
  <si>
    <t xml:space="preserve">A120:D127</t>
  </si>
  <si>
    <t xml:space="preserve">Fig_07</t>
  </si>
  <si>
    <t xml:space="preserve">Thị trường mục tiêu TAM – SAM – SOM</t>
  </si>
  <si>
    <t xml:space="preserve">A129:D135</t>
  </si>
  <si>
    <t xml:space="preserve">Fig_08</t>
  </si>
  <si>
    <t xml:space="preserve">Chiến lược giá bán của AgriPack</t>
  </si>
  <si>
    <t xml:space="preserve">A137:F145</t>
  </si>
  <si>
    <t xml:space="preserve">External + Drivers</t>
  </si>
  <si>
    <t xml:space="preserve">Fig_09</t>
  </si>
  <si>
    <t xml:space="preserve">Cơ cấu doanh thu 2023–2025</t>
  </si>
  <si>
    <t xml:space="preserve">A147:D154</t>
  </si>
  <si>
    <t xml:space="preserve">Fig_10</t>
  </si>
  <si>
    <t xml:space="preserve">Cơ cấu chi phí 2023–2025</t>
  </si>
  <si>
    <t xml:space="preserve">A156:D161</t>
  </si>
  <si>
    <t xml:space="preserve">Fig_11</t>
  </si>
  <si>
    <t xml:space="preserve">Chuỗi giá trị 7 hoạt động</t>
  </si>
  <si>
    <t xml:space="preserve">Fig_12</t>
  </si>
  <si>
    <t xml:space="preserve">Quy mô doanh thu 2023–2025</t>
  </si>
  <si>
    <t xml:space="preserve">A163:D167</t>
  </si>
  <si>
    <t xml:space="preserve">Mục 2</t>
  </si>
  <si>
    <t xml:space="preserve">Fig_13</t>
  </si>
  <si>
    <t xml:space="preserve">Quy mô doanh thu 2025 so với doanh nghiệp dẫn đầu</t>
  </si>
  <si>
    <t xml:space="preserve">A169:C174</t>
  </si>
  <si>
    <t xml:space="preserve">Fig_14</t>
  </si>
  <si>
    <t xml:space="preserve">Mức độ sinh lời 2023–2025</t>
  </si>
  <si>
    <t xml:space="preserve">A176:D192</t>
  </si>
  <si>
    <t xml:space="preserve">IS, BS, Drivers</t>
  </si>
  <si>
    <t xml:space="preserve">Fig_15</t>
  </si>
  <si>
    <t xml:space="preserve">Biên lợi nhuận gộp so với ngành</t>
  </si>
  <si>
    <t xml:space="preserve">A194:C200</t>
  </si>
  <si>
    <t xml:space="preserve">Income Statement + External</t>
  </si>
  <si>
    <t xml:space="preserve">Fig_16</t>
  </si>
  <si>
    <t xml:space="preserve">Đòn bẩy hoạt động: chi phí cố định/doanh thu 2023–2025</t>
  </si>
  <si>
    <t xml:space="preserve">A202:D207</t>
  </si>
  <si>
    <t xml:space="preserve">Fig_17</t>
  </si>
  <si>
    <t xml:space="preserve">Quy mô tài sản 2023–2025</t>
  </si>
  <si>
    <t xml:space="preserve">A209:D214</t>
  </si>
  <si>
    <t xml:space="preserve">Fig_18</t>
  </si>
  <si>
    <t xml:space="preserve">CAPEX và cường độ đầu tư 2023–2025</t>
  </si>
  <si>
    <t xml:space="preserve">A216:D221</t>
  </si>
  <si>
    <t xml:space="preserve">CF, IS</t>
  </si>
  <si>
    <t xml:space="preserve">Fig_19</t>
  </si>
  <si>
    <t xml:space="preserve">Cơ cấu nguồn vốn 2023–2025</t>
  </si>
  <si>
    <t xml:space="preserve">A223:D229</t>
  </si>
  <si>
    <t xml:space="preserve">Fig_20</t>
  </si>
  <si>
    <t xml:space="preserve">Dòng tiền 2023–2025</t>
  </si>
  <si>
    <t xml:space="preserve">A231:D237</t>
  </si>
  <si>
    <t xml:space="preserve">Cash Flow Statement</t>
  </si>
  <si>
    <t xml:space="preserve">Fig_21</t>
  </si>
  <si>
    <t xml:space="preserve">Thanh khoản 2023–2025</t>
  </si>
  <si>
    <t xml:space="preserve">A239:D243</t>
  </si>
  <si>
    <t xml:space="preserve">Fig_22</t>
  </si>
  <si>
    <t xml:space="preserve">Bảng xác định giai đoạn phát triển</t>
  </si>
  <si>
    <t xml:space="preserve">Fig_23</t>
  </si>
  <si>
    <t xml:space="preserve">Tỷ lệ thất bại theo giai đoạn đầu tư VC</t>
  </si>
  <si>
    <t xml:space="preserve">A245:D252</t>
  </si>
  <si>
    <t xml:space="preserve">VCM</t>
  </si>
  <si>
    <t xml:space="preserve">Fig_24</t>
  </si>
  <si>
    <t xml:space="preserve">Tăng trưởng GDP 6 tháng đầu năm theo khu vực</t>
  </si>
  <si>
    <t xml:space="preserve">A254:C260</t>
  </si>
  <si>
    <t xml:space="preserve">Mục 3.1</t>
  </si>
  <si>
    <t xml:space="preserve">Fig_25</t>
  </si>
  <si>
    <t xml:space="preserve">Lạm phát 8 tháng đầu năm 2026</t>
  </si>
  <si>
    <t xml:space="preserve">A262:B268</t>
  </si>
  <si>
    <t xml:space="preserve">Fig_26</t>
  </si>
  <si>
    <t xml:space="preserve">Lãi suất, tín dụng và hỗ trợ lãi suất 2026</t>
  </si>
  <si>
    <t xml:space="preserve">A270:C279</t>
  </si>
  <si>
    <t xml:space="preserve">External + Discount rate</t>
  </si>
  <si>
    <t xml:space="preserve">Fig_27</t>
  </si>
  <si>
    <t xml:space="preserve">Tỷ giá USD/VND 2026</t>
  </si>
  <si>
    <t xml:space="preserve">A281:B290</t>
  </si>
  <si>
    <t xml:space="preserve">Fig_28</t>
  </si>
  <si>
    <t xml:space="preserve">Vốn đầu tư mạo hiểm vào Việt Nam</t>
  </si>
  <si>
    <t xml:space="preserve">A292:E295</t>
  </si>
  <si>
    <t xml:space="preserve">Fig_29</t>
  </si>
  <si>
    <t xml:space="preserve">Văn bản pháp lý liên quan trực tiếp</t>
  </si>
  <si>
    <t xml:space="preserve">Fig_30</t>
  </si>
  <si>
    <t xml:space="preserve">Thuế suất TNDN áp dụng cho AgriPack 2026–2031</t>
  </si>
  <si>
    <t xml:space="preserve">A297:G301</t>
  </si>
  <si>
    <t xml:space="preserve">Drivers + External</t>
  </si>
  <si>
    <t xml:space="preserve">Fig_31</t>
  </si>
  <si>
    <t xml:space="preserve">Tốc độ tăng trưởng dự báo theo phân khúc bao bì</t>
  </si>
  <si>
    <t xml:space="preserve">A303:B314</t>
  </si>
  <si>
    <t xml:space="preserve">Mục 3.2</t>
  </si>
  <si>
    <t xml:space="preserve">Fig_32</t>
  </si>
  <si>
    <t xml:space="preserve">Quy mô thị trường bao bì theo phân khúc</t>
  </si>
  <si>
    <t xml:space="preserve">A316:B323</t>
  </si>
  <si>
    <t xml:space="preserve">Fig_33</t>
  </si>
  <si>
    <t xml:space="preserve">Chỉ báo cầu đối với bao bì xanh</t>
  </si>
  <si>
    <t xml:space="preserve">A325:B333</t>
  </si>
  <si>
    <t xml:space="preserve">Fig_34</t>
  </si>
  <si>
    <t xml:space="preserve">Năm lực lượng cạnh tranh ngành bao bì xanh</t>
  </si>
  <si>
    <t xml:space="preserve">Fig_35</t>
  </si>
  <si>
    <t xml:space="preserve">Công suất của một số đối thủ</t>
  </si>
  <si>
    <t xml:space="preserve">A335:C341</t>
  </si>
  <si>
    <t xml:space="preserve">Fig_36</t>
  </si>
  <si>
    <t xml:space="preserve">Áp lực từ sản phẩm thay thế</t>
  </si>
  <si>
    <t xml:space="preserve">Fig_37</t>
  </si>
  <si>
    <t xml:space="preserve">Từ vĩ mô, ngành đến giả định mô hình</t>
  </si>
  <si>
    <t xml:space="preserve">A343:E359</t>
  </si>
  <si>
    <t xml:space="preserve">Drivers, VCM, Discount rate</t>
  </si>
  <si>
    <t xml:space="preserve">Mục 4</t>
  </si>
  <si>
    <t xml:space="preserve">Fig_38</t>
  </si>
  <si>
    <t xml:space="preserve">Độ nhạy của pre-money với các nhân tố vĩ mô, ngành</t>
  </si>
  <si>
    <t xml:space="preserve">A361:I371</t>
  </si>
  <si>
    <t xml:space="preserve">Fig_39</t>
  </si>
  <si>
    <t xml:space="preserve">Chi phí biến đổi / doanh thu 2023A–2030E</t>
  </si>
  <si>
    <t xml:space="preserve">A373:I377</t>
  </si>
  <si>
    <t xml:space="preserve">Fig_40</t>
  </si>
  <si>
    <t xml:space="preserve">Doanh thu dự phóng theo phân khúc</t>
  </si>
  <si>
    <t xml:space="preserve">A379:G386</t>
  </si>
  <si>
    <t xml:space="preserve">Fig_41</t>
  </si>
  <si>
    <t xml:space="preserve">Giả định sản lượng, giá bán và chi phí</t>
  </si>
  <si>
    <t xml:space="preserve">A388:F400</t>
  </si>
  <si>
    <t xml:space="preserve">Fig_42</t>
  </si>
  <si>
    <t xml:space="preserve">Dự phóng kết quả kinh doanh 2025A–2030E</t>
  </si>
  <si>
    <t xml:space="preserve">A411:G428</t>
  </si>
  <si>
    <t xml:space="preserve">Fig_43</t>
  </si>
  <si>
    <t xml:space="preserve">Biên lợi nhuận 2023A–2030E (BCKQKD theo chức năng)</t>
  </si>
  <si>
    <t xml:space="preserve">A402:I409</t>
  </si>
  <si>
    <t xml:space="preserve">Drivers, IS</t>
  </si>
  <si>
    <t xml:space="preserve">Fig_44</t>
  </si>
  <si>
    <t xml:space="preserve">Tỷ lệ tái đầu tư (CAPEX/doanh thu) so với ngành</t>
  </si>
  <si>
    <t xml:space="preserve">A452:I460</t>
  </si>
  <si>
    <t xml:space="preserve">Drivers, External</t>
  </si>
  <si>
    <t xml:space="preserve">Fig_45</t>
  </si>
  <si>
    <t xml:space="preserve">CAPEX, khấu hao và FCFF</t>
  </si>
  <si>
    <t xml:space="preserve">A462:G470</t>
  </si>
  <si>
    <t xml:space="preserve">DCF, Drivers</t>
  </si>
  <si>
    <t xml:space="preserve">Fig_46</t>
  </si>
  <si>
    <t xml:space="preserve">Chỉ tiêu BCĐKT và LCTT dự phóng</t>
  </si>
  <si>
    <t xml:space="preserve">A472:G486</t>
  </si>
  <si>
    <t xml:space="preserve">Balance Sheet, Cash Flow Statement</t>
  </si>
  <si>
    <t xml:space="preserve">Fig_47</t>
  </si>
  <si>
    <t xml:space="preserve">ROIC so với WACC</t>
  </si>
  <si>
    <t xml:space="preserve">A488:G493</t>
  </si>
  <si>
    <t xml:space="preserve">Drivers, DCF</t>
  </si>
  <si>
    <t xml:space="preserve">Fig_48</t>
  </si>
  <si>
    <t xml:space="preserve">Chi phí vốn (WACC)</t>
  </si>
  <si>
    <t xml:space="preserve">A495:C511</t>
  </si>
  <si>
    <t xml:space="preserve">Mục 5</t>
  </si>
  <si>
    <t xml:space="preserve">Fig_49</t>
  </si>
  <si>
    <t xml:space="preserve">Cầu nối DCF và bội số ngầm định</t>
  </si>
  <si>
    <t xml:space="preserve">A524:B538</t>
  </si>
  <si>
    <t xml:space="preserve">Fig_50</t>
  </si>
  <si>
    <t xml:space="preserve">Bảng tính DCF</t>
  </si>
  <si>
    <t xml:space="preserve">A513:G522</t>
  </si>
  <si>
    <t xml:space="preserve">Fig_51</t>
  </si>
  <si>
    <t xml:space="preserve">VC Method: các bước tính</t>
  </si>
  <si>
    <t xml:space="preserve">A540:C557</t>
  </si>
  <si>
    <t xml:space="preserve">Fig_52</t>
  </si>
  <si>
    <t xml:space="preserve">VC Method: từ giá trị thoái vốn đến pre-money</t>
  </si>
  <si>
    <t xml:space="preserve">A559:B566</t>
  </si>
  <si>
    <t xml:space="preserve">Fig_53</t>
  </si>
  <si>
    <t xml:space="preserve">Bội số của DN bao bì niêm yết</t>
  </si>
  <si>
    <t xml:space="preserve">A568:E589</t>
  </si>
  <si>
    <t xml:space="preserve">Multiples</t>
  </si>
  <si>
    <t xml:space="preserve">Fig_54</t>
  </si>
  <si>
    <t xml:space="preserve">Định giá bằng bội số so sánh</t>
  </si>
  <si>
    <t xml:space="preserve">A591:E601</t>
  </si>
  <si>
    <t xml:space="preserve">Fig_55</t>
  </si>
  <si>
    <t xml:space="preserve">So sánh kết quả định giá</t>
  </si>
  <si>
    <t xml:space="preserve">A603:B615</t>
  </si>
  <si>
    <t xml:space="preserve">Fig_56</t>
  </si>
  <si>
    <t xml:space="preserve">Kết quả theo kịch bản</t>
  </si>
  <si>
    <t xml:space="preserve">A617:E629</t>
  </si>
  <si>
    <t xml:space="preserve">Fig_57</t>
  </si>
  <si>
    <t xml:space="preserve">Phù hợp và hạn chế của từng phương pháp</t>
  </si>
  <si>
    <t xml:space="preserve">Fig_58</t>
  </si>
  <si>
    <t xml:space="preserve">Định giá khi chưa có doanh thu</t>
  </si>
  <si>
    <t xml:space="preserve">A631:D636</t>
  </si>
  <si>
    <t xml:space="preserve">Mục 8</t>
  </si>
  <si>
    <t xml:space="preserve">Fig_59</t>
  </si>
  <si>
    <t xml:space="preserve">Phương pháp và giả định khi chưa có doanh thu</t>
  </si>
  <si>
    <t xml:space="preserve">Fig_A01</t>
  </si>
  <si>
    <t xml:space="preserve">Tiêu chí lựa chọn khách hàng mục tiêu</t>
  </si>
  <si>
    <t xml:space="preserve">Phụ lục</t>
  </si>
  <si>
    <t xml:space="preserve">Fig_A02</t>
  </si>
  <si>
    <t xml:space="preserve">Chuỗi giá trị AgriPack (minh họa)</t>
  </si>
  <si>
    <t xml:space="preserve">Fig_A03</t>
  </si>
  <si>
    <t xml:space="preserve">Các nhóm sản phẩm nhựa chính do Việt Nam sản xuất</t>
  </si>
  <si>
    <t xml:space="preserve">A638:B644</t>
  </si>
  <si>
    <t xml:space="preserve">Fig_A04</t>
  </si>
  <si>
    <t xml:space="preserve">Đối thủ cạnh tranh trực tiếp</t>
  </si>
  <si>
    <t xml:space="preserve">Fig_A05</t>
  </si>
  <si>
    <t xml:space="preserve">Sản phẩm thay thế: ưu điểm và nhược điểm</t>
  </si>
  <si>
    <t xml:space="preserve">Fig_A06</t>
  </si>
  <si>
    <t xml:space="preserve">Báo cáo kết quả kinh doanh 2023A–2030E</t>
  </si>
  <si>
    <t xml:space="preserve">A646:I675</t>
  </si>
  <si>
    <t xml:space="preserve">Fig_A07</t>
  </si>
  <si>
    <t xml:space="preserve">Bảng cân đối kế toán 2023A–2030E</t>
  </si>
  <si>
    <t xml:space="preserve">A677:I697</t>
  </si>
  <si>
    <t xml:space="preserve">Fig_A08</t>
  </si>
  <si>
    <t xml:space="preserve">Báo cáo lưu chuyển tiền tệ 2023A–2030E</t>
  </si>
  <si>
    <t xml:space="preserve">A699:I711</t>
  </si>
  <si>
    <t xml:space="preserve">Fig_A09</t>
  </si>
  <si>
    <t xml:space="preserve">Giả định dự phóng: giá trị, lý do và nguồn</t>
  </si>
  <si>
    <t xml:space="preserve">A713:G750</t>
  </si>
  <si>
    <t xml:space="preserve">Fig_A10</t>
  </si>
  <si>
    <t xml:space="preserve">CAPEX/doanh thu của DN bao bì niêm yết</t>
  </si>
  <si>
    <t xml:space="preserve">A430:K450</t>
  </si>
  <si>
    <t xml:space="preserve">Fig_A11</t>
  </si>
  <si>
    <t xml:space="preserve">Giả định định giá: giá trị, lý do và nguồn</t>
  </si>
  <si>
    <t xml:space="preserve">A752:C773</t>
  </si>
  <si>
    <t xml:space="preserve">Discount rate, Assumption, VCM, Multiples, Summary</t>
  </si>
  <si>
    <t xml:space="preserve">Fig_A12</t>
  </si>
  <si>
    <t xml:space="preserve">Lợi suất TPCP kỳ hạn 10 năm 2016–2025</t>
  </si>
  <si>
    <t xml:space="preserve">A775:D788</t>
  </si>
  <si>
    <t xml:space="preserve">Fig_A13</t>
  </si>
  <si>
    <t xml:space="preserve">Mẫu DN so sánh cho phương pháp Multiples</t>
  </si>
  <si>
    <t xml:space="preserve">A790:H810</t>
  </si>
  <si>
    <t xml:space="preserve">Fig_A14</t>
  </si>
  <si>
    <t xml:space="preserve">Độ nhạy DCF và VC Method</t>
  </si>
  <si>
    <t xml:space="preserve">A812:F832</t>
  </si>
  <si>
    <t xml:space="preserve">Sensitivity</t>
  </si>
  <si>
    <t xml:space="preserve">Fig_A15</t>
  </si>
  <si>
    <t xml:space="preserve">Độ nhạy theo nhân tố vĩ mô – ngành</t>
  </si>
  <si>
    <t xml:space="preserve">A834:L844</t>
  </si>
  <si>
    <t xml:space="preserve">Fig_01 | Doanh thu thuần và biên EBITDA 2023A–2030E</t>
  </si>
  <si>
    <t xml:space="preserve">Doanh thu thuần (tỷ đồng)</t>
  </si>
  <si>
    <t xml:space="preserve">Tăng trưởng doanh thu</t>
  </si>
  <si>
    <t xml:space="preserve">Nguồn: BCTC 2023–2025 do đề bài cung cấp; dự phóng của nhóm (sheet Drivers)</t>
  </si>
  <si>
    <t xml:space="preserve">Fig_02 | Khoảng giá trị pre-money theo phương pháp</t>
  </si>
  <si>
    <t xml:space="preserve">DCF (WACC ±1 điểm %, g ±1 điểm %)</t>
  </si>
  <si>
    <t xml:space="preserve">VC Method (z 35–45%, giá trị thoái vốn ±15%)</t>
  </si>
  <si>
    <t xml:space="preserve">Multiples (EV/EBITDA, P/E 2025A; DLOM 30%)</t>
  </si>
  <si>
    <t xml:space="preserve">Khuyến nghị (bình quân gia quyền 40/40/20)</t>
  </si>
  <si>
    <t xml:space="preserve">Vốn cổ phần cần huy động (đầu vào VC Method)</t>
  </si>
  <si>
    <t xml:space="preserve">Nguồn: Mô hình (Summary, Sensitivity, Multiples)</t>
  </si>
  <si>
    <t xml:space="preserve">Fig_03 | Tóm tắt tài chính 2023A–2030E</t>
  </si>
  <si>
    <t xml:space="preserve">Tăng trưởng</t>
  </si>
  <si>
    <t xml:space="preserve">Biên lợi nhuận gộp (VAS)</t>
  </si>
  <si>
    <t xml:space="preserve">LNST</t>
  </si>
  <si>
    <t xml:space="preserve">FCF (2023–25A: CFO − CAPEX) / FCFF (2026–30E)</t>
  </si>
  <si>
    <t xml:space="preserve">CAPEX / doanh thu (tỷ lệ tái đầu tư)</t>
  </si>
  <si>
    <t xml:space="preserve">ROIC = NOPAT / (TSCĐ ròng + VLĐ)</t>
  </si>
  <si>
    <t xml:space="preserve">Vốn chủ sở hữu cuối kỳ</t>
  </si>
  <si>
    <t xml:space="preserve">Nợ vay cuối kỳ (ngắn + dài hạn)</t>
  </si>
  <si>
    <t xml:space="preserve">Nguồn: BCTC 2023–2025 (đề bài); dự phóng của nhóm; BCKQKD theo chức năng (70% tiền lương, 90% khấu hao vào giá vốn)</t>
  </si>
  <si>
    <t xml:space="preserve">Fig_04 | Thị trường nhựa Việt Nam 2026–2031</t>
  </si>
  <si>
    <t xml:space="preserve">2026</t>
  </si>
  <si>
    <t xml:space="preserve">2031</t>
  </si>
  <si>
    <t xml:space="preserve">Thị trường nhựa Việt Nam (triệu tấn)</t>
  </si>
  <si>
    <t xml:space="preserve">Nhựa bao bì năm 2026 = 50,35% thị trường (triệu tấn)</t>
  </si>
  <si>
    <t xml:space="preserve">Tốc độ tăng bình quân 2026–2031</t>
  </si>
  <si>
    <t xml:space="preserve">Tỷ trọng rác thải nhựa toàn cầu đến từ bao bì (UNEP)</t>
  </si>
  <si>
    <t xml:space="preserve">Nguồn: Số liệu trong bài của nhóm (Mục 1.1.1); tỷ lệ 46%: UNEP (2021)</t>
  </si>
  <si>
    <t xml:space="preserve">Fig_06 | Giá tham khảo hộp đựng thực phẩm 500 ml</t>
  </si>
  <si>
    <t xml:space="preserve">Loại hộp (có nắp)</t>
  </si>
  <si>
    <t xml:space="preserve">Giá thấp (đ/chiếc)</t>
  </si>
  <si>
    <t xml:space="preserve">Giá cao (đ/chiếc)</t>
  </si>
  <si>
    <t xml:space="preserve">Dung tích</t>
  </si>
  <si>
    <t xml:space="preserve">Xốp EPS</t>
  </si>
  <si>
    <t xml:space="preserve">500 ml</t>
  </si>
  <si>
    <t xml:space="preserve">PP</t>
  </si>
  <si>
    <t xml:space="preserve">Kraft (nắp PP)</t>
  </si>
  <si>
    <t xml:space="preserve">Bã mía</t>
  </si>
  <si>
    <t xml:space="preserve">AgriPack – hộp/khay F&amp;B (bảng giá Mục 1.2.2)</t>
  </si>
  <si>
    <t xml:space="preserve">500–800 ml</t>
  </si>
  <si>
    <t xml:space="preserve">Nguồn: QueenPack.com; baobixanh.com (bảng của nhóm, Mục 1.1.1); giá AgriPack: bảng chiến lược giá (Mục 1.2.2)</t>
  </si>
  <si>
    <t xml:space="preserve">Fig_07 | Thị trường mục tiêu TAM – SAM – SOM</t>
  </si>
  <si>
    <t xml:space="preserve">Chỉ tiêu (triệu USD)</t>
  </si>
  <si>
    <t xml:space="preserve">CAGR</t>
  </si>
  <si>
    <t xml:space="preserve">TAM – thị trường bao bì xanh Việt Nam (IMARC)</t>
  </si>
  <si>
    <t xml:space="preserve">SAM – bao bì dùng một lần phân hủy sinh học ngành F&amp;B (IMARC)</t>
  </si>
  <si>
    <t xml:space="preserve">SOM – doanh thu F&amp;B/FMCG của AgriPack</t>
  </si>
  <si>
    <t xml:space="preserve">SOM / SAM</t>
  </si>
  <si>
    <t xml:space="preserve">Nguồn: IMARC Group (2025); doanh thu F&amp;B quy đổi USD theo tỷ giá bình quân (Drivers)</t>
  </si>
  <si>
    <t xml:space="preserve">Fig_08 | Chiến lược giá bán của AgriPack</t>
  </si>
  <si>
    <t xml:space="preserve">Tham chiếu – thấp</t>
  </si>
  <si>
    <t xml:space="preserve">Tham chiếu – cao</t>
  </si>
  <si>
    <t xml:space="preserve">AgriPack – thấp</t>
  </si>
  <si>
    <t xml:space="preserve">AgriPack – cao</t>
  </si>
  <si>
    <t xml:space="preserve">Đơn vị</t>
  </si>
  <si>
    <t xml:space="preserve">Hộp/khay F&amp;B, FMCG – hộp bã mía Thái Lan (600 ml)</t>
  </si>
  <si>
    <t xml:space="preserve">đ/cái</t>
  </si>
  <si>
    <t xml:space="preserve">Hộp/khay F&amp;B, FMCG – hộp bã mía Trung Quốc (600–750 ml)</t>
  </si>
  <si>
    <t xml:space="preserve">Đệm bảo vệ thiết bị, linh kiện điện tử</t>
  </si>
  <si>
    <t xml:space="preserve">Đệm bảo vệ nội thất/e-commerce</t>
  </si>
  <si>
    <t xml:space="preserve">Thiết kế – chế tạo khuôn – ép mẫu thử</t>
  </si>
  <si>
    <t xml:space="preserve">triệu đ/bộ khuôn</t>
  </si>
  <si>
    <t xml:space="preserve">ASP hộp/khay F&amp;B 2025 dùng trong mô hình</t>
  </si>
  <si>
    <t xml:space="preserve">Nguồn: Bảng chiến lược giá của nhóm (Mục 1.2.2: ecoeshop.com, HTAECO.com); ASP mô hình: Drivers</t>
  </si>
  <si>
    <t xml:space="preserve">Fig_09 | Cơ cấu doanh thu 2023–2025</t>
  </si>
  <si>
    <t xml:space="preserve">Nhóm sản phẩm (nghìn đồng)</t>
  </si>
  <si>
    <t xml:space="preserve">2023</t>
  </si>
  <si>
    <t xml:space="preserve">2024</t>
  </si>
  <si>
    <t xml:space="preserve">2025</t>
  </si>
  <si>
    <t xml:space="preserve">Thực phẩm/FMCG</t>
  </si>
  <si>
    <t xml:space="preserve">Thiết kế theo mẫu</t>
  </si>
  <si>
    <t xml:space="preserve">Nội thất/E-commerce</t>
  </si>
  <si>
    <t xml:space="preserve">Thiết bị điện tử</t>
  </si>
  <si>
    <t xml:space="preserve">Tổng doanh thu bán hàng</t>
  </si>
  <si>
    <t xml:space="preserve">Nguồn: BCTC 2023–2025 (đề bài); biểu đồ cơ cấu doanh thu của nhóm (Mục 1.3.1)</t>
  </si>
  <si>
    <t xml:space="preserve">Fig_10 | Cơ cấu chi phí 2023–2025</t>
  </si>
  <si>
    <t xml:space="preserve">Nhóm chi phí (nghìn đồng)</t>
  </si>
  <si>
    <t xml:space="preserve">COGS (giá vốn theo BCTC gốc)</t>
  </si>
  <si>
    <t xml:space="preserve">SG&amp;A (CPBH &amp; QLDN, không gồm lương)</t>
  </si>
  <si>
    <t xml:space="preserve">Payroll (tiền lương)</t>
  </si>
  <si>
    <t xml:space="preserve">Nguồn: BCTC 2023–2025 (đề bài); cách phân loại của nhóm (Mục 1.3.1) – chưa phân bổ tiền lương, khấu hao vào giá vốn</t>
  </si>
  <si>
    <t xml:space="preserve">Fig_12 | Quy mô doanh thu 2023–2025</t>
  </si>
  <si>
    <t xml:space="preserve">Doanh thu thuần (nghìn đồng)</t>
  </si>
  <si>
    <t xml:space="preserve">Tăng trưởng doanh thu (%)</t>
  </si>
  <si>
    <t xml:space="preserve">Nguồn: BCTC 2023–2025 (đề bài); tính toán của nhóm</t>
  </si>
  <si>
    <t xml:space="preserve">Fig_13 | Quy mô doanh thu 2025 so với doanh nghiệp dẫn đầu</t>
  </si>
  <si>
    <t xml:space="preserve">Doanh nghiệp</t>
  </si>
  <si>
    <t xml:space="preserve">Doanh thu 2025 (tỷ đồng)</t>
  </si>
  <si>
    <t xml:space="preserve">Gấp AgriPack (lần)</t>
  </si>
  <si>
    <t xml:space="preserve">An Phát Holdings</t>
  </si>
  <si>
    <t xml:space="preserve">Đông Hải Bến Tre (DHC)</t>
  </si>
  <si>
    <t xml:space="preserve">AgriPack</t>
  </si>
  <si>
    <t xml:space="preserve">Nguồn: Bài của nhóm (Mục 2.1), BCTC 2025 của An Phát Holdings, Đông Hải Bến Tre; AgriPack: BCTC 2025 (đề bài)</t>
  </si>
  <si>
    <t xml:space="preserve">Fig_14 | Mức độ sinh lời 2023–2025</t>
  </si>
  <si>
    <t xml:space="preserve">Lợi nhuận gộp (%)</t>
  </si>
  <si>
    <t xml:space="preserve">Tổng chi phí hoạt động (chi phí bán hàng và quản lý doanh nghiệp + lương)</t>
  </si>
  <si>
    <t xml:space="preserve">EBIT</t>
  </si>
  <si>
    <t xml:space="preserve">Biên EBIT (%)</t>
  </si>
  <si>
    <t xml:space="preserve">Biên lợi nhuận ròng (%)</t>
  </si>
  <si>
    <t xml:space="preserve">ROE</t>
  </si>
  <si>
    <t xml:space="preserve">ROA</t>
  </si>
  <si>
    <t xml:space="preserve">Vòng quay tổng tài sản (lần)</t>
  </si>
  <si>
    <t xml:space="preserve">Ghi nhớ: biên gộp khi 70% tiền lương và 90% khấu hao vào giá vốn (Mục 4)</t>
  </si>
  <si>
    <t xml:space="preserve">Nguồn: BCTC 2023–2025 (đề bài); tính toán của nhóm (ROE, ROA, vòng quay trên số dư bình quân); dòng ghi nhớ: Drivers</t>
  </si>
  <si>
    <t xml:space="preserve">Fig_15 | Biên lợi nhuận gộp so với ngành</t>
  </si>
  <si>
    <t xml:space="preserve">Đối tượng</t>
  </si>
  <si>
    <t xml:space="preserve">AgriPack 2025 – BCTC gốc (tiền lương, khấu hao ngoài giá vốn)</t>
  </si>
  <si>
    <t xml:space="preserve">AgriPack 2025 – theo chức năng (70% tiền lương, 90% khấu hao vào giá vốn)</t>
  </si>
  <si>
    <t xml:space="preserve">Chuẩn chung ngành sản xuất</t>
  </si>
  <si>
    <t xml:space="preserve">DN bao bì giấy lớn (SVI, Đông Hải Bến Tre)</t>
  </si>
  <si>
    <t xml:space="preserve">Nguồn: BCTC 2025 (đề bài); mô hình (Income Statement); Cleverence (2026); bài của nhóm (Mục 2.2)</t>
  </si>
  <si>
    <t xml:space="preserve">Fig_16 | Đòn bẩy hoạt động: chi phí cố định/doanh thu 2023–2025</t>
  </si>
  <si>
    <t xml:space="preserve">Tiền lương / doanh thu thuần</t>
  </si>
  <si>
    <t xml:space="preserve">Thuê mặt bằng / doanh thu thuần</t>
  </si>
  <si>
    <t xml:space="preserve">Nguồn: BCTC 2023–2025 (đề bài); mô hình (Drivers)</t>
  </si>
  <si>
    <t xml:space="preserve">Fig_17 | Quy mô tài sản 2023–2025</t>
  </si>
  <si>
    <t xml:space="preserve">Nguồn: BCTC 2023–2025 (đề bài)</t>
  </si>
  <si>
    <t xml:space="preserve">Fig_18 | CAPEX và cường độ đầu tư 2023–2025</t>
  </si>
  <si>
    <t xml:space="preserve">CAPEX/Doanh thu (%)</t>
  </si>
  <si>
    <t xml:space="preserve">CAPEX/Khấu hao (lần)</t>
  </si>
  <si>
    <t xml:space="preserve">Fig_19 | Cơ cấu nguồn vốn 2023–2025</t>
  </si>
  <si>
    <t xml:space="preserve">Tỷ lệ Nợ/Vốn CSH (D/E)</t>
  </si>
  <si>
    <t xml:space="preserve">Fig_20 | Dòng tiền 2023–2025</t>
  </si>
  <si>
    <t xml:space="preserve">Dòng tiền tự do (FCF = OCF − CAPEX)</t>
  </si>
  <si>
    <t xml:space="preserve">Fig_21 | Thanh khoản 2023–2025</t>
  </si>
  <si>
    <t xml:space="preserve">Hệ số thanh toán hiện hành (lần)</t>
  </si>
  <si>
    <t xml:space="preserve">Hệ số thanh toán nhanh (lần)</t>
  </si>
  <si>
    <t xml:space="preserve">Fig_23 | Tỷ lệ thất bại theo giai đoạn đầu tư VC</t>
  </si>
  <si>
    <t xml:space="preserve">Giai đoạn</t>
  </si>
  <si>
    <t xml:space="preserve">AgriPack – tỷ lệ thất bại sử dụng (z)</t>
  </si>
  <si>
    <t xml:space="preserve">Nguồn: Đề bài (Mục III.1); kết luận giai đoạn của nhóm (Mục 2)</t>
  </si>
  <si>
    <t xml:space="preserve">Fig_24 | Tăng trưởng GDP 6 tháng đầu năm theo khu vực</t>
  </si>
  <si>
    <t xml:space="preserve">Khu vực</t>
  </si>
  <si>
    <t xml:space="preserve">6T/2025</t>
  </si>
  <si>
    <t xml:space="preserve">6T/2026</t>
  </si>
  <si>
    <t xml:space="preserve">GDP</t>
  </si>
  <si>
    <t xml:space="preserve">Nông, lâm nghiệp và thủy sản</t>
  </si>
  <si>
    <t xml:space="preserve">Công nghiệp và xây dựng</t>
  </si>
  <si>
    <t xml:space="preserve">Dịch vụ</t>
  </si>
  <si>
    <t xml:space="preserve">Nguồn: Cục Thống kê (2026), tốc độ tăng GDP 6 tháng đầu năm so với cùng kỳ (%) (Mục 3.1.1)</t>
  </si>
  <si>
    <t xml:space="preserve">Fig_25 | Lạm phát 8 tháng đầu năm 2026</t>
  </si>
  <si>
    <t xml:space="preserve">% so với cùng kỳ</t>
  </si>
  <si>
    <t xml:space="preserve">CPI bình quân 8T/2026</t>
  </si>
  <si>
    <t xml:space="preserve">Lạm phát cơ bản 8T/2026</t>
  </si>
  <si>
    <t xml:space="preserve">Nhóm nhà ở, điện, nước, chất đốt, VLXD</t>
  </si>
  <si>
    <t xml:space="preserve">Giả định tăng giá bán hộp F&amp;B 2026E (Mục 4)</t>
  </si>
  <si>
    <t xml:space="preserve">Nguồn: Cục Thống kê (2026) (Mục 3.1.2); giả định giá bán: Drivers</t>
  </si>
  <si>
    <t xml:space="preserve">Fig_26 | Lãi suất, tín dụng và hỗ trợ lãi suất 2026</t>
  </si>
  <si>
    <t xml:space="preserve">Chỉ báo</t>
  </si>
  <si>
    <t xml:space="preserve">Giá trị</t>
  </si>
  <si>
    <t xml:space="preserve">Thời điểm</t>
  </si>
  <si>
    <t xml:space="preserve">Lãi suất cho vay VND bình quân – thấp (%/năm)</t>
  </si>
  <si>
    <t xml:space="preserve">6/2026</t>
  </si>
  <si>
    <t xml:space="preserve">Lãi suất cho vay VND bình quân – cao (%/năm)</t>
  </si>
  <si>
    <t xml:space="preserve">Dư nợ tín dụng DNNVV (triệu tỷ đồng)</t>
  </si>
  <si>
    <t xml:space="preserve">28/8/2026</t>
  </si>
  <si>
    <t xml:space="preserve">Tăng dư nợ DNNVV so với cuối 2025 (%)</t>
  </si>
  <si>
    <t xml:space="preserve">NATIF: hỗ trợ 50% lãi suất vay, tối đa (%/năm)</t>
  </si>
  <si>
    <t xml:space="preserve">NATIF: quy mô hỗ trợ đợt 1/2026 (tỷ đồng)</t>
  </si>
  <si>
    <t xml:space="preserve">Lãi suất vay Kd dùng trong mô hình (%/năm)</t>
  </si>
  <si>
    <t xml:space="preserve">2026E–2030E</t>
  </si>
  <si>
    <t xml:space="preserve">Nguồn: NHNN (2026); Thanh tra (2026); NATIF (2026) (Mục 3.1.3, 3.1.5); Kd: sheet Discount rate</t>
  </si>
  <si>
    <t xml:space="preserve">Fig_27 | Tỷ giá USD/VND 2026</t>
  </si>
  <si>
    <t xml:space="preserve">Mốc</t>
  </si>
  <si>
    <t xml:space="preserve">Liên ngân hàng cuối 8/2026</t>
  </si>
  <si>
    <t xml:space="preserve">Tỷ giá trung tâm 22/9/2026</t>
  </si>
  <si>
    <t xml:space="preserve">Vietcombank bán ra 22/9/2026</t>
  </si>
  <si>
    <t xml:space="preserve">MBS dự báo cuối 2026 – thấp</t>
  </si>
  <si>
    <t xml:space="preserve">MBS dự báo cuối 2026 – cao</t>
  </si>
  <si>
    <t xml:space="preserve">Tỷ giá bình quân 2026E trong mô hình</t>
  </si>
  <si>
    <t xml:space="preserve">Tỷ giá bình quân 2030E trong mô hình</t>
  </si>
  <si>
    <t xml:space="preserve">Nguồn: Tạp chí Kinh tế – Tài chính (2026); Thời báo Tài chính Việt Nam (2026), MBS Research (Mục 3.1.4); Drivers</t>
  </si>
  <si>
    <t xml:space="preserve">Fig_28 | Vốn đầu tư mạo hiểm vào Việt Nam</t>
  </si>
  <si>
    <t xml:space="preserve">2022</t>
  </si>
  <si>
    <t xml:space="preserve">Vốn đầu tư mạo hiểm vào Việt Nam (triệu USD)</t>
  </si>
  <si>
    <t xml:space="preserve">Nguồn: NIC &amp; DO Ventures (2023, 2024); BCG, NIC &amp; VPCA (2026): năm 2025 VC 509 triệu USD, +28% (Mục 3.1.5); 2024 suy ra từ mức tăng 28%</t>
  </si>
  <si>
    <t xml:space="preserve">Fig_30 | Thuế suất TNDN áp dụng cho AgriPack 2026–2031</t>
  </si>
  <si>
    <t xml:space="preserve">2027</t>
  </si>
  <si>
    <t xml:space="preserve">2028</t>
  </si>
  <si>
    <t xml:space="preserve">2029</t>
  </si>
  <si>
    <t xml:space="preserve">2030</t>
  </si>
  <si>
    <t xml:space="preserve">Thuế suất trong mô hình (Luật Thuế TNDN 67/2025/QH15)</t>
  </si>
  <si>
    <t xml:space="preserve">Nếu hưởng ưu đãi NQ 198/2025/QH15 (miễn 2 năm, giảm 50% trong 4 năm)</t>
  </si>
  <si>
    <t xml:space="preserve">Nguồn: Luật Thuế TNDN 67/2025/QH15; Nghị quyết 198/2025/QH15; mô hình (Drivers). Ưu đãi chỉ áp dụng khi đủ điều kiện DN khởi nghiệp sáng tạo</t>
  </si>
  <si>
    <t xml:space="preserve">Fig_31 | Tốc độ tăng trưởng dự báo theo phân khúc bao bì</t>
  </si>
  <si>
    <t xml:space="preserve">Phân khúc (giai đoạn dự báo)</t>
  </si>
  <si>
    <t xml:space="preserve">CAGR (%)</t>
  </si>
  <si>
    <t xml:space="preserve">Nhựa sinh học VN (2025–2033)</t>
  </si>
  <si>
    <t xml:space="preserve">Bột giấy đúc – molded fiber (2026–2031)</t>
  </si>
  <si>
    <t xml:space="preserve">Bao bì giấy VN (2025–2030)</t>
  </si>
  <si>
    <t xml:space="preserve">Bao bì nhựa VN, sản lượng (2023–2028)</t>
  </si>
  <si>
    <t xml:space="preserve">Thị trường nhựa, sản lượng (2026–2031)</t>
  </si>
  <si>
    <t xml:space="preserve">SAM: bao bì F&amp;B phân hủy sinh học (2026–2034)</t>
  </si>
  <si>
    <t xml:space="preserve">TAM: bao bì xanh VN (2026–2034)</t>
  </si>
  <si>
    <t xml:space="preserve">Bao bì kim loại VN (2024–2029)</t>
  </si>
  <si>
    <t xml:space="preserve">Doanh thu thuần AgriPack dự phóng (2025–2030E)</t>
  </si>
  <si>
    <t xml:space="preserve">Nguồn: Mordor Intelligence; IMARC Group (2025); VPAS – số liệu nhóm tổng hợp (Mục 1.1.1, 3.2.1); dự phóng: Drivers</t>
  </si>
  <si>
    <t xml:space="preserve">Fig_32 | Quy mô thị trường bao bì theo phân khúc</t>
  </si>
  <si>
    <t xml:space="preserve">Thị trường (năm số liệu)</t>
  </si>
  <si>
    <t xml:space="preserve">Quy mô (triệu USD)</t>
  </si>
  <si>
    <t xml:space="preserve">Bao bì giấy Việt Nam (2025)</t>
  </si>
  <si>
    <t xml:space="preserve">Bao bì kim loại Việt Nam (2024)</t>
  </si>
  <si>
    <t xml:space="preserve">Bao bì xanh Việt Nam – TAM (2025)</t>
  </si>
  <si>
    <t xml:space="preserve">Nhựa sinh học Việt Nam (2024)</t>
  </si>
  <si>
    <t xml:space="preserve">Bao bì F&amp;B dùng một lần phân hủy sinh học – SAM (2025)</t>
  </si>
  <si>
    <t xml:space="preserve">Nguồn: Mordor Intelligence; IMARC Group (2025) – số liệu trong bài của nhóm (Mục 1.1.2, 3.2.1); các thị trường có phạm vi chồng lấn, không cộng dồn</t>
  </si>
  <si>
    <t xml:space="preserve">Fig_33 | Chỉ báo cầu đối với bao bì xanh</t>
  </si>
  <si>
    <t xml:space="preserve">NTD quan tâm tính thân thiện môi trường của bao bì (Vietnam Report, 2024)</t>
  </si>
  <si>
    <t xml:space="preserve">NTD sẵn sàng trả cao hơn cho sản phẩm "xanh" (Nielsen Việt Nam)</t>
  </si>
  <si>
    <t xml:space="preserve">Dân số tham gia mua sắm trực tuyến</t>
  </si>
  <si>
    <t xml:space="preserve">NTD sẵn sàng trả cao hơn tối đa 10% cho sản phẩm vật liệu xanh (PwC, 2024)</t>
  </si>
  <si>
    <t xml:space="preserve">Tăng trưởng TMĐT bình quân/năm</t>
  </si>
  <si>
    <t xml:space="preserve">Tăng trưởng xuất khẩu 2025 (475,04 so với 405,94 tỷ USD)</t>
  </si>
  <si>
    <t xml:space="preserve">Nguồn: Vietnam Report (2024); Nielsen Việt Nam; PwC (2024); số liệu TMĐT, xuất khẩu do nhóm tổng hợp (Mục 3.2.2, 3.2.7)</t>
  </si>
  <si>
    <t xml:space="preserve">Fig_35 | Công suất của một số đối thủ</t>
  </si>
  <si>
    <t xml:space="preserve">Hiện tại (nghìn tấn/năm)</t>
  </si>
  <si>
    <t xml:space="preserve">Kế hoạch/cận trên (nghìn tấn/năm)</t>
  </si>
  <si>
    <t xml:space="preserve">An Phát Holdings – AnEco (9.000 tấn/tháng)</t>
  </si>
  <si>
    <t xml:space="preserve">HAPBIO (Haplast)</t>
  </si>
  <si>
    <t xml:space="preserve">Thành Long Bioplastic (kế hoạch 43.000 tấn)</t>
  </si>
  <si>
    <t xml:space="preserve">AIRX Coffee (3.000–4.000 tấn vật liệu)</t>
  </si>
  <si>
    <t xml:space="preserve">Nguồn: Bảng đối thủ cạnh tranh của nhóm (Mục 3.2.4, Fig. A04)</t>
  </si>
  <si>
    <t xml:space="preserve">Fig_37 | Từ vĩ mô, ngành đến giả định mô hình</t>
  </si>
  <si>
    <t xml:space="preserve">Yếu tố vĩ mô/ngành (mục)</t>
  </si>
  <si>
    <t xml:space="preserve">Giả định trong mô hình</t>
  </si>
  <si>
    <t xml:space="preserve">GDP 6T/2026 +8,18%, tiêu dùng +8,15% (3.1.1); TMĐT +18–25%/năm (3.2.2)</t>
  </si>
  <si>
    <t xml:space="preserve">Tăng trưởng sản lượng hộp/khay F&amp;B</t>
  </si>
  <si>
    <t xml:space="preserve">TMĐT, nội thất xuất khẩu (3.2.2)</t>
  </si>
  <si>
    <t xml:space="preserve">CPI 8T/2026 +4,45%; khách hàng B2B có sức mạnh rất cao (3.1.2, 3.2.3)</t>
  </si>
  <si>
    <t xml:space="preserve">Tăng giá bán F&amp;B và khuôn</t>
  </si>
  <si>
    <t xml:space="preserve">Chi phí thu gom, vận chuyển, sấy tăng; bã mía bị cạnh tranh (3.1.2, 3.2.3)</t>
  </si>
  <si>
    <t xml:space="preserve">Chi phí biến đổi / doanh thu</t>
  </si>
  <si>
    <t xml:space="preserve">Nhóm điện, nước +6,71%; giá điện +4,8% (3.1.2)</t>
  </si>
  <si>
    <t xml:space="preserve">Điện, nước / doanh thu</t>
  </si>
  <si>
    <t xml:space="preserve">Lương tối thiểu vùng +7,2% từ 01/2026 (NĐ 293/2025)</t>
  </si>
  <si>
    <t xml:space="preserve">Tiền lương / doanh thu</t>
  </si>
  <si>
    <t xml:space="preserve">TT 27/2026/TT-BYT; rào cản chất lượng, chứng nhận (3.1.6.1, 3.2.5)</t>
  </si>
  <si>
    <t xml:space="preserve">Kiểm nghiệm, chứng nhận &amp; R&amp;D / DT</t>
  </si>
  <si>
    <t xml:space="preserve">Rào cản vốn đầu tư (3.2.5); đề bài: đầu tư lớn 2027</t>
  </si>
  <si>
    <t xml:space="preserve">CAPEX / doanh thu (tái đầu tư)</t>
  </si>
  <si>
    <t xml:space="preserve">Lãi suất cho vay 8,1–10,5% (3.1.3)</t>
  </si>
  <si>
    <t xml:space="preserve">Lãi suất vay Kd</t>
  </si>
  <si>
    <t xml:space="preserve">Luật Thuế TNDN 67/2025/QH15 (3.1.6.3)</t>
  </si>
  <si>
    <t xml:space="preserve">Thuế suất TNDN</t>
  </si>
  <si>
    <t xml:space="preserve">Tỷ giá: MBS 26.800–27.000 cuối 2026 (3.1.4)</t>
  </si>
  <si>
    <t xml:space="preserve">Tỷ giá bình quân USD/VND</t>
  </si>
  <si>
    <t xml:space="preserve">VC chọn lọc hơn (3.1.5); giai đoạn đầu tăng trưởng (Mục 2)</t>
  </si>
  <si>
    <t xml:space="preserve">Tỷ lệ thất bại z trong VC Method</t>
  </si>
  <si>
    <t xml:space="preserve">Lợi suất TPCP 10 năm, bình quân 2016–2025</t>
  </si>
  <si>
    <t xml:space="preserve">Lãi suất phi rủi ro Rf</t>
  </si>
  <si>
    <t xml:space="preserve">Bội số ngành bao bì (FiinX, 2026)</t>
  </si>
  <si>
    <t xml:space="preserve">EV/EBITDA thoái vốn (VC Method)</t>
  </si>
  <si>
    <t xml:space="preserve">Nguồn: Phân tích Mục 1–3; giả định: Drivers, VCM, Discount rate</t>
  </si>
  <si>
    <t xml:space="preserve">Fig_38 | Độ nhạy của pre-money với các nhân tố vĩ mô, ngành</t>
  </si>
  <si>
    <t xml:space="preserve">Nhân tố vĩ mô/ngành</t>
  </si>
  <si>
    <t xml:space="preserve">Δ pre-money bất lợi</t>
  </si>
  <si>
    <t xml:space="preserve">Δ pre-money thuận lợi</t>
  </si>
  <si>
    <t xml:space="preserve">Kịch bản cơ sở (Base)</t>
  </si>
  <si>
    <t xml:space="preserve">Sản lượng ×0,8 / ×1,2</t>
  </si>
  <si>
    <t xml:space="preserve">Giá bán ±1 điểm %/năm</t>
  </si>
  <si>
    <t xml:space="preserve">CP biến đổi ±1 điểm % DT</t>
  </si>
  <si>
    <t xml:space="preserve">CP nhân sự ±1 điểm % DT</t>
  </si>
  <si>
    <t xml:space="preserve">Lãi suất Rf, Kd ±1 điểm %</t>
  </si>
  <si>
    <t xml:space="preserve">CRP ±1 điểm %</t>
  </si>
  <si>
    <t xml:space="preserve">Ưu đãi thuế NQ 198</t>
  </si>
  <si>
    <t xml:space="preserve">Nguồn: Chạy lại toàn bộ mô hình với từng nhân tố ở mức bất lợi/thuận lợi (Summary, khối độ nhạy theo nhân tố vĩ mô – ngành)</t>
  </si>
  <si>
    <t xml:space="preserve">Fig_39 | Chi phí biến đổi / doanh thu 2023A–2030E</t>
  </si>
  <si>
    <t xml:space="preserve">Chi phí biến đổi (nguyên liệu, thu gom, sấy, năng lượng) / doanh thu thuần</t>
  </si>
  <si>
    <t xml:space="preserve">Nguồn: BCTC 2023–2025 (đề bài); giả định dự phóng (Drivers)</t>
  </si>
  <si>
    <t xml:space="preserve">Fig_40 | Doanh thu dự phóng theo phân khúc</t>
  </si>
  <si>
    <t xml:space="preserve">Bao bì F&amp;B/FMCG</t>
  </si>
  <si>
    <t xml:space="preserve">Thiết kế &amp; khuôn</t>
  </si>
  <si>
    <t xml:space="preserve">Đệm nội thất/TMĐT</t>
  </si>
  <si>
    <t xml:space="preserve">Đệm điện tử</t>
  </si>
  <si>
    <t xml:space="preserve">Nguồn: Dự phóng của nhóm (Drivers)</t>
  </si>
  <si>
    <t xml:space="preserve">Fig_41 | Giả định sản lượng, giá bán và chi phí</t>
  </si>
  <si>
    <t xml:space="preserve">Giả định</t>
  </si>
  <si>
    <t xml:space="preserve">Sản lượng hộp/khay F&amp;B (triệu cái)</t>
  </si>
  <si>
    <t xml:space="preserve">Tăng trưởng sản lượng F&amp;B</t>
  </si>
  <si>
    <t xml:space="preserve">Tăng giá đệm bảo vệ</t>
  </si>
  <si>
    <t xml:space="preserve">CAPEX / doanh thu</t>
  </si>
  <si>
    <t xml:space="preserve">Nguồn: Drivers (kịch bản Base)</t>
  </si>
  <si>
    <t xml:space="preserve">Fig_43 | Biên lợi nhuận 2023A–2030E (BCKQKD theo chức năng)</t>
  </si>
  <si>
    <t xml:space="preserve">Biên EBIT</t>
  </si>
  <si>
    <t xml:space="preserve">Biên LNST</t>
  </si>
  <si>
    <t xml:space="preserve">Biên gộp theo BCTC gốc (chưa phân bổ, tham khảo)</t>
  </si>
  <si>
    <t xml:space="preserve">Nguồn: BCTC 2023–2025 (trình bày lại theo chức năng); dự phóng (Drivers, Income Statement)</t>
  </si>
  <si>
    <t xml:space="preserve">Fig_42 | Dự phóng kết quả kinh doanh 2025A–2030E</t>
  </si>
  <si>
    <t xml:space="preserve">Tỷ đồng</t>
  </si>
  <si>
    <t xml:space="preserve">Chi phí bán hàng &amp; QLDN</t>
  </si>
  <si>
    <t xml:space="preserve">Ghi nhớ: khấu hao</t>
  </si>
  <si>
    <t xml:space="preserve">Ghi nhớ: EBITDA</t>
  </si>
  <si>
    <t xml:space="preserve">Nguồn: BCTC 2025 (đề bài, trình bày lại theo chức năng); dự phóng (Income Statement)</t>
  </si>
  <si>
    <t xml:space="preserve">Fig_A10 | CAPEX/doanh thu của DN bao bì niêm yết</t>
  </si>
  <si>
    <t xml:space="preserve">DN</t>
  </si>
  <si>
    <t xml:space="preserve">CAPEX 2023</t>
  </si>
  <si>
    <t xml:space="preserve">CAPEX 2024</t>
  </si>
  <si>
    <t xml:space="preserve">CAPEX 2025</t>
  </si>
  <si>
    <t xml:space="preserve">DT 2023</t>
  </si>
  <si>
    <t xml:space="preserve">DT 2024</t>
  </si>
  <si>
    <t xml:space="preserve">DT 2025</t>
  </si>
  <si>
    <t xml:space="preserve">Khấu hao 2023–25</t>
  </si>
  <si>
    <t xml:space="preserve">CAPEX/DT bq</t>
  </si>
  <si>
    <t xml:space="preserve">KH/DT bq</t>
  </si>
  <si>
    <t xml:space="preserve">CAPEX/KH (lần)</t>
  </si>
  <si>
    <t xml:space="preserve">SVI</t>
  </si>
  <si>
    <t xml:space="preserve">Trung vị</t>
  </si>
  <si>
    <t xml:space="preserve">Tứ phân vị trên (P75)</t>
  </si>
  <si>
    <t xml:space="preserve">Nguồn: FiinX – BCTC hợp nhất năm 2023–2025 (lưu chuyển tiền: tiền chi mua sắm TSCĐ; khấu hao; doanh thu thuần), tỷ đồng; tính toán của nhóm</t>
  </si>
  <si>
    <t xml:space="preserve">Fig_44 | Tỷ lệ tái đầu tư (CAPEX/doanh thu) so với ngành</t>
  </si>
  <si>
    <t xml:space="preserve">AgriPack: CAPEX / doanh thu (tỷ lệ tái đầu tư)</t>
  </si>
  <si>
    <t xml:space="preserve">AgriPack: khấu hao / doanh thu</t>
  </si>
  <si>
    <t xml:space="preserve">AgriPack: CAPEX / khấu hao (lần)</t>
  </si>
  <si>
    <t xml:space="preserve">DN bao bì niêm yết: trung vị CAPEX/DT 2023–25</t>
  </si>
  <si>
    <t xml:space="preserve">DN bao bì niêm yết: tứ phân vị trên (P75)</t>
  </si>
  <si>
    <t xml:space="preserve">DN bao bì niêm yết: trung vị khấu hao/DT</t>
  </si>
  <si>
    <t xml:space="preserve">Nguồn: Drivers; FiinX – 16 DN bao bì niêm yết, bình quân 2023–2025 (Fig. A10)</t>
  </si>
  <si>
    <t xml:space="preserve">Fig_45 | CAPEX, khấu hao và FCFF</t>
  </si>
  <si>
    <t xml:space="preserve">CAPEX (tỷ đồng)</t>
  </si>
  <si>
    <t xml:space="preserve">Khấu hao (tỷ đồng)</t>
  </si>
  <si>
    <t xml:space="preserve">FCFF (tỷ đồng; 2025A = CFO − CAPEX)</t>
  </si>
  <si>
    <t xml:space="preserve">NOPAT (tỷ đồng)</t>
  </si>
  <si>
    <t xml:space="preserve">Tái đầu tư ròng / NOPAT = (CAPEX − KH + ΔVLĐ)/NOPAT</t>
  </si>
  <si>
    <t xml:space="preserve">Nguồn: Mô hình (DCF, Drivers)</t>
  </si>
  <si>
    <t xml:space="preserve">Fig_46 | Chỉ tiêu BCĐKT và LCTT dự phóng</t>
  </si>
  <si>
    <t xml:space="preserve">Tiền</t>
  </si>
  <si>
    <t xml:space="preserve">Tài sản dài hạn ròng</t>
  </si>
  <si>
    <t xml:space="preserve">Nợ vay (ngắn + dài hạn)</t>
  </si>
  <si>
    <t xml:space="preserve">Nợ vay / VCSH</t>
  </si>
  <si>
    <t xml:space="preserve">Lưu chuyển tiền thuần từ HĐKD (CFO)</t>
  </si>
  <si>
    <t xml:space="preserve">Vốn góp cổ phần</t>
  </si>
  <si>
    <t xml:space="preserve">Nguồn: BCTC 2025 (đề bài); dự phóng (Balance Sheet, Cash Flow Statement)</t>
  </si>
  <si>
    <t xml:space="preserve">Fig_47 | ROIC so với WACC</t>
  </si>
  <si>
    <t xml:space="preserve">Vòng quay nguyên giá TSCĐ (lần)</t>
  </si>
  <si>
    <t xml:space="preserve">Nguồn: Mô hình</t>
  </si>
  <si>
    <t xml:space="preserve">Fig_48 | Chi phí vốn (WACC)</t>
  </si>
  <si>
    <t xml:space="preserve">Thành phần</t>
  </si>
  <si>
    <t xml:space="preserve">TPCP 10 năm, bình quân 2016–2025</t>
  </si>
  <si>
    <t xml:space="preserve">Damodaran 01/2026</t>
  </si>
  <si>
    <t xml:space="preserve">Phần bù rủi ro quốc gia (CRP)</t>
  </si>
  <si>
    <t xml:space="preserve">Moody's Ba2, ước tính</t>
  </si>
  <si>
    <t xml:space="preserve">ERP Việt Nam</t>
  </si>
  <si>
    <t xml:space="preserve">ERP + CRP</t>
  </si>
  <si>
    <t xml:space="preserve">Beta không đòn bẩy (βu)</t>
  </si>
  <si>
    <t xml:space="preserve">Damodaran, bao bì</t>
  </si>
  <si>
    <t xml:space="preserve">D/E mục tiêu</t>
  </si>
  <si>
    <t xml:space="preserve">BCĐKT 2027E</t>
  </si>
  <si>
    <t xml:space="preserve">Beta có đòn bẩy</t>
  </si>
  <si>
    <t xml:space="preserve">Hamada</t>
  </si>
  <si>
    <t xml:space="preserve">Hệ số tương quan ρ</t>
  </si>
  <si>
    <t xml:space="preserve">NĐT VC đa dạng hóa một phần</t>
  </si>
  <si>
    <t xml:space="preserve">Total beta = β/ρ</t>
  </si>
  <si>
    <t xml:space="preserve">Chi phí vốn CSH (Ke)</t>
  </si>
  <si>
    <t xml:space="preserve">CAPM</t>
  </si>
  <si>
    <t xml:space="preserve">Chi phí nợ trước thuế (Kd)</t>
  </si>
  <si>
    <t xml:space="preserve">NHNN 6/2026</t>
  </si>
  <si>
    <t xml:space="preserve">Chi phí nợ sau thuế</t>
  </si>
  <si>
    <t xml:space="preserve">thuế 20%</t>
  </si>
  <si>
    <t xml:space="preserve">Tỷ trọng vốn CSH</t>
  </si>
  <si>
    <t xml:space="preserve">Nguồn: Sheet Discount rate (nguồn ghi ở cột C cạnh từng giả định); chi tiết ở Fig. A11, A12</t>
  </si>
  <si>
    <t xml:space="preserve">Fig_50 | Bảng tính DCF</t>
  </si>
  <si>
    <t xml:space="preserve">Cuối kỳ</t>
  </si>
  <si>
    <t xml:space="preserve">NOPAT = EBIT × (1 − t)</t>
  </si>
  <si>
    <t xml:space="preserve">− Tăng vốn lưu động</t>
  </si>
  <si>
    <t xml:space="preserve">− CAPEX</t>
  </si>
  <si>
    <t xml:space="preserve">FCFF</t>
  </si>
  <si>
    <t xml:space="preserve">Hệ số chiết khấu</t>
  </si>
  <si>
    <t xml:space="preserve">Giá trị hiện tại</t>
  </si>
  <si>
    <t xml:space="preserve">Nguồn: Mô hình (DCF, Discount rate); chiết khấu cuối năm, t0 = 01/01/2026; cột "Cuối kỳ" = giá trị cuối kỳ tại 2030</t>
  </si>
  <si>
    <t xml:space="preserve">Fig_49 | Cầu nối DCF và bội số ngầm định</t>
  </si>
  <si>
    <t xml:space="preserve">Bước</t>
  </si>
  <si>
    <t xml:space="preserve">PV FCFF 2026–2030</t>
  </si>
  <si>
    <t xml:space="preserve">+ Tiền 31/12/2025</t>
  </si>
  <si>
    <t xml:space="preserve">− Nợ vay 31/12/2025</t>
  </si>
  <si>
    <t xml:space="preserve">Giá trị vốn CSH (pre-money)</t>
  </si>
  <si>
    <t xml:space="preserve">Giá trị cuối kỳ tại 2030 (không chiết khấu)</t>
  </si>
  <si>
    <t xml:space="preserve">EV/EBITDA 2025A ngầm định (x)</t>
  </si>
  <si>
    <t xml:space="preserve">EV/EBITDA 2026E ngầm định (x)</t>
  </si>
  <si>
    <t xml:space="preserve">P/E 2026E ngầm định (x)</t>
  </si>
  <si>
    <t xml:space="preserve">Tái đầu tư cuối kỳ = g/RONIC</t>
  </si>
  <si>
    <t xml:space="preserve">Nguồn: Mô hình (DCF)</t>
  </si>
  <si>
    <t xml:space="preserve">Fig_51 | VC Method: các bước tính</t>
  </si>
  <si>
    <t xml:space="preserve">Ghi chú</t>
  </si>
  <si>
    <t xml:space="preserve">LNST 2030E (tỷ đồng)</t>
  </si>
  <si>
    <t xml:space="preserve">P/E thoái vốn (x)</t>
  </si>
  <si>
    <t xml:space="preserve">FiinX 2026</t>
  </si>
  <si>
    <t xml:space="preserve">EBITDA 2030E (tỷ đồng)</t>
  </si>
  <si>
    <t xml:space="preserve">EV/EBITDA thoái vốn (x)</t>
  </si>
  <si>
    <t xml:space="preserve">Giá trị vốn CSH theo EV/EBITDA (+ tiền − nợ 2030E)</t>
  </si>
  <si>
    <t xml:space="preserve">Giá trị thoái vốn sử dụng (bình quân)</t>
  </si>
  <si>
    <t xml:space="preserve">Tỷ lệ thất bại z (cả giai đoạn đầu tư)</t>
  </si>
  <si>
    <t xml:space="preserve">BTL: đầu tăng trưởng 35–45%</t>
  </si>
  <si>
    <t xml:space="preserve">Số năm đến thoái vốn n</t>
  </si>
  <si>
    <t xml:space="preserve">WACC r</t>
  </si>
  <si>
    <t xml:space="preserve">Tỷ suất lợi nhuận yêu cầu p = (1 + r)/(1 − z)^(1/n) − 1</t>
  </si>
  <si>
    <t xml:space="preserve">giáo trình</t>
  </si>
  <si>
    <t xml:space="preserve">Vốn cổ phần cần huy động</t>
  </si>
  <si>
    <t xml:space="preserve">Tỷ lệ sở hữu NĐT mới</t>
  </si>
  <si>
    <t xml:space="preserve">Nguồn: Mô hình (VCM); bội số ngành Containers &amp; Packaging (FiinX, 2026)</t>
  </si>
  <si>
    <t xml:space="preserve">Fig_52 | VC Method: từ giá trị thoái vốn đến pre-money</t>
  </si>
  <si>
    <t xml:space="preserve">Giá trị (tỷ đồng)</t>
  </si>
  <si>
    <t xml:space="preserve">Giá trị thoái vốn 2030 (bình quân P/E và EV/EBITDA)</t>
  </si>
  <si>
    <t xml:space="preserve">Chiết khấu về hiện tại với tỷ suất p</t>
  </si>
  <si>
    <t xml:space="preserve">Nguồn: Mô hình (VCM); p = (1 + r)/(1 − z)^(1/n) − 1</t>
  </si>
  <si>
    <t xml:space="preserve">Fig_53 | Bội số của DN bao bì niêm yết</t>
  </si>
  <si>
    <t xml:space="preserve">Trong mẫu (1/0)</t>
  </si>
  <si>
    <t xml:space="preserve">Trung vị mẫu (14 DN)</t>
  </si>
  <si>
    <t xml:space="preserve">Bình quân ngành Containers &amp; Packaging 2026 (FiinX)</t>
  </si>
  <si>
    <t xml:space="preserve">AgriPack 2025A: biên EBITDA (%)</t>
  </si>
  <si>
    <t xml:space="preserve">Nguồn: FiinX (giá đóng cửa 28/9/2026; BCTC 4 quý gần nhất đến Q2/2026); sheet Multiples</t>
  </si>
  <si>
    <t xml:space="preserve">Fig_54 | Định giá bằng bội số so sánh</t>
  </si>
  <si>
    <t xml:space="preserve">Chỉ tiêu 2025A (tỷ)</t>
  </si>
  <si>
    <t xml:space="preserve">Vốn CSH trước DLOM</t>
  </si>
  <si>
    <t xml:space="preserve">Sau DLOM 30%</t>
  </si>
  <si>
    <t xml:space="preserve">EV/EBITDA × trung vị mẫu</t>
  </si>
  <si>
    <t xml:space="preserve">EV/EBITDA × bình quân ngành</t>
  </si>
  <si>
    <t xml:space="preserve">P/E (LNST chuẩn hóa thuế 20%) × trung vị mẫu</t>
  </si>
  <si>
    <t xml:space="preserve">P/E (LNST chuẩn hóa thuế 20%) × bình quân ngành</t>
  </si>
  <si>
    <t xml:space="preserve">Tiền 31/12/2025 (tỷ)</t>
  </si>
  <si>
    <t xml:space="preserve">Nợ vay 31/12/2025 (tỷ)</t>
  </si>
  <si>
    <t xml:space="preserve">Đối chiếu: EV/EBITDA 2026E × trung vị, chưa DLOM (không dùng)</t>
  </si>
  <si>
    <t xml:space="preserve">Nguồn: Sheet Multiples; FiinX (28/9/2026)</t>
  </si>
  <si>
    <t xml:space="preserve">Fig_55 | So sánh kết quả định giá</t>
  </si>
  <si>
    <t xml:space="preserve">DCF (hoạt động liên tục)</t>
  </si>
  <si>
    <t xml:space="preserve">Multiples (2025A, sau DLOM)</t>
  </si>
  <si>
    <t xml:space="preserve">DCF điều chỉnh xác suất sống sót</t>
  </si>
  <si>
    <t xml:space="preserve">VCSH sổ sách 31/12/2025</t>
  </si>
  <si>
    <t xml:space="preserve">Giá trị thanh lý (50% VCSH sổ sách)</t>
  </si>
  <si>
    <t xml:space="preserve">Trọng số DCF</t>
  </si>
  <si>
    <t xml:space="preserve">Trọng số VC Method</t>
  </si>
  <si>
    <t xml:space="preserve">Trọng số Multiples</t>
  </si>
  <si>
    <t xml:space="preserve">Nguồn: Mô hình (Summary)</t>
  </si>
  <si>
    <t xml:space="preserve">Fig_56 | Kết quả theo kịch bản</t>
  </si>
  <si>
    <t xml:space="preserve">Đầu tư lớn 2028</t>
  </si>
  <si>
    <t xml:space="preserve">Pre-money bình quân gia quyền (tỷ)</t>
  </si>
  <si>
    <t xml:space="preserve">Nguồn: Mô hình (Summary: cột Base là công thức sống, các cột khác chụp lại khi đổi ô chọn ở Drivers)</t>
  </si>
  <si>
    <t xml:space="preserve">Fig_58 | Định giá khi chưa có doanh thu</t>
  </si>
  <si>
    <t xml:space="preserve">Thử nghiệm (z 57,5%)</t>
  </si>
  <si>
    <t xml:space="preserve">Ươm mầm (z 72,5%)</t>
  </si>
  <si>
    <t xml:space="preserve">Đầu tăng trưởng (z 40%)</t>
  </si>
  <si>
    <t xml:space="preserve">Giá trị thoái vốn 2030E (tỷ, giữ nguyên)</t>
  </si>
  <si>
    <t xml:space="preserve">Tỷ lệ thất bại tích lũy z</t>
  </si>
  <si>
    <t xml:space="preserve">Post-money = Exit × (1 − z)/(1 + WACC)^n (tỷ)</t>
  </si>
  <si>
    <t xml:space="preserve">Nguồn: Minh họa trên mô hình (VCM): giữ nguyên giá trị thoái vốn và WACC, chỉ đổi z theo giai đoạn</t>
  </si>
  <si>
    <t xml:space="preserve">Fig_A03 | Các nhóm sản phẩm nhựa chính do Việt Nam sản xuất</t>
  </si>
  <si>
    <t xml:space="preserve">Sản phẩm</t>
  </si>
  <si>
    <t xml:space="preserve">Tỷ trọng</t>
  </si>
  <si>
    <t xml:space="preserve">Nhựa bao bì</t>
  </si>
  <si>
    <t xml:space="preserve">Nhựa gia dụng</t>
  </si>
  <si>
    <t xml:space="preserve">Nhựa xây dựng</t>
  </si>
  <si>
    <t xml:space="preserve">Nhựa kỹ thuật</t>
  </si>
  <si>
    <t xml:space="preserve">Nguồn: Tổng hợp báo cáo VPAS (bảng của nhóm, Mục 3.2.1)</t>
  </si>
  <si>
    <t xml:space="preserve">Fig_A06 | Báo cáo kết quả kinh doanh 2023A–2030E</t>
  </si>
  <si>
    <t xml:space="preserve">Các khoản giảm trừ</t>
  </si>
  <si>
    <t xml:space="preserve">Chi phí nguyên liệu, nhân công theo sản lượng</t>
  </si>
  <si>
    <t xml:space="preserve">Chi phí sản xuất cố định</t>
  </si>
  <si>
    <t xml:space="preserve">Tiền lương bộ phận sản xuất (70%)</t>
  </si>
  <si>
    <t xml:space="preserve">Khấu hao TSCĐ sản xuất (90%)</t>
  </si>
  <si>
    <t xml:space="preserve">Tiền lương bán hàng &amp; quản lý (30%)</t>
  </si>
  <si>
    <t xml:space="preserve">Khấu hao TSCĐ bán hàng &amp; quản lý (10%)</t>
  </si>
  <si>
    <t xml:space="preserve">Hỗ trợ tiền ăn</t>
  </si>
  <si>
    <t xml:space="preserve">EBIT (lợi nhuận thuần từ HĐKD trước lãi vay)</t>
  </si>
  <si>
    <t xml:space="preserve">Ghi nhớ: EBITDA = EBIT + khấu hao</t>
  </si>
  <si>
    <t xml:space="preserve">Nguồn: BCTC 2023–2025 (đề bài, trình bày lại theo chức năng); dự phóng (Income Statement)</t>
  </si>
  <si>
    <t xml:space="preserve">Fig_A07 | Bảng cân đối kế toán 2023A–2030E</t>
  </si>
  <si>
    <t xml:space="preserve">Nguyên giá TSCĐ (hữu hình + vô hình)</t>
  </si>
  <si>
    <t xml:space="preserve">Vay dài hạn</t>
  </si>
  <si>
    <t xml:space="preserve">Vốn góp</t>
  </si>
  <si>
    <t xml:space="preserve">Tổng nguồn vốn</t>
  </si>
  <si>
    <t xml:space="preserve">Nguồn: BCTC 2023–2025 (đề bài); dự phóng (Balance Sheet)</t>
  </si>
  <si>
    <t xml:space="preserve">Fig_A08 | Báo cáo lưu chuyển tiền tệ 2023A–2030E</t>
  </si>
  <si>
    <t xml:space="preserve">Thay đổi vốn lưu động và khác</t>
  </si>
  <si>
    <t xml:space="preserve">CAPEX (CFI)</t>
  </si>
  <si>
    <t xml:space="preserve">Lưu chuyển tiền thuần từ HĐTC (CFF)</t>
  </si>
  <si>
    <t xml:space="preserve">Tiền cuối kỳ</t>
  </si>
  <si>
    <t xml:space="preserve">FCFF (2023–25A: CFO − CAPEX)</t>
  </si>
  <si>
    <t xml:space="preserve">Nguồn: BCTC 2023–2025 (đề bài); dự phóng (Cash Flow Statement, DCF)</t>
  </si>
  <si>
    <t xml:space="preserve">Fig_A09 | Giả định dự phóng: giá trị, lý do và nguồn</t>
  </si>
  <si>
    <t xml:space="preserve">Lý do và nguồn (= ô ghi chú cạnh giả định, Drivers cột K)</t>
  </si>
  <si>
    <t xml:space="preserve">Giá bán bình quân hộp/khay F&amp;B (nghìn đ/cái)</t>
  </si>
  <si>
    <t xml:space="preserve">Giá bình quân bộ khuôn (nghìn đ)</t>
  </si>
  <si>
    <t xml:space="preserve">Giá đệm nội thất/TMĐT (nghìn đ/m²)</t>
  </si>
  <si>
    <t xml:space="preserve">Giá đệm điện tử (nghìn đ/m²)</t>
  </si>
  <si>
    <t xml:space="preserve">Tăng chi phí cố định sản xuất</t>
  </si>
  <si>
    <t xml:space="preserve">Chi phí cố định tăng thêm của nhà máy mới (tỷ)</t>
  </si>
  <si>
    <t xml:space="preserve">Tiền lương phân bổ vào giá vốn</t>
  </si>
  <si>
    <t xml:space="preserve">Khấu hao phân bổ vào giá vốn</t>
  </si>
  <si>
    <t xml:space="preserve">Tăng tiền thuê mặt bằng</t>
  </si>
  <si>
    <t xml:space="preserve">Sửa chữa, bảo dưỡng / doanh thu</t>
  </si>
  <si>
    <t xml:space="preserve">Marketing / doanh thu</t>
  </si>
  <si>
    <t xml:space="preserve">Kiểm nghiệm, chứng nhận &amp; R&amp;D / doanh thu</t>
  </si>
  <si>
    <t xml:space="preserve">Số ngày tồn kho (DIO)</t>
  </si>
  <si>
    <t xml:space="preserve">Số ngày phải thu (DSO)</t>
  </si>
  <si>
    <t xml:space="preserve">Số ngày phải trả (DPO)</t>
  </si>
  <si>
    <t xml:space="preserve">TSNH khác / doanh thu</t>
  </si>
  <si>
    <t xml:space="preserve">Nợ ngắn hạn khác / doanh thu</t>
  </si>
  <si>
    <t xml:space="preserve">Tiền mặt tối thiểu / doanh thu</t>
  </si>
  <si>
    <t xml:space="preserve">Tỷ lệ CAPEX 2027 tài trợ bằng vay trung hạn</t>
  </si>
  <si>
    <t xml:space="preserve">Lãi suất vay</t>
  </si>
  <si>
    <t xml:space="preserve">Nguồn: Drivers (kịch bản Base); lý do và nguồn liên kết từ cột K của Drivers</t>
  </si>
  <si>
    <t xml:space="preserve">Fig_A11 | Giả định định giá: giá trị, lý do và nguồn</t>
  </si>
  <si>
    <t xml:space="preserve">Giả định định giá</t>
  </si>
  <si>
    <t xml:space="preserve">Lý do và nguồn (= ô ghi chú cạnh giả định)</t>
  </si>
  <si>
    <t xml:space="preserve">Beta không đòn bẩy βu</t>
  </si>
  <si>
    <t xml:space="preserve">Chi phí nợ trước thuế Kd</t>
  </si>
  <si>
    <t xml:space="preserve">Thuế suất dài hạn</t>
  </si>
  <si>
    <t xml:space="preserve">Tăng trưởng dài hạn g</t>
  </si>
  <si>
    <t xml:space="preserve">RONIC sau 2030 (= ROIC 2030E)</t>
  </si>
  <si>
    <t xml:space="preserve">Tỷ lệ thất bại z (VC Method)</t>
  </si>
  <si>
    <t xml:space="preserve">Tỷ suất lợi nhuận yêu cầu p (VC Method)</t>
  </si>
  <si>
    <t xml:space="preserve">Giai đoạn phát triển</t>
  </si>
  <si>
    <t xml:space="preserve">P/E thoái vốn 2030</t>
  </si>
  <si>
    <t xml:space="preserve">EV/EBITDA thoái vốn 2030</t>
  </si>
  <si>
    <t xml:space="preserve">Chiết khấu thanh khoản &amp; quy mô (DLOM)</t>
  </si>
  <si>
    <t xml:space="preserve">Nguồn: Discount rate (cột C), Assumption (cột E), VCM, Multiples, Summary (cột G)</t>
  </si>
  <si>
    <t xml:space="preserve">Fig_A12 | Lợi suất TPCP kỳ hạn 10 năm 2016–2025</t>
  </si>
  <si>
    <t xml:space="preserve">Bình quân 2016–2025 (Rf)</t>
  </si>
  <si>
    <t xml:space="preserve">Nguồn: Sheet Discount rate (A28:D40); nguồn từng năm ở cột D</t>
  </si>
  <si>
    <t xml:space="preserve">Fig_A13 | Mẫu DN so sánh cho phương pháp Multiples</t>
  </si>
  <si>
    <t xml:space="preserve">Trong mẫu</t>
  </si>
  <si>
    <t xml:space="preserve">Trung vị mẫu</t>
  </si>
  <si>
    <t xml:space="preserve">Bình quân ngành 2026 (FiinX)</t>
  </si>
  <si>
    <t xml:space="preserve">Fig_A14 | Độ nhạy DCF và VC Method</t>
  </si>
  <si>
    <t xml:space="preserve">Bảng</t>
  </si>
  <si>
    <t xml:space="preserve">c1</t>
  </si>
  <si>
    <t xml:space="preserve">c2</t>
  </si>
  <si>
    <t xml:space="preserve">c3</t>
  </si>
  <si>
    <t xml:space="preserve">c4</t>
  </si>
  <si>
    <t xml:space="preserve">c5</t>
  </si>
  <si>
    <t xml:space="preserve">DCF: WACC \ g</t>
  </si>
  <si>
    <t xml:space="preserve">VCM: z \ giá trị thoái vốn</t>
  </si>
  <si>
    <t xml:space="preserve">DCF: WACC \ RONIC</t>
  </si>
  <si>
    <t xml:space="preserve">Nguồn: Mô hình (Sensitivity – mỗi ô tính lại toàn bộ DCF/VCM)</t>
  </si>
  <si>
    <t xml:space="preserve">Fig_A15 | Độ nhạy theo nhân tố vĩ mô – ngành</t>
  </si>
  <si>
    <t xml:space="preserve">Lý do biên độ / nguồn</t>
  </si>
  <si>
    <t xml:space="preserve">Nguồn: Chạy lại toàn bộ mô hình cho từng nhân tố (Summary, khối độ nhạy theo nhân tố vĩ mô – ngành; lý do ở cột N cạnh từng dòng)</t>
  </si>
  <si>
    <t xml:space="preserve">GHI CHÚ MÔ HÌNH (người lập: Lộc)</t>
  </si>
  <si>
    <t xml:space="preserve">Luồng dữ liệu</t>
  </si>
  <si>
    <t xml:space="preserve">BCTC 2023–2025 (đề bài) → Drivers (sản lượng × giá, chi phí theo dòng, CAPEX/khấu hao, VLĐ, vay, thuế) → Assumption (tỷ lệ tổng hợp) → Pro Forma (KQKD, CAPEX, VLĐ, lưu chuyển tiền trước gọi vốn, nhu cầu vốn) → IS/BS/CF 2026–2030 → Discount rate → DCF, VCM → Sensitivity, Summary → Chart_Data.</t>
  </si>
  <si>
    <t xml:space="preserve">Quy ước</t>
  </si>
  <si>
    <t xml:space="preserve">Ô vàng chữ xanh dương = số liệu/giả định nhập; chữ đen = công thức; chữ xanh lá = liên kết sheet khác. Đơn vị nghìn đồng (Summary, Chart_Data: tỷ đồng). Chiết khấu cuối năm, t0 = 01/01/2026.</t>
  </si>
  <si>
    <t xml:space="preserve">Kịch bản</t>
  </si>
  <si>
    <t xml:space="preserve">Drivers!C3: 1 Bear / 2 Base / 3 Bull. Drivers!C4: năm đầu tư lớn 2027 (đề bài) hoặc 2028 (template). Drivers!E123: tỷ lệ CAPEX năm đầu tư lớn tài trợ bằng vay.</t>
  </si>
  <si>
    <t xml:space="preserve">Cần cập nhật</t>
  </si>
  <si>
    <t xml:space="preserve">Rf = bình quân lợi suất TPCP 10 năm 2016–2025 (Discount rate!A28:D40); 2016–2017 dùng quan sát phát hành/đấu thầu gần nhất có nguồn. CRP Việt Nam (B16) là ước tính theo phương pháp Damodaran – kiểm tra lại bảng Damodaran 01/2026 trước khi nộp.</t>
  </si>
  <si>
    <t xml:space="preserve">Trình bày BCKQKD</t>
  </si>
  <si>
    <t xml:space="preserve">Theo chức năng (VAS): 70% tiền lương và 90% khấu hao vào giá vốn; 30% tiền lương và 10% khấu hao vào CPBH &amp; QLDN (tham số ở Drivers, mục F). EBITDA là dòng ghi nhớ (IS hàng 82).</t>
  </si>
  <si>
    <t xml:space="preserve">Nguồn chính</t>
  </si>
  <si>
    <t xml:space="preserve">NSO/Cục Thống kê &amp; NHNN qua FiinX (truy xuất 29/9/2026); Damodaran (01/2026, 07/2026); IMARC Group (2025); Mordor Intelligence; VECOM (2025); BCG–NIC–VPCA (2026); FiinX – DN bao bì niêm yết (giá 28/9/2026); Nghị định 08/2022/NĐ-CP Điều 64; Nghị định 110/2026/NĐ-CP; Luật Thuế TNDN 67/2025/QH15; NQ 198/2025/QH15; TB 846/TB-NATIF.</t>
  </si>
  <si>
    <t xml:space="preserve">Độ nhạy theo nhân tố</t>
  </si>
  <si>
    <t xml:space="preserve">Summary!A48:N58: mỗi nhân tố vĩ mô – ngành (cầu, giá bán, chi phí biến đổi, nhân sự, lãi suất, CRP, ưu đãi thuế) được đổi một mình trên kịch bản Base và toàn bộ mô hình được tính lại (run_tornado.py); giá trị lưu dạng chụp, lý do biên độ ghi ở cột N cạnh từng dòng. Báo cáo: Fig. 30, Fig. A15.</t>
  </si>
  <si>
    <t xml:space="preserve">CÁC CHỈNH SỬA ĐỐI VỚI FILE MẪU (lỗi logic của template)</t>
  </si>
  <si>
    <t xml:space="preserve">Sheet</t>
  </si>
  <si>
    <t xml:space="preserve">Ô</t>
  </si>
  <si>
    <t xml:space="preserve">Nội dung chỉnh sửa</t>
  </si>
  <si>
    <t xml:space="preserve">Lý do</t>
  </si>
  <si>
    <t xml:space="preserve">A8:A12</t>
  </si>
  <si>
    <t xml:space="preserve">Làm rõ nhãn: TSNH/Nợ NH không gồm tiền và vay</t>
  </si>
  <si>
    <t xml:space="preserve">Tiền mặt là kết quả của dòng tiền và vay là quyết định tài trợ – đưa vào tỷ lệ theo doanh thu sẽ gây vòng lặp và sai VLĐ.</t>
  </si>
  <si>
    <t xml:space="preserve">G13</t>
  </si>
  <si>
    <t xml:space="preserve">Ô khóa 65% (cột 2028) được thay bằng liên kết Drivers</t>
  </si>
  <si>
    <t xml:space="preserve">Đề bài quy định đầu tư lớn năm 2027. Ô chọn Drivers!C4 cho phép chạy lại phương án 65% vào 2028 như template.</t>
  </si>
  <si>
    <t xml:space="preserve">B31, B34, B36, C47:G48</t>
  </si>
  <si>
    <t xml:space="preserve">Sửa công thức biến động TSNH/Nợ NH</t>
  </si>
  <si>
    <t xml:space="preserve">Template: C47 = (B31−B32)−(C31−C33) trộn hàng tồn kho với phải thu; C48 = B34−C34 ngược dấu; B31/B34 gồm cả tiền và vay. Nay: VLĐ hoạt động = TSNH ngoài tiền − Nợ NH ngoài vay; dòng tiền = −ΔVLĐ.</t>
  </si>
  <si>
    <t xml:space="preserve">C53:G53</t>
  </si>
  <si>
    <t xml:space="preserve">Thay công thức "=-D54" (tham chiếu ô trống)</t>
  </si>
  <si>
    <t xml:space="preserve">Ghi nhận giải ngân/trả nợ vay theo kế hoạch để tính nhu cầu vốn cổ phần.</t>
  </si>
  <si>
    <t xml:space="preserve">A60:G60, B61</t>
  </si>
  <si>
    <t xml:space="preserve">Thêm hàng thiếu hụt tiền và công thức nhu cầu vốn</t>
  </si>
  <si>
    <t xml:space="preserve">B61 là ô vàng để trống; nay = thiếu hụt tối đa so với tiền mặt tối thiểu.</t>
  </si>
  <si>
    <t xml:space="preserve">B13, A28:D41</t>
  </si>
  <si>
    <t xml:space="preserve">Rf = bình quân lợi suất TPCP 10 năm giai đoạn 2016–2025</t>
  </si>
  <si>
    <t xml:space="preserve">Thay giá trị ước tính 4,2% bằng bình quân 10 quan sát có nguồn (VBMA, HNX/CEIC, ADB, Vietnam News, VNDirect).</t>
  </si>
  <si>
    <t xml:space="preserve">G12, G14, H10</t>
  </si>
  <si>
    <t xml:space="preserve">Giá trị cuối kỳ dùng FCFF chuẩn hóa và được chiết khấu vào EV</t>
  </si>
  <si>
    <t xml:space="preserve">Template: C16 = SUM(C14:G14) nhưng không có ô PV của TV → G14 gộp FCFF 2030 + TV. Giữ công thức TV = FCFF 2031/(WACC − g) của template; FCFF 2031 (H10) được chuẩn hóa = NOPAT 2031 × (1 − g/RONIC), RONIC = ROIC 2030E, vì FCFF 2030 còn chứa CAPEX/VLĐ của giai đoạn tăng ~20%/năm.</t>
  </si>
  <si>
    <t xml:space="preserve">B6, B9, E6:E12</t>
  </si>
  <si>
    <t xml:space="preserve">Điền công thức VC method theo giáo trình: p = (1 + r)/(1 − z)^(1/n) − 1</t>
  </si>
  <si>
    <t xml:space="preserve">z = 40% nhập tay theo hướng dẫn của BTL cho DN giai đoạn đầu tăng trưởng (35–45%).</t>
  </si>
  <si>
    <t xml:space="preserve">E6:I80; J:N</t>
  </si>
  <si>
    <t xml:space="preserve">Dựng lại dự phóng 2026–2030 từ Drivers; xóa cột 2031–2034</t>
  </si>
  <si>
    <t xml:space="preserve">Template chứa số giữ chỗ (VD: GVHB 2027 = 163 triệu → biên gộp 97,7%; chi phí "Insurance" 1.000...) không phản ánh DN. Đề bài chỉ yêu cầu 5 năm.</t>
  </si>
  <si>
    <t xml:space="preserve">D78</t>
  </si>
  <si>
    <t xml:space="preserve">Thay '-' bằng 0</t>
  </si>
  <si>
    <t xml:space="preserve">Ô text '-' làm lỗi phép tính thuế 2025.</t>
  </si>
  <si>
    <t xml:space="preserve">hàng 18–27, 52–65, 71–84 (mọi năm)</t>
  </si>
  <si>
    <t xml:space="preserve">Trình bày BCKQKD theo chức năng (VAS)</t>
  </si>
  <si>
    <t xml:space="preserve">70% tiền lương và 90% khấu hao phân bổ vào giá vốn; 30% tiền lương và 10% khấu hao vào CPBH &amp; QLDN. EBIT, LNTT, LNST không đổi; EBITDA chuyển thành dòng ghi nhớ (hàng 82). Biên gộp theo BCTC gốc ở hàng 84.</t>
  </si>
  <si>
    <t xml:space="preserve">D4:E4</t>
  </si>
  <si>
    <t xml:space="preserve">Sửa nhãn ngày 01/01/2022, 31/12/2022 → 01/01/2023, 31/12/2023</t>
  </si>
  <si>
    <t xml:space="preserve">Cột D là số dư đầu năm 2023, cột E là 31/12/2023 (khớp CF: tiền đầu kỳ 2023 = 910 triệu).</t>
  </si>
  <si>
    <t xml:space="preserve">H26, H32 (và các năm dự phóng)</t>
  </si>
  <si>
    <t xml:space="preserve">Sửa dấu khấu hao lũy kế</t>
  </si>
  <si>
    <t xml:space="preserve">Template: H26 = G26 − khấu hao (lũy kế giảm dần) và H32 = SUM(H26:H31) cộng khấu hao lũy kế vào tài sản. Nay: lũy kế tăng theo khấu hao, TSCĐ ròng = nguyên giá − lũy kế (khớp cách trình bày 2023–2025).</t>
  </si>
  <si>
    <t xml:space="preserve">H72:L72</t>
  </si>
  <si>
    <t xml:space="preserve">Bỏ bút toán cân đối "=H34−H78" ở vốn cổ phần tăng thêm</t>
  </si>
  <si>
    <t xml:space="preserve">Template dùng vốn góp làm số cân đối (plug) → BCĐKT luôn cân nhưng vô nghĩa (vốn góp âm hàng trăm tỷ). Nay: vốn góp = Series A theo nhu cầu vốn; cân đối được kiểm tra ở hàng 80.</t>
  </si>
  <si>
    <t xml:space="preserve">H15:L19, H50:L74</t>
  </si>
  <si>
    <t xml:space="preserve">Xóa số giữ chỗ (1.037; 1.455; 10.000; 25.500...)</t>
  </si>
  <si>
    <t xml:space="preserve">Các số này không có trong BCTC lịch sử và làm sai tổng tài sản/vốn.</t>
  </si>
  <si>
    <t xml:space="preserve">số định dạng</t>
  </si>
  <si>
    <t xml:space="preserve">Bỏ ký hiệu "$" ở cột dự phóng</t>
  </si>
  <si>
    <t xml:space="preserve">Đơn vị là nghìn đồng.</t>
  </si>
  <si>
    <t xml:space="preserve">F16:J16</t>
  </si>
  <si>
    <t xml:space="preserve">Dòng "Nợ vay ngắn hạn" tham chiếu sai hàng doanh thu chưa thực hiện</t>
  </si>
  <si>
    <t xml:space="preserve">Nay tham chiếu BCĐKT hàng 48 (vay ngắn hạn), đồng nhất với số liệu 2023–2025.</t>
  </si>
  <si>
    <t xml:space="preserve">F27:J27</t>
  </si>
  <si>
    <t xml:space="preserve">Dòng "Nhận vốn góp" tham chiếu thẻ tín dụng (hàng 45)</t>
  </si>
  <si>
    <t xml:space="preserve">Nay = vốn cổ phần tăng thêm trong năm (BCĐKT hàng 72).</t>
  </si>
</sst>
</file>

<file path=xl/styles.xml><?xml version="1.0" encoding="utf-8"?>
<styleSheet xmlns="http://schemas.openxmlformats.org/spreadsheetml/2006/main">
  <numFmts count="28">
    <numFmt numFmtId="164" formatCode="General"/>
    <numFmt numFmtId="165" formatCode="_(* #,##0.00_);_(* \(#,##0.00\);_(* \-??_);_(@_)"/>
    <numFmt numFmtId="166" formatCode="0%"/>
    <numFmt numFmtId="167" formatCode="_(* #,##0_);_(* \(#,##0\);_(* \-??_);_(@_)"/>
    <numFmt numFmtId="168" formatCode="0"/>
    <numFmt numFmtId="169" formatCode="\$#,##0"/>
    <numFmt numFmtId="170" formatCode="General"/>
    <numFmt numFmtId="171" formatCode="0.00%"/>
    <numFmt numFmtId="172" formatCode="0.0%"/>
    <numFmt numFmtId="173" formatCode="[$-409]mmm\-yy"/>
    <numFmt numFmtId="174" formatCode="0.00"/>
    <numFmt numFmtId="175" formatCode="#,##0"/>
    <numFmt numFmtId="176" formatCode="0.00%;\-0.00%;\-"/>
    <numFmt numFmtId="177" formatCode="0.0%;\-0.0%;\-"/>
    <numFmt numFmtId="178" formatCode="#,##0.00;\(#,##0.00\);\-"/>
    <numFmt numFmtId="179" formatCode="#,##0;\(#,##0\);\-"/>
    <numFmt numFmtId="180" formatCode="0.00\x"/>
    <numFmt numFmtId="181" formatCode="#,##0.0;\(#,##0.0\);\-"/>
    <numFmt numFmtId="182" formatCode="0;\-0;\-"/>
    <numFmt numFmtId="183" formatCode="#,##0.00"/>
    <numFmt numFmtId="184" formatCode="_(* #,##0_);_(* \(#,##0\);_(* \-_);_(@_)"/>
    <numFmt numFmtId="185" formatCode="0.000"/>
    <numFmt numFmtId="186" formatCode="0.0\x"/>
    <numFmt numFmtId="187" formatCode="0.0"/>
    <numFmt numFmtId="188" formatCode="#,##0.0"/>
    <numFmt numFmtId="189" formatCode="\+#,##0.0;\-#,##0.0;0.0"/>
    <numFmt numFmtId="190" formatCode="\+0%;\-0%;0%"/>
    <numFmt numFmtId="191" formatCode="@"/>
  </numFmts>
  <fonts count="117">
    <font>
      <sz val="12"/>
      <color theme="1"/>
      <name val="Arial"/>
      <family val="0"/>
      <charset val="1"/>
    </font>
    <font>
      <sz val="10"/>
      <name val="Arial"/>
      <family val="0"/>
    </font>
    <font>
      <sz val="10"/>
      <name val="Arial"/>
      <family val="0"/>
    </font>
    <font>
      <sz val="10"/>
      <name val="Arial"/>
      <family val="0"/>
    </font>
    <font>
      <sz val="10"/>
      <name val="Arial"/>
      <family val="2"/>
      <charset val="1"/>
    </font>
    <font>
      <sz val="12"/>
      <color rgb="FF000000"/>
      <name val="Verdana"/>
      <family val="2"/>
      <charset val="1"/>
    </font>
    <font>
      <sz val="16"/>
      <color rgb="FF000000"/>
      <name val="Verdana"/>
      <family val="2"/>
      <charset val="1"/>
    </font>
    <font>
      <sz val="12"/>
      <color rgb="FF00008D"/>
      <name val="Verdana"/>
      <family val="2"/>
      <charset val="1"/>
    </font>
    <font>
      <sz val="16"/>
      <color rgb="FF00008D"/>
      <name val="Verdana"/>
      <family val="2"/>
      <charset val="1"/>
    </font>
    <font>
      <b val="true"/>
      <i val="true"/>
      <sz val="12"/>
      <color rgb="FF000000"/>
      <name val="Verdana"/>
      <family val="2"/>
      <charset val="1"/>
    </font>
    <font>
      <b val="true"/>
      <i val="true"/>
      <sz val="12"/>
      <color rgb="FF000087"/>
      <name val="Verdana"/>
      <family val="2"/>
      <charset val="1"/>
    </font>
    <font>
      <sz val="11"/>
      <color rgb="FF000000"/>
      <name val="Verdana"/>
      <family val="2"/>
      <charset val="1"/>
    </font>
    <font>
      <b val="true"/>
      <sz val="11"/>
      <name val="Verdana"/>
      <family val="2"/>
      <charset val="1"/>
    </font>
    <font>
      <b val="true"/>
      <sz val="11"/>
      <color theme="0"/>
      <name val="Verdana"/>
      <family val="2"/>
      <charset val="1"/>
    </font>
    <font>
      <sz val="11"/>
      <color theme="0"/>
      <name val="Verdana"/>
      <family val="2"/>
      <charset val="1"/>
    </font>
    <font>
      <b val="true"/>
      <sz val="11"/>
      <color rgb="FF000000"/>
      <name val="Verdana"/>
      <family val="2"/>
      <charset val="1"/>
    </font>
    <font>
      <sz val="11"/>
      <name val="Verdana"/>
      <family val="2"/>
      <charset val="1"/>
    </font>
    <font>
      <sz val="12"/>
      <color theme="1"/>
      <name val="Arial"/>
      <family val="2"/>
      <charset val="1"/>
    </font>
    <font>
      <b val="true"/>
      <sz val="11"/>
      <color rgb="FFFF0000"/>
      <name val="Verdana"/>
      <family val="2"/>
      <charset val="1"/>
    </font>
    <font>
      <i val="true"/>
      <sz val="11"/>
      <color rgb="FF000000"/>
      <name val="Verdana"/>
      <family val="2"/>
      <charset val="1"/>
    </font>
    <font>
      <b val="true"/>
      <sz val="10"/>
      <name val="Verdana"/>
      <family val="2"/>
      <charset val="1"/>
    </font>
    <font>
      <sz val="10"/>
      <name val="Verdana"/>
      <family val="2"/>
      <charset val="1"/>
    </font>
    <font>
      <sz val="12"/>
      <color theme="1"/>
      <name val="Verdana"/>
      <family val="2"/>
      <charset val="1"/>
    </font>
    <font>
      <b val="true"/>
      <sz val="14"/>
      <color theme="2"/>
      <name val="Verdana"/>
      <family val="2"/>
      <charset val="1"/>
    </font>
    <font>
      <sz val="12"/>
      <color theme="2"/>
      <name val="Verdana"/>
      <family val="2"/>
      <charset val="1"/>
    </font>
    <font>
      <b val="true"/>
      <sz val="12"/>
      <name val="Verdana"/>
      <family val="2"/>
      <charset val="1"/>
    </font>
    <font>
      <b val="true"/>
      <sz val="12"/>
      <color theme="1"/>
      <name val="Verdana"/>
      <family val="2"/>
      <charset val="1"/>
    </font>
    <font>
      <sz val="12"/>
      <color rgb="FFFF0000"/>
      <name val="Verdana"/>
      <family val="2"/>
      <charset val="1"/>
    </font>
    <font>
      <i val="true"/>
      <sz val="12"/>
      <color theme="1"/>
      <name val="Verdana"/>
      <family val="2"/>
      <charset val="1"/>
    </font>
    <font>
      <sz val="12"/>
      <color theme="1"/>
      <name val="Calibri"/>
      <family val="2"/>
      <charset val="1"/>
    </font>
    <font>
      <b val="true"/>
      <sz val="16"/>
      <color theme="0"/>
      <name val="Verdana"/>
      <family val="2"/>
      <charset val="1"/>
    </font>
    <font>
      <b val="true"/>
      <sz val="16"/>
      <color rgb="FFF8F8F8"/>
      <name val="Calibri"/>
      <family val="2"/>
      <charset val="1"/>
    </font>
    <font>
      <sz val="11"/>
      <color theme="1"/>
      <name val="Calibri"/>
      <family val="2"/>
      <charset val="1"/>
    </font>
    <font>
      <sz val="10"/>
      <color theme="1"/>
      <name val="Verdana"/>
      <family val="2"/>
      <charset val="1"/>
    </font>
    <font>
      <b val="true"/>
      <sz val="10"/>
      <color theme="1"/>
      <name val="Verdana"/>
      <family val="2"/>
      <charset val="1"/>
    </font>
    <font>
      <i val="true"/>
      <sz val="10"/>
      <color theme="1"/>
      <name val="Verdana"/>
      <family val="2"/>
      <charset val="1"/>
    </font>
    <font>
      <b val="true"/>
      <sz val="10"/>
      <color theme="0"/>
      <name val="Verdana"/>
      <family val="2"/>
      <charset val="1"/>
    </font>
    <font>
      <b val="true"/>
      <sz val="10"/>
      <color rgb="FFF8F8F8"/>
      <name val="Verdana"/>
      <family val="2"/>
      <charset val="1"/>
    </font>
    <font>
      <i val="true"/>
      <sz val="8"/>
      <color rgb="FF7F7F7F"/>
      <name val="Verdana"/>
      <family val="2"/>
      <charset val="1"/>
    </font>
    <font>
      <b val="true"/>
      <sz val="10"/>
      <color rgb="FF000000"/>
      <name val="Verdana"/>
      <family val="2"/>
      <charset val="1"/>
    </font>
    <font>
      <sz val="10"/>
      <color rgb="FF000087"/>
      <name val="Verdana"/>
      <family val="2"/>
      <charset val="1"/>
    </font>
    <font>
      <sz val="10"/>
      <color rgb="FF0000FF"/>
      <name val="Verdana"/>
      <family val="2"/>
      <charset val="1"/>
    </font>
    <font>
      <b val="true"/>
      <sz val="10"/>
      <color rgb="FF0000FF"/>
      <name val="Verdana"/>
      <family val="2"/>
      <charset val="1"/>
    </font>
    <font>
      <i val="true"/>
      <sz val="10"/>
      <name val="Verdana"/>
      <family val="2"/>
      <charset val="1"/>
    </font>
    <font>
      <b val="true"/>
      <sz val="12"/>
      <color theme="1"/>
      <name val="Calibri"/>
      <family val="2"/>
      <charset val="1"/>
    </font>
    <font>
      <sz val="12"/>
      <color rgb="FF0000FF"/>
      <name val="Calibri"/>
      <family val="2"/>
      <charset val="1"/>
    </font>
    <font>
      <b val="true"/>
      <i val="true"/>
      <sz val="10"/>
      <name val="Verdana"/>
      <family val="2"/>
      <charset val="1"/>
    </font>
    <font>
      <b val="true"/>
      <sz val="12"/>
      <color theme="1"/>
      <name val="Arial"/>
      <family val="2"/>
      <charset val="1"/>
    </font>
    <font>
      <sz val="12"/>
      <name val="Arial"/>
      <family val="2"/>
      <charset val="1"/>
    </font>
    <font>
      <b val="true"/>
      <sz val="16"/>
      <color theme="0"/>
      <name val="Calibri"/>
      <family val="2"/>
      <charset val="1"/>
    </font>
    <font>
      <sz val="11"/>
      <color theme="0"/>
      <name val="Calibri"/>
      <family val="2"/>
      <charset val="1"/>
    </font>
    <font>
      <i val="true"/>
      <sz val="11"/>
      <name val="Calibri"/>
      <family val="2"/>
      <charset val="1"/>
    </font>
    <font>
      <i val="true"/>
      <sz val="11"/>
      <name val="Arial"/>
      <family val="2"/>
      <charset val="1"/>
    </font>
    <font>
      <b val="true"/>
      <i val="true"/>
      <sz val="9"/>
      <color rgb="FF002060"/>
      <name val="Verdana"/>
      <family val="2"/>
      <charset val="1"/>
    </font>
    <font>
      <b val="true"/>
      <i val="true"/>
      <sz val="10"/>
      <color rgb="FFFF0000"/>
      <name val="Verdana"/>
      <family val="2"/>
      <charset val="1"/>
    </font>
    <font>
      <sz val="12"/>
      <name val="Calibri"/>
      <family val="2"/>
      <charset val="1"/>
    </font>
    <font>
      <sz val="10"/>
      <color rgb="FFFF0000"/>
      <name val="Verdana"/>
      <family val="2"/>
      <charset val="1"/>
    </font>
    <font>
      <i val="true"/>
      <sz val="10"/>
      <color rgb="FF000000"/>
      <name val="Verdana"/>
      <family val="2"/>
      <charset val="1"/>
    </font>
    <font>
      <b val="true"/>
      <sz val="10"/>
      <color rgb="FFFF0000"/>
      <name val="Verdana"/>
      <family val="2"/>
      <charset val="1"/>
    </font>
    <font>
      <b val="true"/>
      <sz val="12"/>
      <name val="Calibri"/>
      <family val="2"/>
      <charset val="1"/>
    </font>
    <font>
      <i val="true"/>
      <sz val="11"/>
      <color theme="1"/>
      <name val="Verdana"/>
      <family val="2"/>
      <charset val="1"/>
    </font>
    <font>
      <i val="true"/>
      <sz val="8"/>
      <color rgb="FF000000"/>
      <name val="Verdana"/>
      <family val="0"/>
      <charset val="1"/>
    </font>
    <font>
      <sz val="11"/>
      <color rgb="FF002060"/>
      <name val="Verdana"/>
      <family val="2"/>
      <charset val="1"/>
    </font>
    <font>
      <sz val="11"/>
      <color theme="1"/>
      <name val="Verdana"/>
      <family val="2"/>
      <charset val="1"/>
    </font>
    <font>
      <b val="true"/>
      <i val="true"/>
      <sz val="11"/>
      <color theme="1"/>
      <name val="Verdana"/>
      <family val="2"/>
      <charset val="1"/>
    </font>
    <font>
      <b val="true"/>
      <sz val="11"/>
      <color theme="1"/>
      <name val="Verdana"/>
      <family val="2"/>
      <charset val="1"/>
    </font>
    <font>
      <b val="true"/>
      <sz val="11"/>
      <color rgb="FF002060"/>
      <name val="Verdana"/>
      <family val="2"/>
      <charset val="1"/>
    </font>
    <font>
      <i val="true"/>
      <sz val="10"/>
      <color rgb="FF002060"/>
      <name val="Verdana"/>
      <family val="2"/>
      <charset val="1"/>
    </font>
    <font>
      <b val="true"/>
      <sz val="9"/>
      <color rgb="FF000000"/>
      <name val="Verdana"/>
      <family val="2"/>
      <charset val="1"/>
    </font>
    <font>
      <sz val="10"/>
      <color rgb="FF000000"/>
      <name val="Verdana"/>
      <family val="2"/>
      <charset val="1"/>
    </font>
    <font>
      <i val="true"/>
      <sz val="8"/>
      <color rgb="FF000000"/>
      <name val="Verdana"/>
      <family val="2"/>
      <charset val="1"/>
    </font>
    <font>
      <sz val="10"/>
      <color rgb="FF008000"/>
      <name val="Verdana"/>
      <family val="2"/>
      <charset val="1"/>
    </font>
    <font>
      <i val="true"/>
      <sz val="8"/>
      <color rgb="FFFF0000"/>
      <name val="Verdana"/>
      <family val="2"/>
      <charset val="1"/>
    </font>
    <font>
      <i val="true"/>
      <sz val="9"/>
      <name val="Verdana"/>
      <family val="2"/>
      <charset val="1"/>
    </font>
    <font>
      <b val="true"/>
      <sz val="9"/>
      <color rgb="FFFFFFFF"/>
      <name val="Verdana"/>
      <family val="2"/>
      <charset val="1"/>
    </font>
    <font>
      <sz val="9"/>
      <color rgb="FF000000"/>
      <name val="Verdana"/>
      <family val="2"/>
      <charset val="1"/>
    </font>
    <font>
      <i val="true"/>
      <sz val="9"/>
      <color rgb="FF000000"/>
      <name val="Verdana"/>
      <family val="2"/>
      <charset val="1"/>
    </font>
    <font>
      <b val="true"/>
      <sz val="20"/>
      <color theme="2"/>
      <name val="Verdana"/>
      <family val="2"/>
      <charset val="1"/>
    </font>
    <font>
      <sz val="11"/>
      <color theme="2"/>
      <name val="Verdana"/>
      <family val="2"/>
      <charset val="1"/>
    </font>
    <font>
      <sz val="11"/>
      <color rgb="FF008000"/>
      <name val="Verdana"/>
      <family val="2"/>
      <charset val="1"/>
    </font>
    <font>
      <i val="true"/>
      <sz val="11"/>
      <color rgb="FF002060"/>
      <name val="Verdana"/>
      <family val="2"/>
      <charset val="1"/>
    </font>
    <font>
      <i val="true"/>
      <sz val="8"/>
      <color rgb="FF404040"/>
      <name val="Verdana"/>
      <family val="2"/>
      <charset val="1"/>
    </font>
    <font>
      <sz val="11"/>
      <color rgb="FF0000FF"/>
      <name val="Verdana"/>
      <family val="2"/>
      <charset val="1"/>
    </font>
    <font>
      <sz val="11"/>
      <color rgb="FF008000"/>
      <name val="Verdana"/>
      <family val="0"/>
      <charset val="1"/>
    </font>
    <font>
      <i val="true"/>
      <sz val="8"/>
      <color rgb="FF404040"/>
      <name val="Verdana"/>
      <family val="0"/>
      <charset val="1"/>
    </font>
    <font>
      <b val="true"/>
      <sz val="14"/>
      <color rgb="FF000000"/>
      <name val="Verdana"/>
      <family val="2"/>
      <charset val="1"/>
    </font>
    <font>
      <b val="true"/>
      <sz val="10"/>
      <color rgb="FFFFFFFF"/>
      <name val="Verdana"/>
      <family val="2"/>
      <charset val="1"/>
    </font>
    <font>
      <b val="true"/>
      <sz val="10"/>
      <color rgb="FF008000"/>
      <name val="Verdana"/>
      <family val="2"/>
      <charset val="1"/>
    </font>
    <font>
      <sz val="10"/>
      <name val="Arial"/>
      <family val="2"/>
    </font>
    <font>
      <sz val="11"/>
      <color rgb="FFFF0000"/>
      <name val="Verdana"/>
      <family val="2"/>
      <charset val="1"/>
    </font>
    <font>
      <i val="true"/>
      <sz val="11"/>
      <color rgb="FFFF0000"/>
      <name val="Verdana"/>
      <family val="2"/>
      <charset val="1"/>
    </font>
    <font>
      <i val="true"/>
      <sz val="11"/>
      <name val="Verdana"/>
      <family val="2"/>
      <charset val="1"/>
    </font>
    <font>
      <b val="true"/>
      <sz val="18"/>
      <color theme="0"/>
      <name val="Verdana"/>
      <family val="2"/>
      <charset val="1"/>
    </font>
    <font>
      <b val="true"/>
      <sz val="14"/>
      <name val="Verdana"/>
      <family val="2"/>
      <charset val="1"/>
    </font>
    <font>
      <b val="true"/>
      <sz val="14"/>
      <color theme="0"/>
      <name val="Verdana"/>
      <family val="2"/>
      <charset val="1"/>
    </font>
    <font>
      <sz val="11"/>
      <color theme="3" tint="0.3998"/>
      <name val="Verdana"/>
      <family val="2"/>
      <charset val="1"/>
    </font>
    <font>
      <b val="true"/>
      <i val="true"/>
      <sz val="11"/>
      <color rgb="FF002060"/>
      <name val="Verdana"/>
      <family val="2"/>
      <charset val="1"/>
    </font>
    <font>
      <b val="true"/>
      <i val="true"/>
      <sz val="11"/>
      <name val="Verdana"/>
      <family val="2"/>
      <charset val="1"/>
    </font>
    <font>
      <b val="true"/>
      <sz val="9"/>
      <color rgb="FF000000"/>
      <name val="Verdana"/>
      <family val="0"/>
      <charset val="1"/>
    </font>
    <font>
      <i val="true"/>
      <sz val="12"/>
      <color rgb="FF002060"/>
      <name val="Verdana"/>
      <family val="2"/>
      <charset val="1"/>
    </font>
    <font>
      <sz val="12"/>
      <name val="Verdana"/>
      <family val="2"/>
      <charset val="1"/>
    </font>
    <font>
      <i val="true"/>
      <sz val="12"/>
      <name val="Verdana"/>
      <family val="2"/>
      <charset val="1"/>
    </font>
    <font>
      <b val="true"/>
      <sz val="16"/>
      <color theme="2"/>
      <name val="Verdana"/>
      <family val="2"/>
      <charset val="1"/>
    </font>
    <font>
      <b val="true"/>
      <sz val="11"/>
      <color theme="2"/>
      <name val="Verdana"/>
      <family val="2"/>
      <charset val="1"/>
    </font>
    <font>
      <sz val="11"/>
      <color rgb="FF0000FF"/>
      <name val="Verdana"/>
      <family val="0"/>
      <charset val="1"/>
    </font>
    <font>
      <b val="true"/>
      <sz val="13"/>
      <color rgb="FF000000"/>
      <name val="Verdana"/>
      <family val="2"/>
      <charset val="1"/>
    </font>
    <font>
      <sz val="9"/>
      <color rgb="FF0000FF"/>
      <name val="Verdana"/>
      <family val="2"/>
      <charset val="1"/>
    </font>
    <font>
      <b val="true"/>
      <sz val="10"/>
      <name val="Verdana"/>
      <family val="0"/>
      <charset val="1"/>
    </font>
    <font>
      <b val="true"/>
      <sz val="12"/>
      <color rgb="FF000000"/>
      <name val="Verdana"/>
      <family val="0"/>
      <charset val="1"/>
    </font>
    <font>
      <i val="true"/>
      <sz val="8"/>
      <name val="Verdana"/>
      <family val="0"/>
      <charset val="1"/>
    </font>
    <font>
      <i val="true"/>
      <sz val="11"/>
      <color rgb="FF000000"/>
      <name val="Verdana"/>
      <family val="0"/>
      <charset val="1"/>
    </font>
    <font>
      <i val="true"/>
      <sz val="11"/>
      <color rgb="FF008000"/>
      <name val="Verdana"/>
      <family val="0"/>
      <charset val="1"/>
    </font>
    <font>
      <i val="true"/>
      <sz val="11"/>
      <color rgb="FF002060"/>
      <name val="Verdana"/>
      <family val="0"/>
      <charset val="1"/>
    </font>
    <font>
      <b val="true"/>
      <sz val="9"/>
      <color rgb="FFFFFFFF"/>
      <name val="Verdana"/>
      <family val="0"/>
      <charset val="1"/>
    </font>
    <font>
      <sz val="9"/>
      <color rgb="FF000000"/>
      <name val="Verdana"/>
      <family val="0"/>
      <charset val="1"/>
    </font>
    <font>
      <sz val="9"/>
      <color rgb="FF008000"/>
      <name val="Verdana"/>
      <family val="0"/>
      <charset val="1"/>
    </font>
    <font>
      <sz val="9"/>
      <color rgb="FF0000FF"/>
      <name val="Verdana"/>
      <family val="0"/>
      <charset val="1"/>
    </font>
  </fonts>
  <fills count="15">
    <fill>
      <patternFill patternType="none"/>
    </fill>
    <fill>
      <patternFill patternType="gray125"/>
    </fill>
    <fill>
      <patternFill patternType="solid">
        <fgColor theme="0"/>
        <bgColor rgb="FFF8F8F8"/>
      </patternFill>
    </fill>
    <fill>
      <patternFill patternType="solid">
        <fgColor rgb="FFF3F7FD"/>
        <bgColor rgb="FFF8F8F8"/>
      </patternFill>
    </fill>
    <fill>
      <patternFill patternType="solid">
        <fgColor rgb="FFFEFBCE"/>
        <bgColor rgb="FFF8F8F8"/>
      </patternFill>
    </fill>
    <fill>
      <patternFill patternType="solid">
        <fgColor rgb="FF002060"/>
        <bgColor rgb="FF000087"/>
      </patternFill>
    </fill>
    <fill>
      <patternFill patternType="solid">
        <fgColor rgb="FFB7E3E4"/>
        <bgColor rgb="FFDAE3F3"/>
      </patternFill>
    </fill>
    <fill>
      <patternFill patternType="solid">
        <fgColor rgb="FFFFFF00"/>
        <bgColor rgb="FFFFC000"/>
      </patternFill>
    </fill>
    <fill>
      <patternFill patternType="solid">
        <fgColor rgb="FF000087"/>
        <bgColor rgb="FF00008D"/>
      </patternFill>
    </fill>
    <fill>
      <patternFill patternType="solid">
        <fgColor rgb="FFE7E6E6"/>
        <bgColor rgb="FFEDEDED"/>
      </patternFill>
    </fill>
    <fill>
      <patternFill patternType="solid">
        <fgColor theme="5" tint="0.7999"/>
        <bgColor rgb="FFE7E6E6"/>
      </patternFill>
    </fill>
    <fill>
      <patternFill patternType="solid">
        <fgColor theme="7" tint="0.5998"/>
        <bgColor rgb="FFFBE5D6"/>
      </patternFill>
    </fill>
    <fill>
      <patternFill patternType="solid">
        <fgColor theme="8" tint="0.7998"/>
        <bgColor rgb="FFDAE3F3"/>
      </patternFill>
    </fill>
    <fill>
      <patternFill patternType="solid">
        <fgColor theme="4" tint="0.7998"/>
        <bgColor rgb="FFDEEBF7"/>
      </patternFill>
    </fill>
    <fill>
      <patternFill patternType="solid">
        <fgColor rgb="FFEDEDED"/>
        <bgColor rgb="FFE7E6E6"/>
      </patternFill>
    </fill>
  </fills>
  <borders count="23">
    <border diagonalUp="false" diagonalDown="false">
      <left/>
      <right/>
      <top/>
      <bottom/>
      <diagonal/>
    </border>
    <border diagonalUp="false" diagonalDown="false">
      <left style="thin">
        <color rgb="FF61BFB9"/>
      </left>
      <right style="thin">
        <color rgb="FF61BFB9"/>
      </right>
      <top style="thin">
        <color rgb="FF61BFB9"/>
      </top>
      <bottom style="thin">
        <color rgb="FF61BFB9"/>
      </bottom>
      <diagonal/>
    </border>
    <border diagonalUp="false" diagonalDown="false">
      <left style="thin">
        <color theme="4" tint="0.7998"/>
      </left>
      <right/>
      <top style="thin">
        <color theme="4" tint="0.7998"/>
      </top>
      <bottom/>
      <diagonal/>
    </border>
    <border diagonalUp="false" diagonalDown="false">
      <left/>
      <right/>
      <top style="thin">
        <color theme="4" tint="0.7998"/>
      </top>
      <bottom/>
      <diagonal/>
    </border>
    <border diagonalUp="false" diagonalDown="false">
      <left/>
      <right style="thin">
        <color theme="4" tint="0.7998"/>
      </right>
      <top style="thin">
        <color theme="4" tint="0.7998"/>
      </top>
      <bottom/>
      <diagonal/>
    </border>
    <border diagonalUp="false" diagonalDown="false">
      <left style="thin">
        <color theme="4" tint="0.7998"/>
      </left>
      <right/>
      <top/>
      <bottom style="thin">
        <color theme="0" tint="-0.25"/>
      </bottom>
      <diagonal/>
    </border>
    <border diagonalUp="false" diagonalDown="false">
      <left/>
      <right style="thin">
        <color theme="4" tint="0.7998"/>
      </right>
      <top/>
      <bottom style="thin">
        <color theme="0" tint="-0.25"/>
      </bottom>
      <diagonal/>
    </border>
    <border diagonalUp="false" diagonalDown="false">
      <left style="thin">
        <color theme="4" tint="0.7998"/>
      </left>
      <right style="thin">
        <color theme="4" tint="0.7998"/>
      </right>
      <top/>
      <bottom/>
      <diagonal/>
    </border>
    <border diagonalUp="false" diagonalDown="false">
      <left style="thin">
        <color theme="4" tint="0.7998"/>
      </left>
      <right/>
      <top/>
      <bottom style="thin">
        <color theme="4" tint="0.7998"/>
      </bottom>
      <diagonal/>
    </border>
    <border diagonalUp="false" diagonalDown="false">
      <left/>
      <right/>
      <top/>
      <bottom style="thin">
        <color theme="4" tint="0.7998"/>
      </bottom>
      <diagonal/>
    </border>
    <border diagonalUp="false" diagonalDown="false">
      <left/>
      <right style="thin">
        <color theme="4" tint="0.7998"/>
      </right>
      <top/>
      <bottom style="thin">
        <color theme="4" tint="0.7998"/>
      </bottom>
      <diagonal/>
    </border>
    <border diagonalUp="false" diagonalDown="false">
      <left/>
      <right/>
      <top style="thin"/>
      <bottom style="double"/>
      <diagonal/>
    </border>
    <border diagonalUp="false" diagonalDown="false">
      <left/>
      <right/>
      <top style="double"/>
      <bottom style="thin"/>
      <diagonal/>
    </border>
    <border diagonalUp="false" diagonalDown="false">
      <left/>
      <right/>
      <top/>
      <bottom style="thin"/>
      <diagonal/>
    </border>
    <border diagonalUp="false" diagonalDown="false">
      <left/>
      <right/>
      <top style="thin"/>
      <bottom style="thin"/>
      <diagonal/>
    </border>
    <border diagonalUp="false" diagonalDown="false">
      <left/>
      <right/>
      <top/>
      <bottom style="double"/>
      <diagonal/>
    </border>
    <border diagonalUp="false" diagonalDown="false">
      <left style="thin">
        <color rgb="FFF3F7FD"/>
      </left>
      <right style="thin">
        <color rgb="FFF3F7FD"/>
      </right>
      <top style="thin">
        <color rgb="FFF3F7FD"/>
      </top>
      <bottom/>
      <diagonal/>
    </border>
    <border diagonalUp="false" diagonalDown="false">
      <left/>
      <right/>
      <top style="thin"/>
      <bottom/>
      <diagonal/>
    </border>
    <border diagonalUp="false" diagonalDown="false">
      <left/>
      <right/>
      <top style="double"/>
      <bottom/>
      <diagonal/>
    </border>
    <border diagonalUp="false" diagonalDown="false">
      <left style="thin">
        <color rgb="FFF3F7FD"/>
      </left>
      <right style="thin">
        <color rgb="FFF3F7FD"/>
      </right>
      <top style="thin">
        <color rgb="FFF3F7FD"/>
      </top>
      <bottom style="thin"/>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style="thin"/>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17"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17"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cellStyleXfs>
  <cellXfs count="50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right" vertical="bottom" textRotation="0" wrapText="false" indent="0" shrinkToFit="false"/>
      <protection locked="true" hidden="false"/>
    </xf>
    <xf numFmtId="164" fontId="10" fillId="3" borderId="1" xfId="0" applyFont="true" applyBorder="true" applyAlignment="true" applyProtection="false">
      <alignment horizontal="center"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11" fillId="2" borderId="2" xfId="0" applyFont="true" applyBorder="true" applyAlignment="true" applyProtection="false">
      <alignment horizontal="left" vertical="top" textRotation="0" wrapText="true" indent="0" shrinkToFit="false"/>
      <protection locked="true" hidden="false"/>
    </xf>
    <xf numFmtId="164" fontId="11" fillId="2" borderId="3" xfId="0" applyFont="true" applyBorder="true" applyAlignment="true" applyProtection="false">
      <alignment horizontal="left" vertical="top" textRotation="0" wrapText="true" indent="0" shrinkToFit="false"/>
      <protection locked="true" hidden="false"/>
    </xf>
    <xf numFmtId="164" fontId="11" fillId="2" borderId="4" xfId="0" applyFont="true" applyBorder="true" applyAlignment="true" applyProtection="false">
      <alignment horizontal="left" vertical="top" textRotation="0" wrapText="true" indent="0" shrinkToFit="false"/>
      <protection locked="true" hidden="false"/>
    </xf>
    <xf numFmtId="164" fontId="11" fillId="2" borderId="0" xfId="0" applyFont="true" applyBorder="false" applyAlignment="true" applyProtection="false">
      <alignment horizontal="general" vertical="center" textRotation="0" wrapText="false" indent="0" shrinkToFit="false"/>
      <protection locked="true" hidden="false"/>
    </xf>
    <xf numFmtId="164" fontId="15" fillId="2" borderId="5" xfId="0" applyFont="true" applyBorder="true" applyAlignment="true" applyProtection="false">
      <alignment horizontal="left" vertical="center" textRotation="0" wrapText="false" indent="1" shrinkToFit="false"/>
      <protection locked="true" hidden="false"/>
    </xf>
    <xf numFmtId="167" fontId="16" fillId="4" borderId="1" xfId="15" applyFont="true" applyBorder="true" applyAlignment="true" applyProtection="false">
      <alignment horizontal="center" vertical="center" textRotation="0" wrapText="false" indent="0" shrinkToFit="false"/>
      <protection locked="true" hidden="false"/>
    </xf>
    <xf numFmtId="164" fontId="18" fillId="2" borderId="6" xfId="0" applyFont="true" applyBorder="true" applyAlignment="true" applyProtection="false">
      <alignment horizontal="left" vertical="center" textRotation="0" wrapText="true" indent="0" shrinkToFit="false"/>
      <protection locked="true" hidden="false"/>
    </xf>
    <xf numFmtId="164" fontId="19" fillId="2" borderId="7" xfId="0" applyFont="true" applyBorder="true" applyAlignment="true" applyProtection="false">
      <alignment horizontal="left" vertical="center" textRotation="0" wrapText="true" indent="0" shrinkToFit="false"/>
      <protection locked="true" hidden="false"/>
    </xf>
    <xf numFmtId="164" fontId="11" fillId="2" borderId="8" xfId="0" applyFont="true" applyBorder="true" applyAlignment="true" applyProtection="false">
      <alignment horizontal="left" vertical="top" textRotation="0" wrapText="true" indent="0" shrinkToFit="false"/>
      <protection locked="true" hidden="false"/>
    </xf>
    <xf numFmtId="164" fontId="11" fillId="2" borderId="9" xfId="0" applyFont="true" applyBorder="true" applyAlignment="true" applyProtection="false">
      <alignment horizontal="left" vertical="top" textRotation="0" wrapText="true" indent="0" shrinkToFit="false"/>
      <protection locked="true" hidden="false"/>
    </xf>
    <xf numFmtId="164" fontId="11" fillId="2" borderId="10" xfId="0" applyFont="true" applyBorder="true" applyAlignment="true" applyProtection="false">
      <alignment horizontal="left"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2" borderId="0" xfId="0" applyFont="true" applyBorder="false" applyAlignment="fals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center" textRotation="0" wrapText="false" indent="0" shrinkToFit="false"/>
      <protection locked="true" hidden="false"/>
    </xf>
    <xf numFmtId="164" fontId="24" fillId="5" borderId="0" xfId="0" applyFont="true" applyBorder="false" applyAlignment="false" applyProtection="false">
      <alignment horizontal="general" vertical="bottom" textRotation="0" wrapText="false" indent="0" shrinkToFit="false"/>
      <protection locked="true" hidden="false"/>
    </xf>
    <xf numFmtId="164" fontId="22" fillId="5" borderId="0" xfId="0" applyFont="true" applyBorder="false" applyAlignment="false" applyProtection="false">
      <alignment horizontal="general" vertical="bottom" textRotation="0" wrapText="false" indent="0" shrinkToFit="false"/>
      <protection locked="true" hidden="false"/>
    </xf>
    <xf numFmtId="164" fontId="25" fillId="2" borderId="11" xfId="0" applyFont="true" applyBorder="true" applyAlignment="true" applyProtection="false">
      <alignment horizontal="center" vertical="center" textRotation="0" wrapText="true" indent="0" shrinkToFit="false"/>
      <protection locked="true" hidden="false"/>
    </xf>
    <xf numFmtId="164" fontId="25" fillId="6" borderId="11" xfId="0" applyFont="true" applyBorder="true" applyAlignment="true" applyProtection="false">
      <alignment horizontal="center" vertical="center" textRotation="0" wrapText="true" indent="0" shrinkToFit="false"/>
      <protection locked="true" hidden="false"/>
    </xf>
    <xf numFmtId="164" fontId="26" fillId="2" borderId="0" xfId="0" applyFont="true" applyBorder="false" applyAlignment="true" applyProtection="false">
      <alignment horizontal="center" vertical="center" textRotation="0" wrapText="true" indent="0" shrinkToFit="false"/>
      <protection locked="true" hidden="false"/>
    </xf>
    <xf numFmtId="164" fontId="27" fillId="2" borderId="0" xfId="0" applyFont="true" applyBorder="false" applyAlignment="false" applyProtection="false">
      <alignment horizontal="general" vertical="bottom" textRotation="0" wrapText="false" indent="0" shrinkToFit="false"/>
      <protection locked="true" hidden="false"/>
    </xf>
    <xf numFmtId="167" fontId="27" fillId="2" borderId="0" xfId="0" applyFont="true" applyBorder="false" applyAlignment="false" applyProtection="false">
      <alignment horizontal="general" vertical="bottom" textRotation="0" wrapText="false" indent="0" shrinkToFit="false"/>
      <protection locked="true" hidden="false"/>
    </xf>
    <xf numFmtId="167" fontId="25" fillId="2" borderId="0" xfId="0" applyFont="true" applyBorder="false" applyAlignment="false" applyProtection="false">
      <alignment horizontal="general" vertical="bottom" textRotation="0" wrapText="false" indent="0" shrinkToFit="false"/>
      <protection locked="true" hidden="false"/>
    </xf>
    <xf numFmtId="168" fontId="22" fillId="6" borderId="12" xfId="0" applyFont="true" applyBorder="true" applyAlignment="true" applyProtection="false">
      <alignment horizontal="center" vertical="center" textRotation="0" wrapText="false" indent="0" shrinkToFit="false"/>
      <protection locked="true" hidden="false"/>
    </xf>
    <xf numFmtId="167" fontId="22" fillId="2" borderId="0" xfId="15" applyFont="true" applyBorder="false" applyAlignment="false" applyProtection="false">
      <alignment horizontal="general" vertical="bottom" textRotation="0" wrapText="false" indent="0" shrinkToFit="false"/>
      <protection locked="true" hidden="false"/>
    </xf>
    <xf numFmtId="167" fontId="28" fillId="2" borderId="0" xfId="15" applyFont="true" applyBorder="false" applyAlignment="false" applyProtection="false">
      <alignment horizontal="general" vertical="bottom" textRotation="0" wrapText="false" indent="0" shrinkToFit="false"/>
      <protection locked="true" hidden="false"/>
    </xf>
    <xf numFmtId="168" fontId="22" fillId="2" borderId="0" xfId="0" applyFont="true" applyBorder="false" applyAlignment="false" applyProtection="false">
      <alignment horizontal="general" vertical="bottom" textRotation="0" wrapText="false" indent="0" shrinkToFit="false"/>
      <protection locked="true" hidden="false"/>
    </xf>
    <xf numFmtId="164" fontId="22" fillId="2" borderId="13" xfId="0" applyFont="true" applyBorder="true" applyAlignment="false" applyProtection="false">
      <alignment horizontal="general" vertical="bottom" textRotation="0" wrapText="false" indent="0" shrinkToFit="false"/>
      <protection locked="true" hidden="false"/>
    </xf>
    <xf numFmtId="167" fontId="22" fillId="2" borderId="13" xfId="15" applyFont="true" applyBorder="true" applyAlignment="false" applyProtection="false">
      <alignment horizontal="general" vertical="bottom" textRotation="0" wrapText="false" indent="0" shrinkToFit="false"/>
      <protection locked="true" hidden="false"/>
    </xf>
    <xf numFmtId="167" fontId="28" fillId="2" borderId="13" xfId="15" applyFont="true" applyBorder="true" applyAlignment="false" applyProtection="false">
      <alignment horizontal="general" vertical="bottom" textRotation="0" wrapText="false" indent="0" shrinkToFit="false"/>
      <protection locked="true" hidden="false"/>
    </xf>
    <xf numFmtId="168" fontId="22" fillId="2" borderId="13" xfId="0" applyFont="true" applyBorder="true" applyAlignment="false" applyProtection="false">
      <alignment horizontal="general" vertical="bottom" textRotation="0" wrapText="false" indent="0" shrinkToFit="false"/>
      <protection locked="true" hidden="false"/>
    </xf>
    <xf numFmtId="164" fontId="22" fillId="3" borderId="0" xfId="0" applyFont="true" applyBorder="false" applyAlignment="false" applyProtection="false">
      <alignment horizontal="general" vertical="bottom" textRotation="0" wrapText="false" indent="0" shrinkToFit="false"/>
      <protection locked="true" hidden="false"/>
    </xf>
    <xf numFmtId="167" fontId="22" fillId="3" borderId="0" xfId="0" applyFont="true" applyBorder="false" applyAlignment="false" applyProtection="false">
      <alignment horizontal="general" vertical="bottom" textRotation="0" wrapText="false" indent="0" shrinkToFit="false"/>
      <protection locked="true" hidden="false"/>
    </xf>
    <xf numFmtId="167" fontId="25" fillId="3" borderId="0" xfId="0" applyFont="true" applyBorder="false" applyAlignment="false" applyProtection="false">
      <alignment horizontal="general" vertical="bottom" textRotation="0" wrapText="false" indent="0" shrinkToFit="false"/>
      <protection locked="true" hidden="false"/>
    </xf>
    <xf numFmtId="168" fontId="22" fillId="6" borderId="14" xfId="0" applyFont="true" applyBorder="true" applyAlignment="true" applyProtection="false">
      <alignment horizontal="center" vertical="center" textRotation="0" wrapText="false" indent="0" shrinkToFit="false"/>
      <protection locked="true" hidden="false"/>
    </xf>
    <xf numFmtId="167" fontId="22" fillId="3" borderId="0" xfId="15" applyFont="true" applyBorder="false" applyAlignment="false" applyProtection="false">
      <alignment horizontal="general" vertical="bottom" textRotation="0" wrapText="false" indent="0" shrinkToFit="false"/>
      <protection locked="true" hidden="false"/>
    </xf>
    <xf numFmtId="167" fontId="28" fillId="3" borderId="0" xfId="15" applyFont="true" applyBorder="false" applyAlignment="false" applyProtection="false">
      <alignment horizontal="general" vertical="bottom" textRotation="0" wrapText="false" indent="0" shrinkToFit="false"/>
      <protection locked="true" hidden="false"/>
    </xf>
    <xf numFmtId="168" fontId="22" fillId="3" borderId="0" xfId="0" applyFont="true" applyBorder="false" applyAlignment="false" applyProtection="false">
      <alignment horizontal="general" vertical="bottom" textRotation="0" wrapText="false" indent="0" shrinkToFit="false"/>
      <protection locked="true" hidden="false"/>
    </xf>
    <xf numFmtId="164" fontId="22" fillId="3" borderId="13" xfId="0" applyFont="true" applyBorder="true" applyAlignment="false" applyProtection="false">
      <alignment horizontal="general" vertical="bottom" textRotation="0" wrapText="false" indent="0" shrinkToFit="false"/>
      <protection locked="true" hidden="false"/>
    </xf>
    <xf numFmtId="167" fontId="22" fillId="3" borderId="13" xfId="15" applyFont="true" applyBorder="true" applyAlignment="false" applyProtection="false">
      <alignment horizontal="general" vertical="bottom" textRotation="0" wrapText="false" indent="0" shrinkToFit="false"/>
      <protection locked="true" hidden="false"/>
    </xf>
    <xf numFmtId="167" fontId="28" fillId="3" borderId="13" xfId="15" applyFont="true" applyBorder="true" applyAlignment="false" applyProtection="false">
      <alignment horizontal="general" vertical="bottom" textRotation="0" wrapText="false" indent="0" shrinkToFit="false"/>
      <protection locked="true" hidden="false"/>
    </xf>
    <xf numFmtId="168" fontId="22" fillId="3" borderId="13" xfId="0" applyFont="true" applyBorder="true" applyAlignment="false" applyProtection="false">
      <alignment horizontal="general" vertical="bottom" textRotation="0" wrapText="false" indent="0" shrinkToFit="false"/>
      <protection locked="true" hidden="false"/>
    </xf>
    <xf numFmtId="167" fontId="25" fillId="2" borderId="0" xfId="15" applyFont="true" applyBorder="false" applyAlignment="false" applyProtection="false">
      <alignment horizontal="general" vertical="bottom" textRotation="0" wrapText="false" indent="0" shrinkToFit="false"/>
      <protection locked="true" hidden="false"/>
    </xf>
    <xf numFmtId="168" fontId="22" fillId="7" borderId="14" xfId="0" applyFont="true" applyBorder="true" applyAlignment="true" applyProtection="false">
      <alignment horizontal="center" vertical="center" textRotation="0" wrapText="false" indent="0" shrinkToFit="false"/>
      <protection locked="true" hidden="false"/>
    </xf>
    <xf numFmtId="167" fontId="25" fillId="3" borderId="0" xfId="15" applyFont="true" applyBorder="false" applyAlignment="false" applyProtection="false">
      <alignment horizontal="general" vertical="bottom" textRotation="0" wrapText="false" indent="0" shrinkToFit="false"/>
      <protection locked="true" hidden="false"/>
    </xf>
    <xf numFmtId="168" fontId="22" fillId="6" borderId="11" xfId="0" applyFont="true" applyBorder="true" applyAlignment="true" applyProtection="false">
      <alignment horizontal="center" vertical="center" textRotation="0" wrapText="false" indent="0" shrinkToFit="false"/>
      <protection locked="true" hidden="false"/>
    </xf>
    <xf numFmtId="164" fontId="22" fillId="2" borderId="15" xfId="0" applyFont="true" applyBorder="true" applyAlignment="false" applyProtection="false">
      <alignment horizontal="general" vertical="bottom" textRotation="0" wrapText="false" indent="0" shrinkToFit="false"/>
      <protection locked="true" hidden="false"/>
    </xf>
    <xf numFmtId="167" fontId="22" fillId="2" borderId="15" xfId="15" applyFont="true" applyBorder="true" applyAlignment="false" applyProtection="false">
      <alignment horizontal="general" vertical="bottom" textRotation="0" wrapText="false" indent="0" shrinkToFit="false"/>
      <protection locked="true" hidden="false"/>
    </xf>
    <xf numFmtId="167" fontId="28" fillId="2" borderId="15" xfId="15" applyFont="true" applyBorder="true" applyAlignment="false" applyProtection="false">
      <alignment horizontal="general" vertical="bottom" textRotation="0" wrapText="false" indent="0" shrinkToFit="false"/>
      <protection locked="true" hidden="false"/>
    </xf>
    <xf numFmtId="168" fontId="22" fillId="2" borderId="15" xfId="0" applyFont="true" applyBorder="true" applyAlignment="false" applyProtection="false">
      <alignment horizontal="general" vertical="bottom" textRotation="0" wrapText="false" indent="0" shrinkToFit="false"/>
      <protection locked="true" hidden="false"/>
    </xf>
    <xf numFmtId="165" fontId="22" fillId="2" borderId="0" xfId="15" applyFont="true" applyBorder="false" applyAlignment="false" applyProtection="false">
      <alignment horizontal="general" vertical="bottom" textRotation="0" wrapText="false" indent="0" shrinkToFit="false"/>
      <protection locked="true" hidden="false"/>
    </xf>
    <xf numFmtId="164" fontId="27" fillId="2" borderId="0" xfId="0" applyFont="true" applyBorder="true" applyAlignment="true" applyProtection="false">
      <alignment horizontal="center" vertical="bottom" textRotation="0" wrapText="false" indent="0" shrinkToFit="false"/>
      <protection locked="true" hidden="false"/>
    </xf>
    <xf numFmtId="167" fontId="27" fillId="2" borderId="0" xfId="15" applyFont="true" applyBorder="false" applyAlignment="false" applyProtection="false">
      <alignment horizontal="general" vertical="bottom" textRotation="0" wrapText="false" indent="0" shrinkToFit="false"/>
      <protection locked="true" hidden="false"/>
    </xf>
    <xf numFmtId="166" fontId="22" fillId="2" borderId="0" xfId="15"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5" fontId="29" fillId="0" borderId="0" xfId="15" applyFont="true" applyBorder="false" applyAlignment="false" applyProtection="false">
      <alignment horizontal="general" vertical="bottom" textRotation="0" wrapText="false" indent="0" shrinkToFit="false"/>
      <protection locked="true" hidden="false"/>
    </xf>
    <xf numFmtId="164" fontId="30" fillId="5" borderId="0" xfId="0" applyFont="true" applyBorder="false" applyAlignment="true" applyProtection="false">
      <alignment horizontal="center" vertical="center" textRotation="0" wrapText="false" indent="0" shrinkToFit="false"/>
      <protection locked="true" hidden="false"/>
    </xf>
    <xf numFmtId="164" fontId="31" fillId="5" borderId="0" xfId="0" applyFont="true" applyBorder="false" applyAlignment="true" applyProtection="false">
      <alignment horizontal="general" vertical="center" textRotation="0" wrapText="false" indent="0" shrinkToFit="false"/>
      <protection locked="true" hidden="false"/>
    </xf>
    <xf numFmtId="164" fontId="32" fillId="5" borderId="0" xfId="0" applyFont="true" applyBorder="false" applyAlignment="false" applyProtection="false">
      <alignment horizontal="general" vertical="bottom" textRotation="0" wrapText="false" indent="0" shrinkToFit="false"/>
      <protection locked="true" hidden="false"/>
    </xf>
    <xf numFmtId="165" fontId="32" fillId="8" borderId="0" xfId="15" applyFont="true" applyBorder="false" applyAlignment="false" applyProtection="false">
      <alignment horizontal="general" vertical="bottom" textRotation="0" wrapText="false" indent="0" shrinkToFit="false"/>
      <protection locked="true" hidden="false"/>
    </xf>
    <xf numFmtId="164" fontId="32" fillId="8" borderId="0" xfId="0" applyFont="true" applyBorder="false" applyAlignment="false" applyProtection="false">
      <alignment horizontal="general" vertical="bottom" textRotation="0" wrapText="false" indent="0" shrinkToFit="false"/>
      <protection locked="true" hidden="false"/>
    </xf>
    <xf numFmtId="169" fontId="33" fillId="0" borderId="0" xfId="0" applyFont="true" applyBorder="false" applyAlignment="false" applyProtection="false">
      <alignment horizontal="general" vertical="bottom" textRotation="0" wrapText="false" indent="0" shrinkToFit="false"/>
      <protection locked="true" hidden="false"/>
    </xf>
    <xf numFmtId="165" fontId="33" fillId="0" borderId="0" xfId="15"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9" fontId="33" fillId="0" borderId="0" xfId="0" applyFont="true" applyBorder="false" applyAlignment="true" applyProtection="false">
      <alignment horizontal="center" vertical="center" textRotation="0" wrapText="false" indent="0" shrinkToFit="false"/>
      <protection locked="true" hidden="false"/>
    </xf>
    <xf numFmtId="169" fontId="34" fillId="0" borderId="0" xfId="0" applyFont="true" applyBorder="false" applyAlignment="true" applyProtection="false">
      <alignment horizontal="center" vertical="center" textRotation="0" wrapText="false" indent="0" shrinkToFit="false"/>
      <protection locked="true" hidden="false"/>
    </xf>
    <xf numFmtId="169" fontId="35" fillId="0" borderId="0" xfId="0" applyFont="true" applyBorder="false" applyAlignment="true" applyProtection="false">
      <alignment horizontal="center" vertical="center" textRotation="0" wrapText="false" indent="0" shrinkToFit="false"/>
      <protection locked="true" hidden="false"/>
    </xf>
    <xf numFmtId="165" fontId="34" fillId="0" borderId="0" xfId="15" applyFont="true" applyBorder="false" applyAlignment="true" applyProtection="false">
      <alignment horizontal="center" vertical="center" textRotation="0" wrapText="false" indent="0" shrinkToFit="false"/>
      <protection locked="true" hidden="false"/>
    </xf>
    <xf numFmtId="170" fontId="36" fillId="5" borderId="16" xfId="0" applyFont="true" applyBorder="true" applyAlignment="true" applyProtection="false">
      <alignment horizontal="center" vertical="bottom" textRotation="0" wrapText="false" indent="0" shrinkToFit="false"/>
      <protection locked="true" hidden="false"/>
    </xf>
    <xf numFmtId="170" fontId="37" fillId="8" borderId="16" xfId="15" applyFont="true" applyBorder="true" applyAlignment="true" applyProtection="false">
      <alignment horizontal="center" vertical="bottom" textRotation="0" wrapText="false" indent="0" shrinkToFit="false"/>
      <protection locked="true" hidden="false"/>
    </xf>
    <xf numFmtId="170" fontId="37" fillId="8" borderId="16" xfId="0" applyFont="true" applyBorder="true" applyAlignment="true" applyProtection="false">
      <alignment horizontal="center" vertical="bottom" textRotation="0" wrapText="false" indent="0" shrinkToFit="false"/>
      <protection locked="true" hidden="false"/>
    </xf>
    <xf numFmtId="164" fontId="38" fillId="9" borderId="16" xfId="0" applyFont="true" applyBorder="true" applyAlignment="true" applyProtection="false">
      <alignment horizontal="center" vertical="bottom" textRotation="0" wrapText="false" indent="0" shrinkToFit="false"/>
      <protection locked="true" hidden="false"/>
    </xf>
    <xf numFmtId="164" fontId="37" fillId="9" borderId="16" xfId="0" applyFont="true" applyBorder="true" applyAlignment="true" applyProtection="false">
      <alignment horizontal="center" vertical="bottom" textRotation="0" wrapText="false" indent="0" shrinkToFit="false"/>
      <protection locked="true" hidden="false"/>
    </xf>
    <xf numFmtId="169" fontId="39" fillId="9" borderId="0" xfId="0" applyFont="true" applyBorder="false" applyAlignment="true" applyProtection="false">
      <alignment horizontal="center" vertical="center" textRotation="0" wrapText="false" indent="0" shrinkToFit="false"/>
      <protection locked="true" hidden="false"/>
    </xf>
    <xf numFmtId="169" fontId="34" fillId="0" borderId="0" xfId="21" applyFont="true" applyBorder="false" applyAlignment="false" applyProtection="false">
      <alignment horizontal="general" vertical="bottom" textRotation="0" wrapText="false" indent="0" shrinkToFit="false"/>
      <protection locked="true" hidden="false"/>
    </xf>
    <xf numFmtId="169" fontId="35" fillId="0" borderId="0" xfId="21" applyFont="true" applyBorder="false" applyAlignment="false" applyProtection="false">
      <alignment horizontal="general" vertical="bottom" textRotation="0" wrapText="false" indent="0" shrinkToFit="false"/>
      <protection locked="true" hidden="false"/>
    </xf>
    <xf numFmtId="165" fontId="40" fillId="3" borderId="0" xfId="15" applyFont="true" applyBorder="false" applyAlignment="false" applyProtection="false">
      <alignment horizontal="general" vertical="bottom" textRotation="0" wrapText="false" indent="0" shrinkToFit="false"/>
      <protection locked="true" hidden="false"/>
    </xf>
    <xf numFmtId="167" fontId="40" fillId="3" borderId="0" xfId="15" applyFont="true" applyBorder="false" applyAlignment="false" applyProtection="false">
      <alignment horizontal="general" vertical="bottom" textRotation="0" wrapText="false" indent="0" shrinkToFit="false"/>
      <protection locked="true" hidden="false"/>
    </xf>
    <xf numFmtId="167" fontId="40" fillId="3" borderId="0" xfId="0" applyFont="true" applyBorder="false" applyAlignment="false" applyProtection="false">
      <alignment horizontal="general" vertical="bottom" textRotation="0" wrapText="false" indent="0" shrinkToFit="false"/>
      <protection locked="true" hidden="false"/>
    </xf>
    <xf numFmtId="169" fontId="40" fillId="0" borderId="0" xfId="0" applyFont="true" applyBorder="false" applyAlignment="false" applyProtection="false">
      <alignment horizontal="general" vertical="bottom" textRotation="0" wrapText="false" indent="0" shrinkToFit="false"/>
      <protection locked="true" hidden="false"/>
    </xf>
    <xf numFmtId="169" fontId="41" fillId="0" borderId="0" xfId="0" applyFont="true" applyBorder="false" applyAlignment="false" applyProtection="false">
      <alignment horizontal="general" vertical="bottom" textRotation="0" wrapText="false" indent="0" shrinkToFit="false"/>
      <protection locked="true" hidden="false"/>
    </xf>
    <xf numFmtId="169" fontId="33" fillId="0" borderId="0" xfId="21" applyFont="true" applyBorder="false" applyAlignment="false" applyProtection="false">
      <alignment horizontal="general" vertical="bottom" textRotation="0" wrapText="false" indent="0" shrinkToFit="false"/>
      <protection locked="true" hidden="false"/>
    </xf>
    <xf numFmtId="165" fontId="40" fillId="0" borderId="0" xfId="15" applyFont="true" applyBorder="false" applyAlignment="false" applyProtection="false">
      <alignment horizontal="general" vertical="bottom" textRotation="0" wrapText="false" indent="0" shrinkToFit="false"/>
      <protection locked="true" hidden="false"/>
    </xf>
    <xf numFmtId="169" fontId="33" fillId="0" borderId="13" xfId="21" applyFont="true" applyBorder="true" applyAlignment="false" applyProtection="false">
      <alignment horizontal="general" vertical="bottom" textRotation="0" wrapText="false" indent="0" shrinkToFit="false"/>
      <protection locked="true" hidden="false"/>
    </xf>
    <xf numFmtId="165" fontId="21" fillId="0" borderId="0" xfId="15" applyFont="true" applyBorder="false" applyAlignment="false" applyProtection="false">
      <alignment horizontal="general" vertical="bottom" textRotation="0" wrapText="false" indent="0" shrinkToFit="false"/>
      <protection locked="true" hidden="false"/>
    </xf>
    <xf numFmtId="169" fontId="21" fillId="0" borderId="0" xfId="0" applyFont="true" applyBorder="false" applyAlignment="false" applyProtection="false">
      <alignment horizontal="general" vertical="bottom" textRotation="0" wrapText="false" indent="0" shrinkToFit="false"/>
      <protection locked="true" hidden="false"/>
    </xf>
    <xf numFmtId="169" fontId="34" fillId="6" borderId="0" xfId="21" applyFont="true" applyBorder="false" applyAlignment="false" applyProtection="false">
      <alignment horizontal="general" vertical="bottom" textRotation="0" wrapText="false" indent="0" shrinkToFit="false"/>
      <protection locked="true" hidden="false"/>
    </xf>
    <xf numFmtId="165" fontId="20" fillId="6" borderId="17" xfId="15" applyFont="true" applyBorder="true" applyAlignment="false" applyProtection="false">
      <alignment horizontal="general" vertical="bottom" textRotation="0" wrapText="false" indent="0" shrinkToFit="false"/>
      <protection locked="true" hidden="false"/>
    </xf>
    <xf numFmtId="167" fontId="20" fillId="0" borderId="17" xfId="15" applyFont="true" applyBorder="true" applyAlignment="false" applyProtection="false">
      <alignment horizontal="general" vertical="bottom" textRotation="0" wrapText="false" indent="0" shrinkToFit="false"/>
      <protection locked="true" hidden="false"/>
    </xf>
    <xf numFmtId="167" fontId="20" fillId="0" borderId="17" xfId="0" applyFont="true" applyBorder="true" applyAlignment="false" applyProtection="false">
      <alignment horizontal="general" vertical="bottom" textRotation="0" wrapText="false" indent="0" shrinkToFit="false"/>
      <protection locked="true" hidden="false"/>
    </xf>
    <xf numFmtId="169" fontId="20" fillId="0" borderId="17" xfId="0" applyFont="true" applyBorder="true" applyAlignment="false" applyProtection="false">
      <alignment horizontal="general" vertical="bottom" textRotation="0" wrapText="false" indent="0" shrinkToFit="false"/>
      <protection locked="true" hidden="false"/>
    </xf>
    <xf numFmtId="165" fontId="33" fillId="0" borderId="0" xfId="0" applyFont="true" applyBorder="false" applyAlignment="false" applyProtection="false">
      <alignment horizontal="general" vertical="bottom" textRotation="0" wrapText="false" indent="0" shrinkToFit="false"/>
      <protection locked="true" hidden="false"/>
    </xf>
    <xf numFmtId="169" fontId="21" fillId="0" borderId="13" xfId="21" applyFont="true" applyBorder="true" applyAlignment="false" applyProtection="false">
      <alignment horizontal="general" vertical="bottom" textRotation="0" wrapText="false" indent="0" shrinkToFit="false"/>
      <protection locked="true" hidden="false"/>
    </xf>
    <xf numFmtId="167" fontId="20" fillId="0" borderId="14" xfId="15" applyFont="true" applyBorder="true" applyAlignment="false" applyProtection="false">
      <alignment horizontal="general" vertical="bottom" textRotation="0" wrapText="false" indent="0" shrinkToFit="false"/>
      <protection locked="true" hidden="false"/>
    </xf>
    <xf numFmtId="169" fontId="42"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9" fontId="21" fillId="0" borderId="15" xfId="21" applyFont="true" applyBorder="true" applyAlignment="false" applyProtection="false">
      <alignment horizontal="general" vertical="bottom" textRotation="0" wrapText="false" indent="0" shrinkToFit="false"/>
      <protection locked="true" hidden="false"/>
    </xf>
    <xf numFmtId="167" fontId="21" fillId="0" borderId="0" xfId="15" applyFont="true" applyBorder="false" applyAlignment="false" applyProtection="false">
      <alignment horizontal="general" vertical="bottom" textRotation="0" wrapText="false" indent="0" shrinkToFit="false"/>
      <protection locked="true" hidden="false"/>
    </xf>
    <xf numFmtId="167" fontId="21" fillId="0" borderId="0" xfId="0" applyFont="true" applyBorder="false" applyAlignment="false" applyProtection="false">
      <alignment horizontal="general" vertical="bottom" textRotation="0" wrapText="false" indent="0" shrinkToFit="false"/>
      <protection locked="true" hidden="false"/>
    </xf>
    <xf numFmtId="169" fontId="20" fillId="6" borderId="0" xfId="21" applyFont="true" applyBorder="false" applyAlignment="false" applyProtection="false">
      <alignment horizontal="general" vertical="bottom" textRotation="0" wrapText="false" indent="0" shrinkToFit="false"/>
      <protection locked="true" hidden="false"/>
    </xf>
    <xf numFmtId="167" fontId="20" fillId="6" borderId="18" xfId="15" applyFont="true" applyBorder="true" applyAlignment="false" applyProtection="false">
      <alignment horizontal="general" vertical="bottom" textRotation="0" wrapText="false" indent="0" shrinkToFit="false"/>
      <protection locked="true" hidden="false"/>
    </xf>
    <xf numFmtId="167" fontId="20" fillId="0" borderId="18" xfId="15" applyFont="true" applyBorder="true" applyAlignment="false" applyProtection="false">
      <alignment horizontal="general" vertical="bottom" textRotation="0" wrapText="false" indent="0" shrinkToFit="false"/>
      <protection locked="true" hidden="false"/>
    </xf>
    <xf numFmtId="167" fontId="20" fillId="0" borderId="18" xfId="0" applyFont="true" applyBorder="true" applyAlignment="false" applyProtection="false">
      <alignment horizontal="general" vertical="bottom" textRotation="0" wrapText="false" indent="0" shrinkToFit="false"/>
      <protection locked="true" hidden="false"/>
    </xf>
    <xf numFmtId="169" fontId="20" fillId="0" borderId="18" xfId="0" applyFont="true" applyBorder="true" applyAlignment="false" applyProtection="false">
      <alignment horizontal="general" vertical="bottom" textRotation="0" wrapText="false" indent="0" shrinkToFit="false"/>
      <protection locked="true" hidden="false"/>
    </xf>
    <xf numFmtId="169" fontId="20" fillId="0" borderId="0" xfId="21" applyFont="true" applyBorder="false" applyAlignment="false" applyProtection="false">
      <alignment horizontal="general" vertical="bottom" textRotation="0" wrapText="false" indent="0" shrinkToFit="false"/>
      <protection locked="true" hidden="false"/>
    </xf>
    <xf numFmtId="167" fontId="12" fillId="0" borderId="0" xfId="15"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71" fontId="21" fillId="0" borderId="0" xfId="0" applyFont="true" applyBorder="false" applyAlignment="false" applyProtection="false">
      <alignment horizontal="general" vertical="bottom" textRotation="0" wrapText="false" indent="0" shrinkToFit="false"/>
      <protection locked="true" hidden="false"/>
    </xf>
    <xf numFmtId="169" fontId="21" fillId="0" borderId="0" xfId="21" applyFont="true" applyBorder="false" applyAlignment="false" applyProtection="false">
      <alignment horizontal="general" vertical="bottom" textRotation="0" wrapText="false" indent="0" shrinkToFit="false"/>
      <protection locked="true" hidden="false"/>
    </xf>
    <xf numFmtId="172" fontId="21" fillId="0" borderId="0" xfId="15" applyFont="true" applyBorder="false" applyAlignment="false" applyProtection="false">
      <alignment horizontal="general" vertical="bottom" textRotation="0" wrapText="false" indent="0" shrinkToFit="false"/>
      <protection locked="true" hidden="false"/>
    </xf>
    <xf numFmtId="172" fontId="21" fillId="0" borderId="0" xfId="0" applyFont="true" applyBorder="false" applyAlignment="false" applyProtection="false">
      <alignment horizontal="general" vertical="bottom" textRotation="0" wrapText="false" indent="0" shrinkToFit="false"/>
      <protection locked="true" hidden="false"/>
    </xf>
    <xf numFmtId="165" fontId="21" fillId="0" borderId="13" xfId="15" applyFont="true" applyBorder="true" applyAlignment="false" applyProtection="false">
      <alignment horizontal="general" vertical="bottom" textRotation="0" wrapText="false" indent="0" shrinkToFit="false"/>
      <protection locked="true" hidden="false"/>
    </xf>
    <xf numFmtId="169" fontId="21" fillId="0" borderId="13" xfId="0" applyFont="true" applyBorder="true" applyAlignment="false" applyProtection="false">
      <alignment horizontal="general" vertical="bottom" textRotation="0" wrapText="false" indent="0" shrinkToFit="false"/>
      <protection locked="true" hidden="false"/>
    </xf>
    <xf numFmtId="169" fontId="21" fillId="0" borderId="17" xfId="21" applyFont="true" applyBorder="true" applyAlignment="true" applyProtection="false">
      <alignment horizontal="general" vertical="bottom" textRotation="0" wrapText="true" indent="0" shrinkToFit="false"/>
      <protection locked="true" hidden="false"/>
    </xf>
    <xf numFmtId="169" fontId="34" fillId="0" borderId="0" xfId="0" applyFont="true" applyBorder="false" applyAlignment="false" applyProtection="false">
      <alignment horizontal="general" vertical="bottom" textRotation="0" wrapText="false" indent="0" shrinkToFit="false"/>
      <protection locked="true" hidden="false"/>
    </xf>
    <xf numFmtId="169" fontId="21" fillId="0" borderId="17" xfId="21" applyFont="true" applyBorder="true" applyAlignment="false" applyProtection="false">
      <alignment horizontal="general" vertical="bottom" textRotation="0" wrapText="false" indent="0" shrinkToFit="false"/>
      <protection locked="true" hidden="false"/>
    </xf>
    <xf numFmtId="165" fontId="20" fillId="0" borderId="0" xfId="15" applyFont="true" applyBorder="false" applyAlignment="false" applyProtection="false">
      <alignment horizontal="general" vertical="bottom" textRotation="0" wrapText="false" indent="0" shrinkToFit="false"/>
      <protection locked="true" hidden="false"/>
    </xf>
    <xf numFmtId="169" fontId="20" fillId="0" borderId="0" xfId="0" applyFont="true" applyBorder="false" applyAlignment="false" applyProtection="false">
      <alignment horizontal="general" vertical="bottom" textRotation="0" wrapText="false" indent="0" shrinkToFit="false"/>
      <protection locked="true" hidden="false"/>
    </xf>
    <xf numFmtId="169" fontId="20" fillId="0" borderId="17" xfId="21" applyFont="true" applyBorder="true" applyAlignment="false" applyProtection="false">
      <alignment horizontal="general" vertical="bottom" textRotation="0" wrapText="false" indent="0" shrinkToFit="false"/>
      <protection locked="true" hidden="false"/>
    </xf>
    <xf numFmtId="169" fontId="20" fillId="6" borderId="0" xfId="21" applyFont="true" applyBorder="false" applyAlignment="true" applyProtection="false">
      <alignment horizontal="general" vertical="bottom" textRotation="0" wrapText="true" indent="0" shrinkToFit="false"/>
      <protection locked="true" hidden="false"/>
    </xf>
    <xf numFmtId="167" fontId="20" fillId="6" borderId="17" xfId="15" applyFont="true" applyBorder="true" applyAlignment="false" applyProtection="false">
      <alignment horizontal="general" vertical="bottom" textRotation="0" wrapText="false" indent="0" shrinkToFit="false"/>
      <protection locked="true" hidden="false"/>
    </xf>
    <xf numFmtId="167" fontId="21" fillId="6" borderId="17" xfId="15" applyFont="true" applyBorder="true" applyAlignment="false" applyProtection="false">
      <alignment horizontal="general" vertical="bottom" textRotation="0" wrapText="false" indent="0" shrinkToFit="false"/>
      <protection locked="true" hidden="false"/>
    </xf>
    <xf numFmtId="167" fontId="21" fillId="6" borderId="17" xfId="0" applyFont="true" applyBorder="true" applyAlignment="false" applyProtection="false">
      <alignment horizontal="general" vertical="bottom" textRotation="0" wrapText="false" indent="0" shrinkToFit="false"/>
      <protection locked="true" hidden="false"/>
    </xf>
    <xf numFmtId="169" fontId="21" fillId="0" borderId="17" xfId="0" applyFont="true" applyBorder="tru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9" fontId="43" fillId="2" borderId="0" xfId="21" applyFont="true" applyBorder="false" applyAlignment="false" applyProtection="false">
      <alignment horizontal="general" vertical="bottom" textRotation="0" wrapText="false" indent="0" shrinkToFit="false"/>
      <protection locked="true" hidden="false"/>
    </xf>
    <xf numFmtId="169" fontId="33" fillId="0" borderId="15" xfId="21" applyFont="true" applyBorder="true" applyAlignment="false" applyProtection="false">
      <alignment horizontal="general" vertical="bottom" textRotation="0" wrapText="false" indent="0" shrinkToFit="false"/>
      <protection locked="true" hidden="false"/>
    </xf>
    <xf numFmtId="167" fontId="20" fillId="6" borderId="18" xfId="0" applyFont="true" applyBorder="true" applyAlignment="false" applyProtection="false">
      <alignment horizontal="general" vertical="bottom" textRotation="0" wrapText="false" indent="0" shrinkToFit="false"/>
      <protection locked="true" hidden="false"/>
    </xf>
    <xf numFmtId="169" fontId="29" fillId="0" borderId="0" xfId="0" applyFont="true" applyBorder="false" applyAlignment="false" applyProtection="false">
      <alignment horizontal="general" vertical="bottom" textRotation="0" wrapText="false" indent="0" shrinkToFit="false"/>
      <protection locked="true" hidden="false"/>
    </xf>
    <xf numFmtId="169" fontId="44" fillId="0" borderId="0" xfId="0" applyFont="true" applyBorder="false" applyAlignment="false" applyProtection="false">
      <alignment horizontal="general" vertical="bottom" textRotation="0" wrapText="false" indent="0" shrinkToFit="false"/>
      <protection locked="true" hidden="false"/>
    </xf>
    <xf numFmtId="165" fontId="44" fillId="0" borderId="0" xfId="15" applyFont="true" applyBorder="false" applyAlignment="false" applyProtection="false">
      <alignment horizontal="general" vertical="bottom" textRotation="0" wrapText="false" indent="0" shrinkToFit="false"/>
      <protection locked="true" hidden="false"/>
    </xf>
    <xf numFmtId="169" fontId="45" fillId="0" borderId="0" xfId="0" applyFont="true" applyBorder="false" applyAlignment="false" applyProtection="false">
      <alignment horizontal="general" vertical="bottom" textRotation="0" wrapText="false" indent="0" shrinkToFit="false"/>
      <protection locked="true" hidden="false"/>
    </xf>
    <xf numFmtId="169" fontId="46" fillId="0" borderId="0" xfId="0" applyFont="true" applyBorder="false" applyAlignment="false" applyProtection="false">
      <alignment horizontal="general" vertical="bottom" textRotation="0" wrapText="false" indent="0" shrinkToFit="false"/>
      <protection locked="true" hidden="false"/>
    </xf>
    <xf numFmtId="167" fontId="29"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9" fontId="43" fillId="0" borderId="0" xfId="0" applyFont="true" applyBorder="false" applyAlignment="false" applyProtection="false">
      <alignment horizontal="general" vertical="bottom" textRotation="0" wrapText="false" indent="0" shrinkToFit="false"/>
      <protection locked="true" hidden="false"/>
    </xf>
    <xf numFmtId="172" fontId="29" fillId="0" borderId="0" xfId="0" applyFont="true" applyBorder="false" applyAlignment="false" applyProtection="false">
      <alignment horizontal="general" vertical="bottom" textRotation="0" wrapText="false" indent="0" shrinkToFit="false"/>
      <protection locked="true" hidden="false"/>
    </xf>
    <xf numFmtId="172" fontId="44" fillId="0" borderId="0" xfId="0" applyFont="true" applyBorder="false" applyAlignment="false" applyProtection="false">
      <alignment horizontal="general" vertical="bottom" textRotation="0" wrapText="false" indent="0" shrinkToFit="false"/>
      <protection locked="true" hidden="false"/>
    </xf>
    <xf numFmtId="172" fontId="44" fillId="0" borderId="0" xfId="15" applyFont="true" applyBorder="false" applyAlignment="false" applyProtection="false">
      <alignment horizontal="general" vertical="bottom" textRotation="0" wrapText="false" indent="0" shrinkToFit="false"/>
      <protection locked="true" hidden="false"/>
    </xf>
    <xf numFmtId="165" fontId="45" fillId="0" borderId="0" xfId="15" applyFont="true" applyBorder="false" applyAlignment="false" applyProtection="false">
      <alignment horizontal="general"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xf numFmtId="165" fontId="48" fillId="0" borderId="0" xfId="15" applyFont="true" applyBorder="false" applyAlignment="false" applyProtection="false">
      <alignment horizontal="general" vertical="bottom" textRotation="0" wrapText="false" indent="0" shrinkToFit="false"/>
      <protection locked="true" hidden="false"/>
    </xf>
    <xf numFmtId="164" fontId="49" fillId="5" borderId="0" xfId="0" applyFont="true" applyBorder="false" applyAlignment="true" applyProtection="false">
      <alignment horizontal="center" vertical="center" textRotation="0" wrapText="false" indent="0" shrinkToFit="false"/>
      <protection locked="true" hidden="false"/>
    </xf>
    <xf numFmtId="165" fontId="32" fillId="5" borderId="0" xfId="15" applyFont="true" applyBorder="false" applyAlignment="false" applyProtection="false">
      <alignment horizontal="general" vertical="bottom" textRotation="0" wrapText="false" indent="0" shrinkToFit="false"/>
      <protection locked="true" hidden="false"/>
    </xf>
    <xf numFmtId="164" fontId="49" fillId="8" borderId="0" xfId="0" applyFont="true" applyBorder="false" applyAlignment="true" applyProtection="false">
      <alignment horizontal="center" vertical="center" textRotation="0" wrapText="false" indent="0" shrinkToFit="false"/>
      <protection locked="true" hidden="false"/>
    </xf>
    <xf numFmtId="164" fontId="31" fillId="8" borderId="0" xfId="0" applyFont="true" applyBorder="false" applyAlignment="true" applyProtection="false">
      <alignment horizontal="general" vertical="center" textRotation="0" wrapText="false" indent="0" shrinkToFit="false"/>
      <protection locked="true" hidden="false"/>
    </xf>
    <xf numFmtId="164" fontId="50" fillId="5" borderId="0" xfId="0" applyFont="true" applyBorder="false" applyAlignment="fals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center"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73" fontId="34" fillId="0" borderId="0" xfId="0" applyFont="true" applyBorder="false" applyAlignment="true" applyProtection="false">
      <alignment horizontal="center" vertical="center" textRotation="0" wrapText="false" indent="0" shrinkToFit="false"/>
      <protection locked="true" hidden="false"/>
    </xf>
    <xf numFmtId="173" fontId="33" fillId="0" borderId="0" xfId="0" applyFont="true" applyBorder="false" applyAlignment="true" applyProtection="false">
      <alignment horizontal="center" vertical="center" textRotation="0" wrapText="false" indent="0" shrinkToFit="false"/>
      <protection locked="true" hidden="false"/>
    </xf>
    <xf numFmtId="170" fontId="37" fillId="5" borderId="16" xfId="0" applyFont="true" applyBorder="true" applyAlignment="true" applyProtection="false">
      <alignment horizontal="center" vertical="bottom" textRotation="0" wrapText="false" indent="0" shrinkToFit="false"/>
      <protection locked="true" hidden="false"/>
    </xf>
    <xf numFmtId="164" fontId="38" fillId="0" borderId="16" xfId="0" applyFont="true" applyBorder="true" applyAlignment="true" applyProtection="false">
      <alignment horizontal="center" vertical="bottom" textRotation="0" wrapText="false" indent="0" shrinkToFit="false"/>
      <protection locked="true" hidden="false"/>
    </xf>
    <xf numFmtId="164" fontId="37" fillId="0" borderId="16" xfId="0" applyFont="true" applyBorder="true" applyAlignment="true" applyProtection="false">
      <alignment horizontal="center" vertical="bottom" textRotation="0" wrapText="false" indent="0" shrinkToFit="false"/>
      <protection locked="true" hidden="false"/>
    </xf>
    <xf numFmtId="164" fontId="34" fillId="0" borderId="0" xfId="21" applyFont="true" applyBorder="false" applyAlignment="false" applyProtection="false">
      <alignment horizontal="general" vertical="bottom" textRotation="0" wrapText="false" indent="0" shrinkToFit="false"/>
      <protection locked="true" hidden="false"/>
    </xf>
    <xf numFmtId="164" fontId="33" fillId="0" borderId="0" xfId="21" applyFont="tru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right" vertical="bottom" textRotation="0" wrapText="false" indent="0" shrinkToFit="false"/>
      <protection locked="true" hidden="false"/>
    </xf>
    <xf numFmtId="165" fontId="21" fillId="0" borderId="17" xfId="15" applyFont="true" applyBorder="true" applyAlignment="false" applyProtection="false">
      <alignment horizontal="general" vertical="bottom" textRotation="0" wrapText="false" indent="0" shrinkToFit="false"/>
      <protection locked="true" hidden="false"/>
    </xf>
    <xf numFmtId="167" fontId="21" fillId="0" borderId="17" xfId="0" applyFont="true" applyBorder="true" applyAlignment="false" applyProtection="false">
      <alignment horizontal="general" vertical="bottom" textRotation="0" wrapText="false" indent="0" shrinkToFit="false"/>
      <protection locked="true" hidden="false"/>
    </xf>
    <xf numFmtId="164" fontId="34" fillId="0" borderId="0" xfId="21" applyFont="true" applyBorder="false" applyAlignment="true" applyProtection="false">
      <alignment horizontal="general" vertical="bottom" textRotation="0" wrapText="true" indent="0" shrinkToFit="false"/>
      <protection locked="true" hidden="false"/>
    </xf>
    <xf numFmtId="165" fontId="20" fillId="0" borderId="17" xfId="15" applyFont="true" applyBorder="true" applyAlignment="false" applyProtection="false">
      <alignment horizontal="general" vertical="bottom" textRotation="0" wrapText="false" indent="0" shrinkToFit="false"/>
      <protection locked="true" hidden="false"/>
    </xf>
    <xf numFmtId="169" fontId="35" fillId="0" borderId="0" xfId="0" applyFont="true" applyBorder="false" applyAlignment="true" applyProtection="false">
      <alignment horizontal="right" vertical="bottom" textRotation="0" wrapText="false" indent="0" shrinkToFit="false"/>
      <protection locked="true" hidden="false"/>
    </xf>
    <xf numFmtId="165" fontId="43" fillId="0" borderId="0" xfId="15" applyFont="true" applyBorder="false" applyAlignment="false" applyProtection="false">
      <alignment horizontal="general" vertical="bottom" textRotation="0" wrapText="false" indent="0" shrinkToFit="false"/>
      <protection locked="true" hidden="false"/>
    </xf>
    <xf numFmtId="169" fontId="34" fillId="0" borderId="11" xfId="21" applyFont="true" applyBorder="true" applyAlignment="false" applyProtection="false">
      <alignment horizontal="general" vertical="bottom" textRotation="0" wrapText="false" indent="0" shrinkToFit="false"/>
      <protection locked="true" hidden="false"/>
    </xf>
    <xf numFmtId="169" fontId="34" fillId="0" borderId="11" xfId="0" applyFont="true" applyBorder="true" applyAlignment="false" applyProtection="false">
      <alignment horizontal="general" vertical="bottom" textRotation="0" wrapText="false" indent="0" shrinkToFit="false"/>
      <protection locked="true" hidden="false"/>
    </xf>
    <xf numFmtId="165" fontId="20" fillId="0" borderId="11" xfId="15" applyFont="true" applyBorder="true" applyAlignment="false" applyProtection="false">
      <alignment horizontal="general" vertical="bottom" textRotation="0" wrapText="false" indent="0" shrinkToFit="false"/>
      <protection locked="true" hidden="false"/>
    </xf>
    <xf numFmtId="167" fontId="20" fillId="0" borderId="11" xfId="0" applyFont="true" applyBorder="true" applyAlignment="false" applyProtection="false">
      <alignment horizontal="general" vertical="bottom" textRotation="0" wrapText="false" indent="0" shrinkToFit="false"/>
      <protection locked="true" hidden="false"/>
    </xf>
    <xf numFmtId="169" fontId="20" fillId="0" borderId="11" xfId="0" applyFont="true" applyBorder="true" applyAlignment="false" applyProtection="false">
      <alignment horizontal="general" vertical="bottom" textRotation="0" wrapText="false" indent="0" shrinkToFit="false"/>
      <protection locked="true" hidden="false"/>
    </xf>
    <xf numFmtId="164" fontId="34" fillId="6" borderId="0" xfId="0" applyFont="true" applyBorder="false" applyAlignment="false" applyProtection="false">
      <alignment horizontal="general" vertical="bottom" textRotation="0" wrapText="false" indent="0" shrinkToFit="false"/>
      <protection locked="true" hidden="false"/>
    </xf>
    <xf numFmtId="164" fontId="33" fillId="6" borderId="0" xfId="0" applyFont="true" applyBorder="false" applyAlignment="false" applyProtection="false">
      <alignment horizontal="general" vertical="bottom" textRotation="0" wrapText="false" indent="0" shrinkToFit="false"/>
      <protection locked="true" hidden="false"/>
    </xf>
    <xf numFmtId="169" fontId="35" fillId="6" borderId="0" xfId="0" applyFont="true" applyBorder="false" applyAlignment="true" applyProtection="false">
      <alignment horizontal="right" vertical="bottom" textRotation="0" wrapText="false" indent="0" shrinkToFit="false"/>
      <protection locked="true" hidden="false"/>
    </xf>
    <xf numFmtId="165" fontId="43" fillId="6" borderId="0" xfId="15" applyFont="true" applyBorder="false" applyAlignment="false" applyProtection="false">
      <alignment horizontal="general" vertical="bottom" textRotation="0" wrapText="false" indent="0" shrinkToFit="false"/>
      <protection locked="true" hidden="false"/>
    </xf>
    <xf numFmtId="169" fontId="43" fillId="6" borderId="0" xfId="0" applyFont="true" applyBorder="false" applyAlignment="false" applyProtection="false">
      <alignment horizontal="general" vertical="bottom" textRotation="0" wrapText="false" indent="0" shrinkToFit="false"/>
      <protection locked="true" hidden="false"/>
    </xf>
    <xf numFmtId="165" fontId="21" fillId="2" borderId="0" xfId="15" applyFont="true" applyBorder="false" applyAlignment="false" applyProtection="false">
      <alignment horizontal="general" vertical="bottom" textRotation="0" wrapText="false" indent="0" shrinkToFit="false"/>
      <protection locked="true" hidden="false"/>
    </xf>
    <xf numFmtId="164" fontId="34" fillId="2" borderId="0" xfId="21" applyFont="true" applyBorder="false" applyAlignment="false" applyProtection="false">
      <alignment horizontal="general" vertical="bottom" textRotation="0" wrapText="false" indent="0" shrinkToFit="false"/>
      <protection locked="true" hidden="false"/>
    </xf>
    <xf numFmtId="164" fontId="33" fillId="2" borderId="0" xfId="0" applyFont="true" applyBorder="false" applyAlignment="false" applyProtection="false">
      <alignment horizontal="general" vertical="bottom" textRotation="0" wrapText="false" indent="0" shrinkToFit="false"/>
      <protection locked="true" hidden="false"/>
    </xf>
    <xf numFmtId="165" fontId="20" fillId="2" borderId="11" xfId="15" applyFont="true" applyBorder="true" applyAlignment="false" applyProtection="false">
      <alignment horizontal="general" vertical="bottom" textRotation="0" wrapText="false" indent="0" shrinkToFit="false"/>
      <protection locked="true" hidden="false"/>
    </xf>
    <xf numFmtId="167" fontId="20" fillId="2" borderId="11" xfId="0" applyFont="true" applyBorder="true" applyAlignment="false" applyProtection="false">
      <alignment horizontal="general"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64" fontId="33" fillId="0" borderId="0" xfId="21" applyFont="true" applyBorder="false" applyAlignment="true" applyProtection="false">
      <alignment horizontal="general" vertical="bottom" textRotation="0" wrapText="true" indent="0" shrinkToFit="false"/>
      <protection locked="true" hidden="false"/>
    </xf>
    <xf numFmtId="165" fontId="40" fillId="2" borderId="0" xfId="15" applyFont="true" applyBorder="false" applyAlignment="false" applyProtection="false">
      <alignment horizontal="general" vertical="bottom" textRotation="0" wrapText="false" indent="0" shrinkToFit="false"/>
      <protection locked="true" hidden="false"/>
    </xf>
    <xf numFmtId="164" fontId="33" fillId="2" borderId="0" xfId="21" applyFont="true" applyBorder="false" applyAlignment="false" applyProtection="false">
      <alignment horizontal="general" vertical="bottom" textRotation="0" wrapText="false" indent="0" shrinkToFit="false"/>
      <protection locked="true" hidden="false"/>
    </xf>
    <xf numFmtId="165" fontId="20" fillId="2" borderId="17" xfId="15" applyFont="true" applyBorder="true" applyAlignment="false" applyProtection="false">
      <alignment horizontal="general" vertical="bottom" textRotation="0" wrapText="false" indent="0" shrinkToFit="false"/>
      <protection locked="true" hidden="false"/>
    </xf>
    <xf numFmtId="164" fontId="34" fillId="2" borderId="11" xfId="21" applyFont="true" applyBorder="true" applyAlignment="false" applyProtection="false">
      <alignment horizontal="general" vertical="bottom" textRotation="0" wrapText="false" indent="0" shrinkToFit="false"/>
      <protection locked="true" hidden="false"/>
    </xf>
    <xf numFmtId="164" fontId="33" fillId="2" borderId="11" xfId="21" applyFont="true" applyBorder="tru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5" fontId="55" fillId="0" borderId="0" xfId="15" applyFont="true" applyBorder="false" applyAlignment="false" applyProtection="false">
      <alignment horizontal="general" vertical="bottom" textRotation="0" wrapText="false" indent="0" shrinkToFit="false"/>
      <protection locked="true" hidden="false"/>
    </xf>
    <xf numFmtId="167" fontId="39" fillId="0" borderId="0" xfId="15" applyFont="true" applyBorder="false" applyAlignment="false" applyProtection="false">
      <alignment horizontal="general" vertical="bottom" textRotation="0" wrapText="false" indent="0" shrinkToFit="false"/>
      <protection locked="true" hidden="false"/>
    </xf>
    <xf numFmtId="167" fontId="39" fillId="0" borderId="0" xfId="0" applyFont="true" applyBorder="false" applyAlignment="false" applyProtection="false">
      <alignment horizontal="general" vertical="bottom" textRotation="0" wrapText="false" indent="0" shrinkToFit="false"/>
      <protection locked="true" hidden="false"/>
    </xf>
    <xf numFmtId="165" fontId="0" fillId="0" borderId="0" xfId="15" applyFont="true" applyBorder="false" applyAlignment="false" applyProtection="false">
      <alignment horizontal="general" vertical="bottom" textRotation="0" wrapText="false" indent="0" shrinkToFit="false"/>
      <protection locked="true" hidden="false"/>
    </xf>
    <xf numFmtId="164" fontId="30" fillId="5" borderId="0" xfId="0" applyFont="true" applyBorder="false" applyAlignment="true" applyProtection="false">
      <alignment horizontal="left" vertical="center" textRotation="0" wrapText="false" indent="2" shrinkToFit="false"/>
      <protection locked="true" hidden="false"/>
    </xf>
    <xf numFmtId="164" fontId="56" fillId="0" borderId="0" xfId="0" applyFont="true" applyBorder="false" applyAlignment="true" applyProtection="false">
      <alignment horizontal="center" vertical="center" textRotation="0" wrapText="false" indent="0" shrinkToFit="false"/>
      <protection locked="true" hidden="false"/>
    </xf>
    <xf numFmtId="164" fontId="57" fillId="0" borderId="13" xfId="0" applyFont="true" applyBorder="true" applyAlignment="true" applyProtection="false">
      <alignment horizontal="center" vertical="center" textRotation="0" wrapText="false" indent="0" shrinkToFit="false"/>
      <protection locked="true" hidden="false"/>
    </xf>
    <xf numFmtId="170" fontId="37" fillId="5" borderId="19" xfId="15" applyFont="true" applyBorder="true" applyAlignment="true" applyProtection="false">
      <alignment horizontal="center" vertical="bottom" textRotation="0" wrapText="false" indent="0" shrinkToFit="false"/>
      <protection locked="true" hidden="false"/>
    </xf>
    <xf numFmtId="164" fontId="38" fillId="0" borderId="19" xfId="15" applyFont="true" applyBorder="true" applyAlignment="true" applyProtection="false">
      <alignment horizontal="center" vertical="bottom" textRotation="0" wrapText="false" indent="0" shrinkToFit="false"/>
      <protection locked="true" hidden="false"/>
    </xf>
    <xf numFmtId="164" fontId="37" fillId="0" borderId="19" xfId="15"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5" fontId="20" fillId="6" borderId="0" xfId="15" applyFont="true" applyBorder="false" applyAlignment="false" applyProtection="false">
      <alignment horizontal="general" vertical="bottom" textRotation="0" wrapText="false" indent="0" shrinkToFit="false"/>
      <protection locked="true" hidden="false"/>
    </xf>
    <xf numFmtId="167" fontId="20" fillId="6" borderId="0" xfId="0" applyFont="true" applyBorder="false" applyAlignment="false" applyProtection="false">
      <alignment horizontal="general" vertical="bottom" textRotation="0" wrapText="false" indent="0" shrinkToFit="false"/>
      <protection locked="true" hidden="false"/>
    </xf>
    <xf numFmtId="164" fontId="58" fillId="0" borderId="0" xfId="0" applyFont="true" applyBorder="false" applyAlignment="false" applyProtection="false">
      <alignment horizontal="general" vertical="bottom" textRotation="0" wrapText="false" indent="0" shrinkToFit="false"/>
      <protection locked="true" hidden="false"/>
    </xf>
    <xf numFmtId="167" fontId="20" fillId="0" borderId="0" xfId="0" applyFont="true" applyBorder="false" applyAlignment="false" applyProtection="false">
      <alignment horizontal="general" vertical="bottom" textRotation="0" wrapText="false" indent="0" shrinkToFit="false"/>
      <protection locked="true" hidden="false"/>
    </xf>
    <xf numFmtId="164" fontId="55" fillId="0" borderId="0" xfId="0" applyFont="true" applyBorder="false" applyAlignment="false" applyProtection="false">
      <alignment horizontal="general" vertical="bottom" textRotation="0" wrapText="false" indent="0" shrinkToFit="false"/>
      <protection locked="true" hidden="false"/>
    </xf>
    <xf numFmtId="165" fontId="59" fillId="0" borderId="0" xfId="15" applyFont="true" applyBorder="false" applyAlignment="false" applyProtection="false">
      <alignment horizontal="general" vertical="bottom" textRotation="0" wrapText="false" indent="0" shrinkToFit="false"/>
      <protection locked="true" hidden="false"/>
    </xf>
    <xf numFmtId="164" fontId="59" fillId="0" borderId="0" xfId="0" applyFont="true" applyBorder="false" applyAlignment="false" applyProtection="false">
      <alignment horizontal="general" vertical="bottom" textRotation="0" wrapText="false" indent="0" shrinkToFit="false"/>
      <protection locked="true" hidden="false"/>
    </xf>
    <xf numFmtId="164" fontId="23" fillId="5" borderId="0" xfId="0" applyFont="true" applyBorder="false" applyAlignment="false" applyProtection="false">
      <alignment horizontal="general" vertical="bottom" textRotation="0" wrapText="false" indent="0" shrinkToFit="false"/>
      <protection locked="true" hidden="false"/>
    </xf>
    <xf numFmtId="164" fontId="60" fillId="2" borderId="0" xfId="0" applyFont="true" applyBorder="false" applyAlignment="false" applyProtection="false">
      <alignment horizontal="general" vertical="bottom" textRotation="0" wrapText="false" indent="0" shrinkToFit="false"/>
      <protection locked="true" hidden="false"/>
    </xf>
    <xf numFmtId="174" fontId="16" fillId="4" borderId="20" xfId="0" applyFont="true" applyBorder="true" applyAlignment="false" applyProtection="false">
      <alignment horizontal="general" vertical="bottom" textRotation="0" wrapText="false" indent="0" shrinkToFit="false"/>
      <protection locked="true" hidden="false"/>
    </xf>
    <xf numFmtId="164" fontId="61" fillId="2" borderId="0" xfId="0" applyFont="true" applyBorder="false" applyAlignment="true" applyProtection="false">
      <alignment horizontal="general" vertical="top" textRotation="0" wrapText="true" indent="0" shrinkToFit="false"/>
      <protection locked="true" hidden="false"/>
    </xf>
    <xf numFmtId="171" fontId="62" fillId="4" borderId="20" xfId="0" applyFont="true" applyBorder="true" applyAlignment="false" applyProtection="false">
      <alignment horizontal="general" vertical="bottom" textRotation="0" wrapText="false" indent="0" shrinkToFit="false"/>
      <protection locked="true" hidden="false"/>
    </xf>
    <xf numFmtId="164" fontId="61" fillId="0" borderId="0" xfId="0" applyFont="true" applyBorder="false" applyAlignment="false" applyProtection="false">
      <alignment horizontal="general" vertical="bottom" textRotation="0" wrapText="false" indent="0" shrinkToFit="false"/>
      <protection locked="true" hidden="false"/>
    </xf>
    <xf numFmtId="171" fontId="62" fillId="4" borderId="20" xfId="19" applyFont="true" applyBorder="true" applyAlignment="false" applyProtection="false">
      <alignment horizontal="general" vertical="bottom" textRotation="0" wrapText="false" indent="0" shrinkToFit="false"/>
      <protection locked="true" hidden="false"/>
    </xf>
    <xf numFmtId="164" fontId="63" fillId="2" borderId="0" xfId="0" applyFont="true" applyBorder="false" applyAlignment="false" applyProtection="false">
      <alignment horizontal="general" vertical="bottom" textRotation="0" wrapText="false" indent="0" shrinkToFit="false"/>
      <protection locked="true" hidden="false"/>
    </xf>
    <xf numFmtId="164" fontId="64" fillId="3" borderId="0" xfId="0" applyFont="true" applyBorder="false" applyAlignment="false" applyProtection="false">
      <alignment horizontal="general" vertical="bottom" textRotation="0" wrapText="false" indent="0" shrinkToFit="false"/>
      <protection locked="true" hidden="false"/>
    </xf>
    <xf numFmtId="175" fontId="63" fillId="4" borderId="20" xfId="0" applyFont="true" applyBorder="true" applyAlignment="false" applyProtection="false">
      <alignment horizontal="general" vertical="bottom" textRotation="0" wrapText="false" indent="0" shrinkToFit="false"/>
      <protection locked="true" hidden="false"/>
    </xf>
    <xf numFmtId="166" fontId="62" fillId="2" borderId="0" xfId="0" applyFont="true" applyBorder="false" applyAlignment="false" applyProtection="false">
      <alignment horizontal="general" vertical="bottom" textRotation="0" wrapText="false" indent="0" shrinkToFit="false"/>
      <protection locked="true" hidden="false"/>
    </xf>
    <xf numFmtId="164" fontId="62" fillId="2" borderId="0" xfId="0" applyFont="true" applyBorder="false" applyAlignment="false" applyProtection="false">
      <alignment horizontal="general" vertical="bottom" textRotation="0" wrapText="false" indent="0" shrinkToFit="false"/>
      <protection locked="true" hidden="false"/>
    </xf>
    <xf numFmtId="164" fontId="65" fillId="2" borderId="0" xfId="0" applyFont="true" applyBorder="false" applyAlignment="false" applyProtection="false">
      <alignment horizontal="general" vertical="bottom" textRotation="0" wrapText="false" indent="0" shrinkToFit="false"/>
      <protection locked="true" hidden="false"/>
    </xf>
    <xf numFmtId="171" fontId="66" fillId="2" borderId="0" xfId="19" applyFont="true" applyBorder="false" applyAlignment="false" applyProtection="false">
      <alignment horizontal="general" vertical="bottom" textRotation="0" wrapText="false" indent="0" shrinkToFit="false"/>
      <protection locked="true" hidden="false"/>
    </xf>
    <xf numFmtId="164" fontId="67" fillId="2" borderId="0" xfId="0" applyFont="true" applyBorder="false" applyAlignment="true" applyProtection="false">
      <alignment horizontal="left" vertical="bottom" textRotation="0" wrapText="false" indent="0" shrinkToFit="false"/>
      <protection locked="true" hidden="false"/>
    </xf>
    <xf numFmtId="164" fontId="15" fillId="6" borderId="0" xfId="0" applyFont="true" applyBorder="false" applyAlignment="false" applyProtection="false">
      <alignment horizontal="general" vertical="bottom" textRotation="0" wrapText="false" indent="0" shrinkToFit="false"/>
      <protection locked="true" hidden="false"/>
    </xf>
    <xf numFmtId="164" fontId="68" fillId="6" borderId="0" xfId="0" applyFont="true" applyBorder="false" applyAlignment="false" applyProtection="false">
      <alignment horizontal="general" vertical="bottom" textRotation="0" wrapText="false" indent="0" shrinkToFit="false"/>
      <protection locked="true" hidden="false"/>
    </xf>
    <xf numFmtId="164" fontId="69" fillId="0" borderId="0" xfId="0" applyFont="true" applyBorder="false" applyAlignment="false" applyProtection="false">
      <alignment horizontal="general" vertical="bottom" textRotation="0" wrapText="false" indent="0" shrinkToFit="false"/>
      <protection locked="true" hidden="false"/>
    </xf>
    <xf numFmtId="176" fontId="69" fillId="0" borderId="0" xfId="0" applyFont="true" applyBorder="false" applyAlignment="false" applyProtection="false">
      <alignment horizontal="general" vertical="bottom" textRotation="0" wrapText="false" indent="0" shrinkToFit="false"/>
      <protection locked="true" hidden="false"/>
    </xf>
    <xf numFmtId="164" fontId="70" fillId="0" borderId="0" xfId="0" applyFont="true" applyBorder="false" applyAlignment="false" applyProtection="false">
      <alignment horizontal="general" vertical="bottom" textRotation="0" wrapText="false" indent="0" shrinkToFit="false"/>
      <protection locked="true" hidden="false"/>
    </xf>
    <xf numFmtId="176" fontId="41" fillId="4" borderId="0" xfId="0" applyFont="true" applyBorder="false" applyAlignment="false" applyProtection="false">
      <alignment horizontal="general" vertical="bottom" textRotation="0" wrapText="false" indent="0" shrinkToFit="false"/>
      <protection locked="true" hidden="false"/>
    </xf>
    <xf numFmtId="174" fontId="41" fillId="4" borderId="0" xfId="0" applyFont="true" applyBorder="false" applyAlignment="false" applyProtection="false">
      <alignment horizontal="general" vertical="bottom" textRotation="0" wrapText="false" indent="0" shrinkToFit="false"/>
      <protection locked="true" hidden="false"/>
    </xf>
    <xf numFmtId="177" fontId="69" fillId="0" borderId="0" xfId="0" applyFont="true" applyBorder="false" applyAlignment="false" applyProtection="false">
      <alignment horizontal="general" vertical="bottom" textRotation="0" wrapText="false" indent="0" shrinkToFit="false"/>
      <protection locked="true" hidden="false"/>
    </xf>
    <xf numFmtId="177" fontId="71" fillId="0" borderId="0" xfId="0" applyFont="true" applyBorder="false" applyAlignment="false" applyProtection="false">
      <alignment horizontal="general" vertical="bottom" textRotation="0" wrapText="false" indent="0" shrinkToFit="false"/>
      <protection locked="true" hidden="false"/>
    </xf>
    <xf numFmtId="174" fontId="69" fillId="0" borderId="0" xfId="0" applyFont="true" applyBorder="false" applyAlignment="false" applyProtection="false">
      <alignment horizontal="general" vertical="bottom" textRotation="0" wrapText="false" indent="0" shrinkToFit="false"/>
      <protection locked="true" hidden="false"/>
    </xf>
    <xf numFmtId="164" fontId="72" fillId="10" borderId="0" xfId="0" applyFont="true" applyBorder="false" applyAlignment="false" applyProtection="false">
      <alignment horizontal="general" vertical="bottom" textRotation="0" wrapText="false" indent="0" shrinkToFit="false"/>
      <protection locked="true" hidden="false"/>
    </xf>
    <xf numFmtId="164" fontId="73" fillId="0" borderId="0" xfId="0" applyFont="true" applyBorder="false" applyAlignment="false" applyProtection="false">
      <alignment horizontal="general" vertical="bottom" textRotation="0" wrapText="false" indent="0" shrinkToFit="false"/>
      <protection locked="true" hidden="false"/>
    </xf>
    <xf numFmtId="164" fontId="74" fillId="5" borderId="0" xfId="0" applyFont="true" applyBorder="false" applyAlignment="true" applyProtection="false">
      <alignment horizontal="center" vertical="center" textRotation="0" wrapText="true" indent="0" shrinkToFit="false"/>
      <protection locked="true" hidden="false"/>
    </xf>
    <xf numFmtId="168" fontId="69" fillId="0" borderId="0" xfId="0" applyFont="true" applyBorder="false" applyAlignment="true" applyProtection="false">
      <alignment horizontal="center" vertical="center" textRotation="0" wrapText="false" indent="0" shrinkToFit="false"/>
      <protection locked="true" hidden="false"/>
    </xf>
    <xf numFmtId="164" fontId="75" fillId="0" borderId="0" xfId="0" applyFont="true" applyBorder="false" applyAlignment="false" applyProtection="false">
      <alignment horizontal="general" vertical="bottom" textRotation="0" wrapText="false" indent="0" shrinkToFit="false"/>
      <protection locked="true" hidden="false"/>
    </xf>
    <xf numFmtId="164" fontId="76" fillId="0" borderId="0" xfId="0" applyFont="true" applyBorder="false" applyAlignment="false" applyProtection="false">
      <alignment horizontal="general" vertical="bottom" textRotation="0" wrapText="false" indent="0" shrinkToFit="false"/>
      <protection locked="true" hidden="false"/>
    </xf>
    <xf numFmtId="176" fontId="39" fillId="0" borderId="0" xfId="0" applyFont="true" applyBorder="false" applyAlignment="false" applyProtection="false">
      <alignment horizontal="general" vertical="bottom" textRotation="0" wrapText="false" indent="0" shrinkToFit="false"/>
      <protection locked="true" hidden="false"/>
    </xf>
    <xf numFmtId="164" fontId="77" fillId="5" borderId="0" xfId="0" applyFont="true" applyBorder="false" applyAlignment="true" applyProtection="false">
      <alignment horizontal="center" vertical="bottom" textRotation="0" wrapText="false" indent="0" shrinkToFit="false"/>
      <protection locked="true" hidden="false"/>
    </xf>
    <xf numFmtId="164" fontId="78" fillId="5" borderId="0" xfId="0" applyFont="true" applyBorder="false" applyAlignment="false" applyProtection="false">
      <alignment horizontal="general" vertical="bottom" textRotation="0" wrapText="false" indent="0" shrinkToFit="false"/>
      <protection locked="true" hidden="false"/>
    </xf>
    <xf numFmtId="164" fontId="63" fillId="5" borderId="0" xfId="0" applyFont="true" applyBorder="false" applyAlignment="false" applyProtection="false">
      <alignment horizontal="general" vertical="bottom" textRotation="0" wrapText="false" indent="0" shrinkToFit="false"/>
      <protection locked="true" hidden="false"/>
    </xf>
    <xf numFmtId="170" fontId="13" fillId="5" borderId="20" xfId="0" applyFont="true" applyBorder="true" applyAlignment="false" applyProtection="false">
      <alignment horizontal="general" vertical="bottom" textRotation="0" wrapText="false" indent="0" shrinkToFit="false"/>
      <protection locked="true" hidden="false"/>
    </xf>
    <xf numFmtId="170" fontId="13" fillId="5" borderId="13" xfId="0" applyFont="true" applyBorder="true" applyAlignment="false" applyProtection="false">
      <alignment horizontal="general" vertical="bottom" textRotation="0" wrapText="false" indent="0" shrinkToFit="false"/>
      <protection locked="true" hidden="false"/>
    </xf>
    <xf numFmtId="164" fontId="63" fillId="2" borderId="0" xfId="21" applyFont="true" applyBorder="false" applyAlignment="true" applyProtection="false">
      <alignment horizontal="right" vertical="bottom" textRotation="0" wrapText="false" indent="0" shrinkToFit="false"/>
      <protection locked="true" hidden="false"/>
    </xf>
    <xf numFmtId="172" fontId="79" fillId="4" borderId="20" xfId="19" applyFont="true" applyBorder="true" applyAlignment="true" applyProtection="false">
      <alignment horizontal="center" vertical="bottom" textRotation="0" wrapText="false" indent="0" shrinkToFit="false"/>
      <protection locked="true" hidden="false"/>
    </xf>
    <xf numFmtId="172" fontId="79" fillId="4" borderId="20" xfId="0" applyFont="true" applyBorder="true" applyAlignment="true" applyProtection="false">
      <alignment horizontal="center" vertical="bottom" textRotation="0" wrapText="false" indent="0" shrinkToFit="false"/>
      <protection locked="true" hidden="false"/>
    </xf>
    <xf numFmtId="172" fontId="79" fillId="4" borderId="20" xfId="21" applyFont="true" applyBorder="true" applyAlignment="true" applyProtection="false">
      <alignment horizontal="center" vertical="bottom" textRotation="0" wrapText="false" indent="0" shrinkToFit="false"/>
      <protection locked="true" hidden="false"/>
    </xf>
    <xf numFmtId="172" fontId="79" fillId="11" borderId="20" xfId="21" applyFont="true" applyBorder="true" applyAlignment="true" applyProtection="false">
      <alignment horizontal="center" vertical="bottom" textRotation="0" wrapText="false" indent="0" shrinkToFit="false"/>
      <protection locked="true" hidden="false"/>
    </xf>
    <xf numFmtId="164" fontId="60" fillId="2" borderId="0" xfId="0" applyFont="true" applyBorder="false" applyAlignment="true" applyProtection="false">
      <alignment horizontal="right" vertical="bottom" textRotation="0" wrapText="false" indent="0" shrinkToFit="false"/>
      <protection locked="true" hidden="false"/>
    </xf>
    <xf numFmtId="166" fontId="80" fillId="2" borderId="20" xfId="0" applyFont="true" applyBorder="true" applyAlignment="false" applyProtection="false">
      <alignment horizontal="general" vertical="bottom" textRotation="0" wrapText="false" indent="0" shrinkToFit="false"/>
      <protection locked="true" hidden="false"/>
    </xf>
    <xf numFmtId="164" fontId="81" fillId="0" borderId="0" xfId="0" applyFont="true" applyBorder="false" applyAlignment="false" applyProtection="false">
      <alignment horizontal="general" vertical="bottom" textRotation="0" wrapText="false" indent="0" shrinkToFit="false"/>
      <protection locked="true" hidden="false"/>
    </xf>
    <xf numFmtId="172" fontId="82" fillId="4" borderId="20" xfId="0" applyFont="true" applyBorder="true" applyAlignment="false" applyProtection="false">
      <alignment horizontal="general" vertical="bottom" textRotation="0" wrapText="false" indent="0" shrinkToFit="false"/>
      <protection locked="true" hidden="false"/>
    </xf>
    <xf numFmtId="166" fontId="80" fillId="0" borderId="20" xfId="0" applyFont="true" applyBorder="true" applyAlignment="false" applyProtection="false">
      <alignment horizontal="general" vertical="bottom" textRotation="0" wrapText="false" indent="0" shrinkToFit="false"/>
      <protection locked="true" hidden="false"/>
    </xf>
    <xf numFmtId="172" fontId="80" fillId="0" borderId="2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right" vertical="bottom" textRotation="0" wrapText="false" indent="0" shrinkToFit="false"/>
      <protection locked="true" hidden="false"/>
    </xf>
    <xf numFmtId="172" fontId="83" fillId="0" borderId="0" xfId="0" applyFont="true" applyBorder="false" applyAlignment="false" applyProtection="false">
      <alignment horizontal="general" vertical="bottom" textRotation="0" wrapText="false" indent="0" shrinkToFit="false"/>
      <protection locked="true" hidden="false"/>
    </xf>
    <xf numFmtId="164" fontId="84" fillId="0" borderId="0" xfId="0" applyFont="true" applyBorder="false" applyAlignment="false" applyProtection="false">
      <alignment horizontal="general" vertical="bottom" textRotation="0" wrapText="false" indent="0" shrinkToFit="false"/>
      <protection locked="true" hidden="false"/>
    </xf>
    <xf numFmtId="164" fontId="37" fillId="2" borderId="0" xfId="15" applyFont="true" applyBorder="false" applyAlignment="true" applyProtection="false">
      <alignment horizontal="center" vertical="bottom" textRotation="0" wrapText="false" indent="0" shrinkToFit="false"/>
      <protection locked="true" hidden="false"/>
    </xf>
    <xf numFmtId="167" fontId="17" fillId="0" borderId="0" xfId="15" applyFont="true" applyBorder="false" applyAlignment="false" applyProtection="false">
      <alignment horizontal="general" vertical="bottom" textRotation="0" wrapText="false" indent="0" shrinkToFit="false"/>
      <protection locked="true" hidden="false"/>
    </xf>
    <xf numFmtId="166" fontId="17" fillId="0" borderId="0" xfId="19" applyFont="true" applyBorder="false" applyAlignment="false" applyProtection="false">
      <alignment horizontal="general" vertical="bottom" textRotation="0" wrapText="false" indent="0" shrinkToFit="false"/>
      <protection locked="true" hidden="false"/>
    </xf>
    <xf numFmtId="164" fontId="85" fillId="0" borderId="0" xfId="0" applyFont="true" applyBorder="false" applyAlignment="false" applyProtection="false">
      <alignment horizontal="general" vertical="bottom" textRotation="0" wrapText="false" indent="0" shrinkToFit="false"/>
      <protection locked="true" hidden="false"/>
    </xf>
    <xf numFmtId="164" fontId="41" fillId="4" borderId="0" xfId="0" applyFont="true" applyBorder="false" applyAlignment="true" applyProtection="false">
      <alignment horizontal="center" vertical="center" textRotation="0" wrapText="false" indent="0" shrinkToFit="false"/>
      <protection locked="true" hidden="false"/>
    </xf>
    <xf numFmtId="164" fontId="86" fillId="5" borderId="0" xfId="0" applyFont="true" applyBorder="false" applyAlignment="true" applyProtection="false">
      <alignment horizontal="center" vertical="center" textRotation="0" wrapText="true" indent="0" shrinkToFit="false"/>
      <protection locked="true" hidden="false"/>
    </xf>
    <xf numFmtId="168" fontId="70" fillId="0" borderId="0" xfId="0" applyFont="true" applyBorder="false" applyAlignment="true" applyProtection="false">
      <alignment horizontal="center" vertical="center" textRotation="0" wrapText="false" indent="0" shrinkToFit="false"/>
      <protection locked="true" hidden="false"/>
    </xf>
    <xf numFmtId="164" fontId="39"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39" fillId="3" borderId="0" xfId="0" applyFont="true" applyBorder="false" applyAlignment="false" applyProtection="false">
      <alignment horizontal="general" vertical="bottom" textRotation="0" wrapText="false" indent="0" shrinkToFit="false"/>
      <protection locked="true" hidden="false"/>
    </xf>
    <xf numFmtId="178" fontId="41" fillId="4" borderId="0" xfId="0" applyFont="true" applyBorder="false" applyAlignment="false" applyProtection="false">
      <alignment horizontal="general" vertical="bottom" textRotation="0" wrapText="false" indent="0" shrinkToFit="false"/>
      <protection locked="true" hidden="false"/>
    </xf>
    <xf numFmtId="178" fontId="69" fillId="0" borderId="0" xfId="0" applyFont="true" applyBorder="false" applyAlignment="false" applyProtection="false">
      <alignment horizontal="general" vertical="bottom" textRotation="0" wrapText="false" indent="0" shrinkToFit="false"/>
      <protection locked="true" hidden="false"/>
    </xf>
    <xf numFmtId="164" fontId="81" fillId="0" borderId="0" xfId="0" applyFont="true" applyBorder="false" applyAlignment="true" applyProtection="false">
      <alignment horizontal="general" vertical="top" textRotation="0" wrapText="true" indent="0" shrinkToFit="false"/>
      <protection locked="true" hidden="false"/>
    </xf>
    <xf numFmtId="179" fontId="69" fillId="0" borderId="0" xfId="0" applyFont="true" applyBorder="false" applyAlignment="false" applyProtection="false">
      <alignment horizontal="general" vertical="bottom" textRotation="0" wrapText="false" indent="0" shrinkToFit="false"/>
      <protection locked="true" hidden="false"/>
    </xf>
    <xf numFmtId="179" fontId="87" fillId="0" borderId="0" xfId="0" applyFont="true" applyBorder="false" applyAlignment="false" applyProtection="false">
      <alignment horizontal="general" vertical="bottom" textRotation="0" wrapText="false" indent="0" shrinkToFit="false"/>
      <protection locked="true" hidden="false"/>
    </xf>
    <xf numFmtId="179" fontId="39" fillId="0" borderId="0" xfId="0" applyFont="true" applyBorder="false" applyAlignment="false" applyProtection="false">
      <alignment horizontal="general" vertical="bottom" textRotation="0" wrapText="false" indent="0" shrinkToFit="false"/>
      <protection locked="true" hidden="false"/>
    </xf>
    <xf numFmtId="179" fontId="41" fillId="4" borderId="0" xfId="0" applyFont="true" applyBorder="false" applyAlignment="false" applyProtection="false">
      <alignment horizontal="general" vertical="bottom" textRotation="0" wrapText="false" indent="0" shrinkToFit="false"/>
      <protection locked="true" hidden="false"/>
    </xf>
    <xf numFmtId="177" fontId="39" fillId="0" borderId="0" xfId="0" applyFont="true" applyBorder="false" applyAlignment="false" applyProtection="false">
      <alignment horizontal="general" vertical="bottom" textRotation="0" wrapText="false" indent="0" shrinkToFit="false"/>
      <protection locked="true" hidden="false"/>
    </xf>
    <xf numFmtId="180" fontId="69" fillId="0" borderId="0" xfId="0" applyFont="true" applyBorder="false" applyAlignment="false" applyProtection="false">
      <alignment horizontal="general" vertical="bottom" textRotation="0" wrapText="false" indent="0" shrinkToFit="false"/>
      <protection locked="true" hidden="false"/>
    </xf>
    <xf numFmtId="181" fontId="41" fillId="4" borderId="0" xfId="0" applyFont="true" applyBorder="false" applyAlignment="false" applyProtection="false">
      <alignment horizontal="general" vertical="bottom" textRotation="0" wrapText="false" indent="0" shrinkToFit="false"/>
      <protection locked="true" hidden="false"/>
    </xf>
    <xf numFmtId="181" fontId="69" fillId="0" borderId="0" xfId="0" applyFont="true" applyBorder="false" applyAlignment="false" applyProtection="false">
      <alignment horizontal="general" vertical="bottom" textRotation="0" wrapText="false" indent="0" shrinkToFit="false"/>
      <protection locked="true" hidden="false"/>
    </xf>
    <xf numFmtId="179" fontId="71" fillId="0" borderId="0" xfId="0" applyFont="true" applyBorder="false" applyAlignment="false" applyProtection="false">
      <alignment horizontal="general" vertical="bottom" textRotation="0" wrapText="false" indent="0" shrinkToFit="false"/>
      <protection locked="true" hidden="false"/>
    </xf>
    <xf numFmtId="177" fontId="41" fillId="4" borderId="0" xfId="0" applyFont="true" applyBorder="false" applyAlignment="false" applyProtection="false">
      <alignment horizontal="general" vertical="bottom" textRotation="0" wrapText="false" indent="0" shrinkToFit="false"/>
      <protection locked="true" hidden="false"/>
    </xf>
    <xf numFmtId="182" fontId="69" fillId="0" borderId="0" xfId="0" applyFont="true" applyBorder="false" applyAlignment="false" applyProtection="false">
      <alignment horizontal="general" vertical="bottom" textRotation="0" wrapText="false" indent="0" shrinkToFit="false"/>
      <protection locked="true" hidden="false"/>
    </xf>
    <xf numFmtId="182" fontId="41" fillId="4" borderId="0" xfId="0"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false" applyAlignment="false" applyProtection="false">
      <alignment horizontal="general" vertical="bottom" textRotation="0" wrapText="false" indent="0" shrinkToFit="false"/>
      <protection locked="true" hidden="false"/>
    </xf>
    <xf numFmtId="183" fontId="16" fillId="2" borderId="0" xfId="21" applyFont="true" applyBorder="false" applyAlignment="true" applyProtection="false">
      <alignment horizontal="center" vertical="bottom" textRotation="0" wrapText="false" indent="0" shrinkToFit="false"/>
      <protection locked="true" hidden="false"/>
    </xf>
    <xf numFmtId="164" fontId="30" fillId="5" borderId="0" xfId="21" applyFont="true" applyBorder="false" applyAlignment="true" applyProtection="false">
      <alignment horizontal="general" vertical="center" textRotation="0" wrapText="false" indent="0" shrinkToFit="false"/>
      <protection locked="true" hidden="false"/>
    </xf>
    <xf numFmtId="164" fontId="30" fillId="5" borderId="0" xfId="21" applyFont="true" applyBorder="false" applyAlignment="false" applyProtection="false">
      <alignment horizontal="general" vertical="bottom" textRotation="0" wrapText="false" indent="0" shrinkToFit="false"/>
      <protection locked="true" hidden="false"/>
    </xf>
    <xf numFmtId="183" fontId="14" fillId="5" borderId="0" xfId="21" applyFont="true" applyBorder="false" applyAlignment="true" applyProtection="false">
      <alignment horizontal="center" vertical="bottom" textRotation="0" wrapText="false" indent="0" shrinkToFit="false"/>
      <protection locked="true" hidden="false"/>
    </xf>
    <xf numFmtId="183" fontId="16" fillId="2" borderId="0" xfId="21" applyFont="true" applyBorder="false" applyAlignment="true" applyProtection="false">
      <alignment horizontal="center" vertical="center" textRotation="0" wrapText="false" indent="0" shrinkToFit="false"/>
      <protection locked="true" hidden="false"/>
    </xf>
    <xf numFmtId="164" fontId="14" fillId="2" borderId="0" xfId="21" applyFont="true" applyBorder="false" applyAlignment="false" applyProtection="false">
      <alignment horizontal="general" vertical="bottom" textRotation="0" wrapText="false" indent="0" shrinkToFit="false"/>
      <protection locked="true" hidden="false"/>
    </xf>
    <xf numFmtId="175" fontId="14" fillId="2" borderId="0" xfId="21" applyFont="true" applyBorder="false" applyAlignment="true" applyProtection="false">
      <alignment horizontal="center" vertical="bottom" textRotation="0" wrapText="false" indent="0" shrinkToFit="false"/>
      <protection locked="true" hidden="false"/>
    </xf>
    <xf numFmtId="183" fontId="14" fillId="2" borderId="0" xfId="21" applyFont="true" applyBorder="false" applyAlignment="true" applyProtection="false">
      <alignment horizontal="center" vertical="bottom" textRotation="0" wrapText="false" indent="0" shrinkToFit="false"/>
      <protection locked="true" hidden="false"/>
    </xf>
    <xf numFmtId="164" fontId="16" fillId="2" borderId="21" xfId="21" applyFont="true" applyBorder="true" applyAlignment="false" applyProtection="false">
      <alignment horizontal="general" vertical="bottom" textRotation="0" wrapText="false" indent="0" shrinkToFit="false"/>
      <protection locked="true" hidden="false"/>
    </xf>
    <xf numFmtId="168" fontId="12" fillId="2" borderId="21" xfId="21" applyFont="true" applyBorder="true" applyAlignment="true" applyProtection="false">
      <alignment horizontal="center" vertical="bottom" textRotation="0" wrapText="false" indent="0" shrinkToFit="false"/>
      <protection locked="true" hidden="false"/>
    </xf>
    <xf numFmtId="168" fontId="12" fillId="2" borderId="0" xfId="21" applyFont="true" applyBorder="false" applyAlignment="true" applyProtection="false">
      <alignment horizontal="center" vertical="bottom" textRotation="0" wrapText="false" indent="0" shrinkToFit="false"/>
      <protection locked="true" hidden="false"/>
    </xf>
    <xf numFmtId="175" fontId="16" fillId="2" borderId="0" xfId="21" applyFont="true" applyBorder="false" applyAlignment="true" applyProtection="false">
      <alignment horizontal="center" vertical="bottom" textRotation="0" wrapText="false" indent="0" shrinkToFit="false"/>
      <protection locked="true" hidden="false"/>
    </xf>
    <xf numFmtId="175" fontId="62" fillId="4" borderId="0" xfId="21" applyFont="true" applyBorder="false" applyAlignment="true" applyProtection="false">
      <alignment horizontal="center" vertical="bottom" textRotation="0" wrapText="false" indent="0" shrinkToFit="false"/>
      <protection locked="true" hidden="false"/>
    </xf>
    <xf numFmtId="164" fontId="12" fillId="2" borderId="14" xfId="21" applyFont="true" applyBorder="true" applyAlignment="false" applyProtection="false">
      <alignment horizontal="general" vertical="bottom" textRotation="0" wrapText="false" indent="0" shrinkToFit="false"/>
      <protection locked="true" hidden="false"/>
    </xf>
    <xf numFmtId="175" fontId="12" fillId="2" borderId="14" xfId="21" applyFont="true" applyBorder="true" applyAlignment="true" applyProtection="false">
      <alignment horizontal="center" vertical="bottom" textRotation="0" wrapText="false" indent="0" shrinkToFit="false"/>
      <protection locked="true" hidden="false"/>
    </xf>
    <xf numFmtId="175" fontId="12" fillId="4" borderId="14" xfId="21" applyFont="true" applyBorder="true" applyAlignment="true" applyProtection="false">
      <alignment horizontal="center" vertical="bottom" textRotation="0" wrapText="false" indent="0" shrinkToFit="false"/>
      <protection locked="true" hidden="false"/>
    </xf>
    <xf numFmtId="175" fontId="12" fillId="2" borderId="0" xfId="21" applyFont="true" applyBorder="false" applyAlignment="true" applyProtection="false">
      <alignment horizontal="center" vertical="bottom" textRotation="0" wrapText="false" indent="0" shrinkToFit="false"/>
      <protection locked="true" hidden="false"/>
    </xf>
    <xf numFmtId="164" fontId="12" fillId="2" borderId="0" xfId="21" applyFont="true" applyBorder="false" applyAlignment="false" applyProtection="false">
      <alignment horizontal="general" vertical="bottom" textRotation="0" wrapText="false" indent="0" shrinkToFit="false"/>
      <protection locked="true" hidden="false"/>
    </xf>
    <xf numFmtId="164" fontId="89" fillId="2" borderId="0" xfId="21" applyFont="true" applyBorder="false" applyAlignment="false" applyProtection="false">
      <alignment horizontal="general" vertical="bottom" textRotation="0" wrapText="false" indent="0" shrinkToFit="false"/>
      <protection locked="true" hidden="false"/>
    </xf>
    <xf numFmtId="175" fontId="89" fillId="2" borderId="0" xfId="21" applyFont="true" applyBorder="false" applyAlignment="true" applyProtection="false">
      <alignment horizontal="left" vertical="bottom" textRotation="0" wrapText="false" indent="0" shrinkToFit="false"/>
      <protection locked="true" hidden="false"/>
    </xf>
    <xf numFmtId="175" fontId="16" fillId="4" borderId="0" xfId="21" applyFont="true" applyBorder="false" applyAlignment="true" applyProtection="false">
      <alignment horizontal="center" vertical="bottom" textRotation="0" wrapText="false" indent="0" shrinkToFit="false"/>
      <protection locked="true" hidden="false"/>
    </xf>
    <xf numFmtId="164" fontId="16" fillId="2" borderId="14" xfId="21" applyFont="true" applyBorder="true" applyAlignment="false" applyProtection="false">
      <alignment horizontal="general" vertical="bottom" textRotation="0" wrapText="false" indent="0" shrinkToFit="false"/>
      <protection locked="true" hidden="false"/>
    </xf>
    <xf numFmtId="175" fontId="16" fillId="2" borderId="14" xfId="21" applyFont="true" applyBorder="true" applyAlignment="true" applyProtection="false">
      <alignment horizontal="center" vertical="bottom" textRotation="0" wrapText="false" indent="0" shrinkToFit="false"/>
      <protection locked="true" hidden="false"/>
    </xf>
    <xf numFmtId="175" fontId="16" fillId="4" borderId="14" xfId="21" applyFont="true" applyBorder="true" applyAlignment="true" applyProtection="false">
      <alignment horizontal="center" vertical="bottom" textRotation="0" wrapText="false" indent="0" shrinkToFit="false"/>
      <protection locked="true" hidden="false"/>
    </xf>
    <xf numFmtId="164" fontId="25" fillId="2" borderId="0" xfId="21" applyFont="true" applyBorder="false" applyAlignment="false" applyProtection="false">
      <alignment horizontal="general" vertical="bottom" textRotation="0" wrapText="false" indent="0" shrinkToFit="false"/>
      <protection locked="true" hidden="false"/>
    </xf>
    <xf numFmtId="164" fontId="25" fillId="12" borderId="0" xfId="21" applyFont="true" applyBorder="false" applyAlignment="false" applyProtection="false">
      <alignment horizontal="general" vertical="bottom" textRotation="0" wrapText="false" indent="0" shrinkToFit="false"/>
      <protection locked="true" hidden="false"/>
    </xf>
    <xf numFmtId="175" fontId="89" fillId="2" borderId="0" xfId="21" applyFont="true" applyBorder="false" applyAlignment="true" applyProtection="false">
      <alignment horizontal="center" vertical="bottom" textRotation="0" wrapText="false" indent="0" shrinkToFit="false"/>
      <protection locked="true" hidden="false"/>
    </xf>
    <xf numFmtId="175" fontId="90" fillId="2" borderId="0" xfId="21" applyFont="true" applyBorder="false" applyAlignment="true" applyProtection="false">
      <alignment horizontal="left" vertical="bottom" textRotation="0" wrapText="false" indent="0" shrinkToFit="false"/>
      <protection locked="true" hidden="false"/>
    </xf>
    <xf numFmtId="166" fontId="16" fillId="2" borderId="0" xfId="19" applyFont="true" applyBorder="false" applyAlignment="true" applyProtection="false">
      <alignment horizontal="center" vertical="bottom" textRotation="0" wrapText="false" indent="0" shrinkToFit="false"/>
      <protection locked="true" hidden="false"/>
    </xf>
    <xf numFmtId="184" fontId="16" fillId="2" borderId="0" xfId="15" applyFont="true" applyBorder="false" applyAlignment="true" applyProtection="false">
      <alignment horizontal="general" vertical="center" textRotation="0" wrapText="false" indent="0" shrinkToFit="false"/>
      <protection locked="true" hidden="false"/>
    </xf>
    <xf numFmtId="175" fontId="16" fillId="4" borderId="0" xfId="15" applyFont="true" applyBorder="false" applyAlignment="true" applyProtection="false">
      <alignment horizontal="general" vertical="center" textRotation="0" wrapText="false" indent="0" shrinkToFit="false"/>
      <protection locked="true" hidden="false"/>
    </xf>
    <xf numFmtId="164" fontId="91" fillId="2" borderId="0" xfId="21" applyFont="true" applyBorder="false" applyAlignment="true" applyProtection="false">
      <alignment horizontal="left" vertical="bottom" textRotation="0" wrapText="false" indent="0" shrinkToFit="false"/>
      <protection locked="true" hidden="false"/>
    </xf>
    <xf numFmtId="175" fontId="91" fillId="2" borderId="0" xfId="21" applyFont="true" applyBorder="false" applyAlignment="true" applyProtection="false">
      <alignment horizontal="right" vertical="bottom" textRotation="0" wrapText="false" indent="0" shrinkToFit="false"/>
      <protection locked="true" hidden="false"/>
    </xf>
    <xf numFmtId="165" fontId="16" fillId="2" borderId="0" xfId="21" applyFont="true" applyBorder="false" applyAlignment="false" applyProtection="false">
      <alignment horizontal="general" vertical="bottom" textRotation="0" wrapText="false" indent="0" shrinkToFit="false"/>
      <protection locked="true" hidden="false"/>
    </xf>
    <xf numFmtId="175" fontId="91" fillId="4" borderId="0" xfId="15" applyFont="true" applyBorder="false" applyAlignment="true" applyProtection="false">
      <alignment horizontal="right" vertical="bottom" textRotation="0" wrapText="false" indent="0" shrinkToFit="false"/>
      <protection locked="true" hidden="false"/>
    </xf>
    <xf numFmtId="167" fontId="16" fillId="2" borderId="0" xfId="21" applyFont="true" applyBorder="false" applyAlignment="false" applyProtection="false">
      <alignment horizontal="general" vertical="bottom" textRotation="0" wrapText="false" indent="0" shrinkToFit="false"/>
      <protection locked="true" hidden="false"/>
    </xf>
    <xf numFmtId="175" fontId="16" fillId="4" borderId="0" xfId="21" applyFont="true" applyBorder="false" applyAlignment="false" applyProtection="false">
      <alignment horizontal="general" vertical="bottom" textRotation="0" wrapText="false" indent="0" shrinkToFit="false"/>
      <protection locked="true" hidden="false"/>
    </xf>
    <xf numFmtId="164" fontId="91" fillId="2" borderId="0" xfId="21" applyFont="true" applyBorder="false" applyAlignment="false" applyProtection="false">
      <alignment horizontal="general" vertical="bottom" textRotation="0" wrapText="false" indent="0" shrinkToFit="false"/>
      <protection locked="true" hidden="false"/>
    </xf>
    <xf numFmtId="184" fontId="91" fillId="2" borderId="0" xfId="15" applyFont="true" applyBorder="false" applyAlignment="true" applyProtection="false">
      <alignment horizontal="general" vertical="center" textRotation="0" wrapText="false" indent="0" shrinkToFit="false"/>
      <protection locked="true" hidden="false"/>
    </xf>
    <xf numFmtId="175" fontId="91" fillId="4" borderId="0" xfId="15" applyFont="true" applyBorder="false" applyAlignment="true" applyProtection="false">
      <alignment horizontal="general" vertical="center" textRotation="0" wrapText="false" indent="0" shrinkToFit="false"/>
      <protection locked="true" hidden="false"/>
    </xf>
    <xf numFmtId="185" fontId="12" fillId="2" borderId="0" xfId="21" applyFont="true" applyBorder="false" applyAlignment="true" applyProtection="false">
      <alignment horizontal="center" vertical="bottom" textRotation="0" wrapText="false" indent="0" shrinkToFit="false"/>
      <protection locked="true" hidden="false"/>
    </xf>
    <xf numFmtId="175" fontId="16" fillId="2" borderId="0" xfId="21" applyFont="true" applyBorder="false" applyAlignment="true" applyProtection="false">
      <alignment horizontal="right" vertical="bottom" textRotation="0" wrapText="false" indent="0" shrinkToFit="false"/>
      <protection locked="true" hidden="false"/>
    </xf>
    <xf numFmtId="175" fontId="16" fillId="4" borderId="0" xfId="21" applyFont="true" applyBorder="false" applyAlignment="true" applyProtection="false">
      <alignment horizontal="right" vertical="bottom" textRotation="0" wrapText="false" indent="0" shrinkToFit="false"/>
      <protection locked="true" hidden="false"/>
    </xf>
    <xf numFmtId="175" fontId="16" fillId="2" borderId="14" xfId="21" applyFont="true" applyBorder="true" applyAlignment="true" applyProtection="false">
      <alignment horizontal="right" vertical="bottom" textRotation="0" wrapText="false" indent="0" shrinkToFit="false"/>
      <protection locked="true" hidden="false"/>
    </xf>
    <xf numFmtId="166" fontId="16" fillId="2" borderId="0" xfId="22" applyFont="true" applyBorder="false" applyAlignment="true" applyProtection="false">
      <alignment horizontal="center" vertical="bottom" textRotation="0" wrapText="false" indent="0" shrinkToFit="false"/>
      <protection locked="true" hidden="false"/>
    </xf>
    <xf numFmtId="164" fontId="92" fillId="5" borderId="0" xfId="21" applyFont="true" applyBorder="false" applyAlignment="true" applyProtection="false">
      <alignment horizontal="general" vertical="center" textRotation="0" wrapText="false" indent="0" shrinkToFit="false"/>
      <protection locked="true" hidden="false"/>
    </xf>
    <xf numFmtId="175" fontId="14" fillId="5" borderId="0" xfId="21" applyFont="true" applyBorder="false" applyAlignment="true" applyProtection="false">
      <alignment horizontal="center" vertical="bottom" textRotation="0" wrapText="false" indent="0" shrinkToFit="false"/>
      <protection locked="true" hidden="false"/>
    </xf>
    <xf numFmtId="164" fontId="93" fillId="13" borderId="0" xfId="21" applyFont="true" applyBorder="false" applyAlignment="true" applyProtection="false">
      <alignment horizontal="general" vertical="center" textRotation="0" wrapText="false" indent="0" shrinkToFit="false"/>
      <protection locked="true" hidden="false"/>
    </xf>
    <xf numFmtId="175" fontId="16" fillId="13" borderId="0" xfId="21" applyFont="true" applyBorder="false" applyAlignment="true" applyProtection="false">
      <alignment horizontal="center" vertical="bottom" textRotation="0" wrapText="false" indent="0" shrinkToFit="false"/>
      <protection locked="true" hidden="false"/>
    </xf>
    <xf numFmtId="164" fontId="94" fillId="2" borderId="0" xfId="21" applyFont="true" applyBorder="false" applyAlignment="true" applyProtection="false">
      <alignment horizontal="general" vertical="center" textRotation="0" wrapText="false" indent="0" shrinkToFit="false"/>
      <protection locked="true" hidden="false"/>
    </xf>
    <xf numFmtId="164" fontId="30" fillId="0" borderId="21" xfId="21" applyFont="true" applyBorder="true" applyAlignment="false" applyProtection="false">
      <alignment horizontal="general" vertical="bottom" textRotation="0" wrapText="false" indent="0" shrinkToFit="false"/>
      <protection locked="true" hidden="false"/>
    </xf>
    <xf numFmtId="175" fontId="16" fillId="0" borderId="0" xfId="21" applyFont="true" applyBorder="false" applyAlignment="true" applyProtection="false">
      <alignment horizontal="center" vertical="bottom" textRotation="0" wrapText="false" indent="0" shrinkToFit="false"/>
      <protection locked="true" hidden="false"/>
    </xf>
    <xf numFmtId="164" fontId="16" fillId="0" borderId="0" xfId="21" applyFont="true" applyBorder="false" applyAlignment="false" applyProtection="false">
      <alignment horizontal="general" vertical="bottom" textRotation="0" wrapText="false" indent="0" shrinkToFit="false"/>
      <protection locked="true" hidden="false"/>
    </xf>
    <xf numFmtId="164" fontId="95" fillId="2" borderId="0" xfId="21" applyFont="true" applyBorder="false" applyAlignment="false" applyProtection="false">
      <alignment horizontal="general" vertical="bottom" textRotation="0" wrapText="false" indent="0" shrinkToFit="false"/>
      <protection locked="true" hidden="false"/>
    </xf>
    <xf numFmtId="164" fontId="34" fillId="6" borderId="17" xfId="0" applyFont="true" applyBorder="true" applyAlignment="false" applyProtection="false">
      <alignment horizontal="general" vertical="bottom" textRotation="0" wrapText="false" indent="0" shrinkToFit="false"/>
      <protection locked="true" hidden="false"/>
    </xf>
    <xf numFmtId="183" fontId="16" fillId="6" borderId="17" xfId="21" applyFont="true" applyBorder="true" applyAlignment="true" applyProtection="false">
      <alignment horizontal="center" vertical="bottom" textRotation="0" wrapText="false" indent="0" shrinkToFit="false"/>
      <protection locked="true" hidden="false"/>
    </xf>
    <xf numFmtId="183" fontId="90" fillId="2" borderId="0" xfId="21" applyFont="true" applyBorder="false" applyAlignment="true" applyProtection="false">
      <alignment horizontal="left" vertical="bottom" textRotation="0" wrapText="false" indent="0" shrinkToFit="false"/>
      <protection locked="true" hidden="false"/>
    </xf>
    <xf numFmtId="164" fontId="34" fillId="2" borderId="0" xfId="0" applyFont="true" applyBorder="false" applyAlignment="false" applyProtection="false">
      <alignment horizontal="general" vertical="bottom" textRotation="0" wrapText="false" indent="0" shrinkToFit="false"/>
      <protection locked="true" hidden="false"/>
    </xf>
    <xf numFmtId="164" fontId="34" fillId="6" borderId="11" xfId="0" applyFont="true" applyBorder="true" applyAlignment="false" applyProtection="false">
      <alignment horizontal="general" vertical="bottom" textRotation="0" wrapText="false" indent="0" shrinkToFit="false"/>
      <protection locked="true" hidden="false"/>
    </xf>
    <xf numFmtId="183" fontId="16" fillId="6" borderId="11" xfId="21" applyFont="true" applyBorder="true" applyAlignment="true" applyProtection="false">
      <alignment horizontal="center" vertical="bottom" textRotation="0" wrapText="false" indent="0" shrinkToFit="false"/>
      <protection locked="true" hidden="false"/>
    </xf>
    <xf numFmtId="164" fontId="91" fillId="0" borderId="0" xfId="0" applyFont="tru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83" fontId="80" fillId="2" borderId="0" xfId="21" applyFont="true" applyBorder="false" applyAlignment="true" applyProtection="false">
      <alignment horizontal="right" vertical="bottom" textRotation="0" wrapText="false" indent="0" shrinkToFit="false"/>
      <protection locked="true" hidden="false"/>
    </xf>
    <xf numFmtId="175" fontId="91" fillId="4" borderId="20" xfId="21" applyFont="true" applyBorder="true" applyAlignment="true" applyProtection="false">
      <alignment horizontal="center" vertical="bottom" textRotation="0" wrapText="false" indent="0" shrinkToFit="false"/>
      <protection locked="true" hidden="false"/>
    </xf>
    <xf numFmtId="175" fontId="91" fillId="0" borderId="20" xfId="21" applyFont="true" applyBorder="true" applyAlignment="true" applyProtection="false">
      <alignment horizontal="center" vertical="bottom" textRotation="0" wrapText="false" indent="0" shrinkToFit="false"/>
      <protection locked="true" hidden="false"/>
    </xf>
    <xf numFmtId="183" fontId="96" fillId="2" borderId="0" xfId="21" applyFont="true" applyBorder="false" applyAlignment="true" applyProtection="false">
      <alignment horizontal="right" vertical="bottom" textRotation="0" wrapText="false" indent="0" shrinkToFit="false"/>
      <protection locked="true" hidden="false"/>
    </xf>
    <xf numFmtId="175" fontId="97" fillId="0" borderId="20" xfId="21" applyFont="true" applyBorder="true" applyAlignment="true" applyProtection="false">
      <alignment horizontal="center" vertical="bottom" textRotation="0" wrapText="false" indent="0" shrinkToFit="false"/>
      <protection locked="true" hidden="false"/>
    </xf>
    <xf numFmtId="183" fontId="16" fillId="5" borderId="0" xfId="21" applyFont="true" applyBorder="false" applyAlignment="true" applyProtection="false">
      <alignment horizontal="center" vertical="bottom" textRotation="0" wrapText="false" indent="0" shrinkToFit="false"/>
      <protection locked="true" hidden="false"/>
    </xf>
    <xf numFmtId="164" fontId="30" fillId="2" borderId="0" xfId="21" applyFont="true" applyBorder="false" applyAlignment="true" applyProtection="false">
      <alignment horizontal="left" vertical="center" textRotation="0" wrapText="false" indent="0" shrinkToFit="false"/>
      <protection locked="true" hidden="false"/>
    </xf>
    <xf numFmtId="168" fontId="12" fillId="2" borderId="13" xfId="21" applyFont="true" applyBorder="true" applyAlignment="true" applyProtection="false">
      <alignment horizontal="center" vertical="bottom" textRotation="0" wrapText="false" indent="0" shrinkToFit="false"/>
      <protection locked="true" hidden="false"/>
    </xf>
    <xf numFmtId="164" fontId="16" fillId="2" borderId="17" xfId="21" applyFont="true" applyBorder="true" applyAlignment="false" applyProtection="false">
      <alignment horizontal="general" vertical="bottom" textRotation="0" wrapText="false" indent="0" shrinkToFit="false"/>
      <protection locked="true" hidden="false"/>
    </xf>
    <xf numFmtId="175" fontId="98" fillId="2" borderId="0" xfId="21" applyFont="true" applyBorder="false" applyAlignment="true" applyProtection="false">
      <alignment horizontal="center" vertical="bottom" textRotation="0" wrapText="false" indent="0" shrinkToFit="false"/>
      <protection locked="true" hidden="false"/>
    </xf>
    <xf numFmtId="164" fontId="12" fillId="2" borderId="22" xfId="21" applyFont="true" applyBorder="true" applyAlignment="false" applyProtection="false">
      <alignment horizontal="general" vertical="bottom" textRotation="0" wrapText="false" indent="0" shrinkToFit="false"/>
      <protection locked="true" hidden="false"/>
    </xf>
    <xf numFmtId="175" fontId="12" fillId="2" borderId="22" xfId="21" applyFont="true" applyBorder="true" applyAlignment="true" applyProtection="false">
      <alignment horizontal="center" vertical="bottom" textRotation="0" wrapText="false" indent="0" shrinkToFit="false"/>
      <protection locked="true" hidden="false"/>
    </xf>
    <xf numFmtId="175" fontId="66" fillId="2" borderId="22" xfId="21" applyFont="true" applyBorder="true" applyAlignment="true" applyProtection="false">
      <alignment horizontal="center" vertical="bottom" textRotation="0" wrapText="false" indent="0" shrinkToFit="false"/>
      <protection locked="true" hidden="false"/>
    </xf>
    <xf numFmtId="175" fontId="12" fillId="2" borderId="0" xfId="21" applyFont="true" applyBorder="false" applyAlignment="false" applyProtection="false">
      <alignment horizontal="general" vertical="bottom" textRotation="0" wrapText="false" indent="0" shrinkToFit="false"/>
      <protection locked="true" hidden="false"/>
    </xf>
    <xf numFmtId="183" fontId="12" fillId="2" borderId="0" xfId="21" applyFont="true" applyBorder="false" applyAlignment="false" applyProtection="false">
      <alignment horizontal="general" vertical="bottom" textRotation="0" wrapText="false" indent="0" shrinkToFit="false"/>
      <protection locked="true" hidden="false"/>
    </xf>
    <xf numFmtId="175" fontId="62" fillId="2" borderId="0" xfId="21" applyFont="true" applyBorder="false" applyAlignment="true" applyProtection="false">
      <alignment horizontal="center" vertical="bottom" textRotation="0" wrapText="false" indent="0" shrinkToFit="false"/>
      <protection locked="true" hidden="false"/>
    </xf>
    <xf numFmtId="165" fontId="16" fillId="2" borderId="0" xfId="15" applyFont="true" applyBorder="false" applyAlignment="false" applyProtection="false">
      <alignment horizontal="general" vertical="bottom" textRotation="0" wrapText="false" indent="0" shrinkToFit="false"/>
      <protection locked="true" hidden="false"/>
    </xf>
    <xf numFmtId="183" fontId="16" fillId="2" borderId="0" xfId="21" applyFont="true" applyBorder="false" applyAlignment="false" applyProtection="false">
      <alignment horizontal="general" vertical="bottom" textRotation="0" wrapText="false" indent="0" shrinkToFit="false"/>
      <protection locked="true" hidden="false"/>
    </xf>
    <xf numFmtId="167" fontId="62" fillId="4" borderId="20" xfId="20" applyFont="true" applyBorder="true" applyAlignment="true" applyProtection="false">
      <alignment horizontal="center" vertical="center" textRotation="0" wrapText="false" indent="0" shrinkToFit="false"/>
      <protection locked="true" hidden="false"/>
    </xf>
    <xf numFmtId="164" fontId="80" fillId="2" borderId="0" xfId="21" applyFont="true" applyBorder="false" applyAlignment="true" applyProtection="false">
      <alignment horizontal="general" vertical="bottom" textRotation="0" wrapText="true" indent="0" shrinkToFit="false"/>
      <protection locked="true" hidden="false"/>
    </xf>
    <xf numFmtId="164" fontId="66" fillId="2" borderId="22" xfId="21" applyFont="true" applyBorder="true" applyAlignment="false" applyProtection="false">
      <alignment horizontal="general" vertical="bottom" textRotation="0" wrapText="false" indent="0" shrinkToFit="false"/>
      <protection locked="true" hidden="false"/>
    </xf>
    <xf numFmtId="175" fontId="66" fillId="4" borderId="22" xfId="21" applyFont="true" applyBorder="true" applyAlignment="true" applyProtection="false">
      <alignment horizontal="center" vertical="bottom" textRotation="0" wrapText="false" indent="0" shrinkToFit="false"/>
      <protection locked="true" hidden="false"/>
    </xf>
    <xf numFmtId="170" fontId="66" fillId="4" borderId="22" xfId="21" applyFont="true" applyBorder="true" applyAlignment="true" applyProtection="false">
      <alignment horizontal="center" vertical="bottom" textRotation="0" wrapText="false" indent="0" shrinkToFit="false"/>
      <protection locked="true" hidden="false"/>
    </xf>
    <xf numFmtId="175" fontId="16" fillId="2" borderId="0" xfId="21" applyFont="true" applyBorder="false" applyAlignment="false" applyProtection="false">
      <alignment horizontal="general" vertical="bottom" textRotation="0" wrapText="false" indent="0" shrinkToFit="false"/>
      <protection locked="true" hidden="false"/>
    </xf>
    <xf numFmtId="164" fontId="25" fillId="6" borderId="17" xfId="21" applyFont="true" applyBorder="true" applyAlignment="true" applyProtection="false">
      <alignment horizontal="general" vertical="center" textRotation="0" wrapText="false" indent="0" shrinkToFit="false"/>
      <protection locked="true" hidden="false"/>
    </xf>
    <xf numFmtId="175" fontId="25" fillId="6" borderId="17" xfId="21" applyFont="true" applyBorder="true" applyAlignment="true" applyProtection="false">
      <alignment horizontal="center" vertical="center" textRotation="0" wrapText="false" indent="0" shrinkToFit="false"/>
      <protection locked="true" hidden="false"/>
    </xf>
    <xf numFmtId="175" fontId="99" fillId="2" borderId="0" xfId="21" applyFont="true" applyBorder="false" applyAlignment="true" applyProtection="false">
      <alignment horizontal="left" vertical="center" textRotation="0" wrapText="false" indent="0" shrinkToFit="false"/>
      <protection locked="true" hidden="false"/>
    </xf>
    <xf numFmtId="175" fontId="100" fillId="2" borderId="0" xfId="21" applyFont="true" applyBorder="false" applyAlignment="true" applyProtection="false">
      <alignment horizontal="center" vertical="center" textRotation="0" wrapText="false" indent="0" shrinkToFit="false"/>
      <protection locked="true" hidden="false"/>
    </xf>
    <xf numFmtId="175" fontId="101" fillId="2" borderId="0" xfId="21" applyFont="true" applyBorder="false" applyAlignment="true" applyProtection="false">
      <alignment horizontal="general" vertical="center" textRotation="0" wrapText="false" indent="0" shrinkToFit="false"/>
      <protection locked="true" hidden="false"/>
    </xf>
    <xf numFmtId="164" fontId="100" fillId="2" borderId="0" xfId="21" applyFont="true" applyBorder="false" applyAlignment="true" applyProtection="false">
      <alignment horizontal="general" vertical="center" textRotation="0" wrapText="false" indent="0" shrinkToFit="false"/>
      <protection locked="true" hidden="false"/>
    </xf>
    <xf numFmtId="175" fontId="97" fillId="2" borderId="0" xfId="21" applyFont="true" applyBorder="false" applyAlignment="true" applyProtection="false">
      <alignment horizontal="center" vertical="bottom" textRotation="0" wrapText="false" indent="0" shrinkToFit="false"/>
      <protection locked="true" hidden="false"/>
    </xf>
    <xf numFmtId="175" fontId="96" fillId="2" borderId="0" xfId="21" applyFont="true" applyBorder="false" applyAlignment="true" applyProtection="false">
      <alignment horizontal="center" vertical="bottom" textRotation="0" wrapText="false" indent="0" shrinkToFit="false"/>
      <protection locked="true" hidden="false"/>
    </xf>
    <xf numFmtId="164" fontId="91" fillId="2" borderId="0" xfId="21" applyFont="true" applyBorder="false" applyAlignment="true" applyProtection="false">
      <alignment horizontal="right" vertical="bottom" textRotation="0" wrapText="false" indent="0" shrinkToFit="false"/>
      <protection locked="true" hidden="false"/>
    </xf>
    <xf numFmtId="175" fontId="91" fillId="2" borderId="20" xfId="21" applyFont="true" applyBorder="true" applyAlignment="true" applyProtection="false">
      <alignment horizontal="center" vertical="bottom" textRotation="0" wrapText="false" indent="0" shrinkToFit="false"/>
      <protection locked="true" hidden="false"/>
    </xf>
    <xf numFmtId="171" fontId="91" fillId="4" borderId="20" xfId="19" applyFont="true" applyBorder="true" applyAlignment="true" applyProtection="false">
      <alignment horizontal="center" vertical="bottom" textRotation="0" wrapText="false" indent="0" shrinkToFit="false"/>
      <protection locked="true" hidden="false"/>
    </xf>
    <xf numFmtId="171" fontId="80" fillId="2" borderId="0" xfId="19" applyFont="true" applyBorder="false" applyAlignment="true" applyProtection="false">
      <alignment horizontal="center" vertical="bottom" textRotation="0" wrapText="false" indent="0" shrinkToFit="false"/>
      <protection locked="true" hidden="false"/>
    </xf>
    <xf numFmtId="175" fontId="80" fillId="2" borderId="0" xfId="21" applyFont="true" applyBorder="false" applyAlignment="true" applyProtection="false">
      <alignment horizontal="center" vertical="bottom" textRotation="0" wrapText="false" indent="0" shrinkToFit="false"/>
      <protection locked="true" hidden="false"/>
    </xf>
    <xf numFmtId="164" fontId="99" fillId="2" borderId="0" xfId="21" applyFont="true" applyBorder="false" applyAlignment="true" applyProtection="false">
      <alignment horizontal="right" vertical="bottom" textRotation="0" wrapText="false" indent="0" shrinkToFit="false"/>
      <protection locked="true" hidden="false"/>
    </xf>
    <xf numFmtId="175" fontId="99" fillId="6" borderId="0" xfId="21" applyFont="true" applyBorder="false" applyAlignment="true" applyProtection="false">
      <alignment horizontal="center" vertical="bottom" textRotation="0" wrapText="false" indent="0" shrinkToFit="false"/>
      <protection locked="true" hidden="false"/>
    </xf>
    <xf numFmtId="183" fontId="99" fillId="2" borderId="0" xfId="21" applyFont="true" applyBorder="false" applyAlignment="true" applyProtection="false">
      <alignment horizontal="left" vertical="bottom" textRotation="0" wrapText="false" indent="0" shrinkToFit="false"/>
      <protection locked="true" hidden="false"/>
    </xf>
    <xf numFmtId="172" fontId="99" fillId="6" borderId="0" xfId="21" applyFont="true" applyBorder="false" applyAlignment="true" applyProtection="false">
      <alignment horizontal="center" vertical="bottom" textRotation="0" wrapText="false" indent="0" shrinkToFit="false"/>
      <protection locked="true" hidden="false"/>
    </xf>
    <xf numFmtId="164" fontId="80" fillId="2" borderId="0" xfId="21" applyFont="true" applyBorder="false" applyAlignment="false" applyProtection="false">
      <alignment horizontal="general" vertical="bottom" textRotation="0" wrapText="false" indent="0" shrinkToFit="false"/>
      <protection locked="true" hidden="false"/>
    </xf>
    <xf numFmtId="183" fontId="89" fillId="2" borderId="0" xfId="21" applyFont="true" applyBorder="false" applyAlignment="true" applyProtection="false">
      <alignment horizontal="center" vertical="bottom" textRotation="0" wrapText="false" indent="0" shrinkToFit="false"/>
      <protection locked="true" hidden="false"/>
    </xf>
    <xf numFmtId="175" fontId="69" fillId="0" borderId="0" xfId="0" applyFont="true" applyBorder="false" applyAlignment="false" applyProtection="false">
      <alignment horizontal="general" vertical="bottom" textRotation="0" wrapText="false" indent="0" shrinkToFit="false"/>
      <protection locked="true" hidden="false"/>
    </xf>
    <xf numFmtId="172" fontId="69" fillId="0" borderId="0" xfId="0" applyFont="true" applyBorder="false" applyAlignment="false" applyProtection="false">
      <alignment horizontal="general" vertical="bottom" textRotation="0" wrapText="false" indent="0" shrinkToFit="false"/>
      <protection locked="true" hidden="false"/>
    </xf>
    <xf numFmtId="186" fontId="69" fillId="0" borderId="0" xfId="0" applyFont="true" applyBorder="false" applyAlignment="false" applyProtection="false">
      <alignment horizontal="general" vertical="bottom" textRotation="0" wrapText="false" indent="0" shrinkToFit="false"/>
      <protection locked="true" hidden="false"/>
    </xf>
    <xf numFmtId="164" fontId="102" fillId="5" borderId="0" xfId="0" applyFont="true" applyBorder="false" applyAlignment="false" applyProtection="false">
      <alignment horizontal="general" vertical="bottom" textRotation="0" wrapText="false" indent="0" shrinkToFit="false"/>
      <protection locked="true" hidden="false"/>
    </xf>
    <xf numFmtId="168" fontId="62" fillId="5" borderId="0" xfId="0" applyFont="true" applyBorder="false" applyAlignment="false" applyProtection="false">
      <alignment horizontal="general" vertical="bottom" textRotation="0" wrapText="false" indent="0" shrinkToFit="false"/>
      <protection locked="true" hidden="false"/>
    </xf>
    <xf numFmtId="164" fontId="78" fillId="2" borderId="0" xfId="0" applyFont="true" applyBorder="false" applyAlignment="false" applyProtection="false">
      <alignment horizontal="general" vertical="bottom" textRotation="0" wrapText="false" indent="0" shrinkToFit="false"/>
      <protection locked="true" hidden="false"/>
    </xf>
    <xf numFmtId="164" fontId="103" fillId="2" borderId="0" xfId="0" applyFont="true" applyBorder="false" applyAlignment="false" applyProtection="false">
      <alignment horizontal="general" vertical="bottom" textRotation="0" wrapText="false" indent="0" shrinkToFit="false"/>
      <protection locked="true" hidden="false"/>
    </xf>
    <xf numFmtId="175" fontId="60" fillId="4" borderId="20" xfId="0" applyFont="true" applyBorder="true" applyAlignment="true" applyProtection="false">
      <alignment horizontal="center" vertical="bottom" textRotation="0" wrapText="false" indent="0" shrinkToFit="false"/>
      <protection locked="true" hidden="false"/>
    </xf>
    <xf numFmtId="175" fontId="60" fillId="2" borderId="20" xfId="0" applyFont="true" applyBorder="true" applyAlignment="true" applyProtection="false">
      <alignment horizontal="center" vertical="bottom" textRotation="0" wrapText="false" indent="0" shrinkToFit="false"/>
      <protection locked="true" hidden="false"/>
    </xf>
    <xf numFmtId="166" fontId="104" fillId="4" borderId="20" xfId="0" applyFont="true" applyBorder="true" applyAlignment="true" applyProtection="false">
      <alignment horizontal="center" vertical="bottom" textRotation="0" wrapText="false" indent="0" shrinkToFit="false"/>
      <protection locked="true" hidden="false"/>
    </xf>
    <xf numFmtId="164" fontId="61" fillId="0" borderId="0" xfId="0" applyFont="true" applyBorder="false" applyAlignment="true" applyProtection="false">
      <alignment horizontal="general" vertical="top" textRotation="0" wrapText="true" indent="0" shrinkToFit="false"/>
      <protection locked="true" hidden="false"/>
    </xf>
    <xf numFmtId="171" fontId="60" fillId="2" borderId="20" xfId="0" applyFont="true" applyBorder="true" applyAlignment="true" applyProtection="false">
      <alignment horizontal="center" vertical="bottom" textRotation="0" wrapText="false" indent="0" shrinkToFit="false"/>
      <protection locked="true" hidden="false"/>
    </xf>
    <xf numFmtId="164" fontId="63" fillId="2" borderId="0" xfId="0" applyFont="true" applyBorder="false" applyAlignment="true" applyProtection="false">
      <alignment horizontal="right" vertical="bottom" textRotation="0" wrapText="false" indent="0" shrinkToFit="false"/>
      <protection locked="true" hidden="false"/>
    </xf>
    <xf numFmtId="164" fontId="63" fillId="2" borderId="0" xfId="0" applyFont="true" applyBorder="false" applyAlignment="true" applyProtection="false">
      <alignment horizontal="center" vertical="bottom" textRotation="0" wrapText="false" indent="0" shrinkToFit="false"/>
      <protection locked="true" hidden="false"/>
    </xf>
    <xf numFmtId="164" fontId="69" fillId="2" borderId="0" xfId="0" applyFont="true" applyBorder="false" applyAlignment="true" applyProtection="false">
      <alignment horizontal="right" vertical="bottom" textRotation="0" wrapText="false" indent="0" shrinkToFit="false"/>
      <protection locked="true" hidden="false"/>
    </xf>
    <xf numFmtId="167" fontId="60" fillId="4" borderId="20" xfId="15" applyFont="true" applyBorder="true" applyAlignment="true" applyProtection="false">
      <alignment horizontal="center" vertical="bottom" textRotation="0" wrapText="false" indent="0" shrinkToFit="false"/>
      <protection locked="true" hidden="false"/>
    </xf>
    <xf numFmtId="172" fontId="96" fillId="4" borderId="20" xfId="19" applyFont="true" applyBorder="true" applyAlignment="true" applyProtection="false">
      <alignment horizontal="center" vertical="bottom" textRotation="0" wrapText="false" indent="0" shrinkToFit="false"/>
      <protection locked="true" hidden="false"/>
    </xf>
    <xf numFmtId="172" fontId="60" fillId="4" borderId="20" xfId="19" applyFont="true" applyBorder="true" applyAlignment="true" applyProtection="false">
      <alignment horizontal="center" vertical="bottom" textRotation="0" wrapText="false" indent="0" shrinkToFit="false"/>
      <protection locked="true" hidden="false"/>
    </xf>
    <xf numFmtId="171" fontId="96" fillId="2" borderId="0" xfId="19" applyFont="true" applyBorder="false" applyAlignment="false" applyProtection="false">
      <alignment horizontal="general" vertical="bottom" textRotation="0" wrapText="false" indent="0" shrinkToFit="false"/>
      <protection locked="true" hidden="false"/>
    </xf>
    <xf numFmtId="167" fontId="60" fillId="4" borderId="20" xfId="0" applyFont="true" applyBorder="true" applyAlignment="true" applyProtection="false">
      <alignment horizontal="center" vertical="bottom" textRotation="0" wrapText="false" indent="0" shrinkToFit="false"/>
      <protection locked="true" hidden="false"/>
    </xf>
    <xf numFmtId="172" fontId="60" fillId="2" borderId="0" xfId="19" applyFont="true" applyBorder="false" applyAlignment="false" applyProtection="false">
      <alignment horizontal="general" vertical="bottom" textRotation="0" wrapText="false" indent="0" shrinkToFit="false"/>
      <protection locked="true" hidden="false"/>
    </xf>
    <xf numFmtId="164" fontId="80" fillId="2" borderId="0" xfId="21" applyFont="true" applyBorder="false" applyAlignment="true" applyProtection="false">
      <alignment horizontal="right" vertical="bottom" textRotation="0" wrapText="false" indent="0" shrinkToFit="false"/>
      <protection locked="true" hidden="false"/>
    </xf>
    <xf numFmtId="175" fontId="80" fillId="6" borderId="0" xfId="21" applyFont="true" applyBorder="false" applyAlignment="true" applyProtection="false">
      <alignment horizontal="center" vertical="bottom" textRotation="0" wrapText="false" indent="0" shrinkToFit="false"/>
      <protection locked="true" hidden="false"/>
    </xf>
    <xf numFmtId="183" fontId="80" fillId="2" borderId="0" xfId="21" applyFont="true" applyBorder="false" applyAlignment="true" applyProtection="false">
      <alignment horizontal="left" vertical="bottom" textRotation="0" wrapText="false" indent="0" shrinkToFit="false"/>
      <protection locked="true" hidden="false"/>
    </xf>
    <xf numFmtId="172" fontId="80" fillId="6" borderId="0" xfId="21" applyFont="true" applyBorder="false" applyAlignment="true" applyProtection="false">
      <alignment horizontal="center" vertical="bottom" textRotation="0" wrapText="false" indent="0" shrinkToFit="false"/>
      <protection locked="true" hidden="false"/>
    </xf>
    <xf numFmtId="166" fontId="41" fillId="4" borderId="0" xfId="0" applyFont="true" applyBorder="false" applyAlignment="false" applyProtection="false">
      <alignment horizontal="general" vertical="bottom" textRotation="0" wrapText="false" indent="0" shrinkToFit="false"/>
      <protection locked="true" hidden="false"/>
    </xf>
    <xf numFmtId="166" fontId="70" fillId="2" borderId="0" xfId="0" applyFont="true" applyBorder="false" applyAlignment="false" applyProtection="false">
      <alignment horizontal="general" vertical="bottom" textRotation="0" wrapText="false" indent="0" shrinkToFit="false"/>
      <protection locked="true" hidden="false"/>
    </xf>
    <xf numFmtId="166" fontId="63" fillId="2" borderId="0" xfId="0" applyFont="true" applyBorder="false" applyAlignment="false" applyProtection="false">
      <alignment horizontal="general" vertical="bottom" textRotation="0" wrapText="false" indent="0" shrinkToFit="false"/>
      <protection locked="true" hidden="false"/>
    </xf>
    <xf numFmtId="164" fontId="41" fillId="4" borderId="0" xfId="0" applyFont="true" applyBorder="false" applyAlignment="false" applyProtection="false">
      <alignment horizontal="general" vertical="bottom" textRotation="0" wrapText="false" indent="0" shrinkToFit="false"/>
      <protection locked="true" hidden="false"/>
    </xf>
    <xf numFmtId="175" fontId="71" fillId="0" borderId="0" xfId="0" applyFont="true" applyBorder="false" applyAlignment="false" applyProtection="false">
      <alignment horizontal="general" vertical="bottom" textRotation="0" wrapText="false" indent="0" shrinkToFit="false"/>
      <protection locked="true" hidden="false"/>
    </xf>
    <xf numFmtId="186" fontId="41" fillId="4" borderId="0" xfId="0" applyFont="true" applyBorder="false" applyAlignment="false" applyProtection="false">
      <alignment horizontal="general" vertical="bottom" textRotation="0" wrapText="false" indent="0" shrinkToFit="false"/>
      <protection locked="true" hidden="false"/>
    </xf>
    <xf numFmtId="164" fontId="105" fillId="0" borderId="0" xfId="0" applyFont="true" applyBorder="false" applyAlignment="false" applyProtection="false">
      <alignment horizontal="general" vertical="bottom" textRotation="0" wrapText="false" indent="0" shrinkToFit="false"/>
      <protection locked="true" hidden="false"/>
    </xf>
    <xf numFmtId="164" fontId="68" fillId="0" borderId="0" xfId="0" applyFont="true" applyBorder="false" applyAlignment="false" applyProtection="false">
      <alignment horizontal="general" vertical="bottom" textRotation="0" wrapText="false" indent="0" shrinkToFit="false"/>
      <protection locked="true" hidden="false"/>
    </xf>
    <xf numFmtId="175" fontId="106" fillId="4" borderId="0" xfId="0" applyFont="true" applyBorder="false" applyAlignment="false" applyProtection="false">
      <alignment horizontal="general" vertical="bottom" textRotation="0" wrapText="false" indent="0" shrinkToFit="false"/>
      <protection locked="true" hidden="false"/>
    </xf>
    <xf numFmtId="187" fontId="106" fillId="4" borderId="0" xfId="0" applyFont="true" applyBorder="false" applyAlignment="false" applyProtection="false">
      <alignment horizontal="general" vertical="bottom" textRotation="0" wrapText="false" indent="0" shrinkToFit="false"/>
      <protection locked="true" hidden="false"/>
    </xf>
    <xf numFmtId="174" fontId="106" fillId="4" borderId="0" xfId="0" applyFont="true" applyBorder="false" applyAlignment="false" applyProtection="false">
      <alignment horizontal="general" vertical="bottom" textRotation="0" wrapText="false" indent="0" shrinkToFit="false"/>
      <protection locked="true" hidden="false"/>
    </xf>
    <xf numFmtId="168" fontId="106" fillId="4" borderId="0" xfId="0" applyFont="true" applyBorder="false" applyAlignment="false" applyProtection="false">
      <alignment horizontal="general" vertical="bottom" textRotation="0" wrapText="false" indent="0" shrinkToFit="false"/>
      <protection locked="true" hidden="false"/>
    </xf>
    <xf numFmtId="174" fontId="75" fillId="0" borderId="0" xfId="0" applyFont="true" applyBorder="false" applyAlignment="false" applyProtection="false">
      <alignment horizontal="general" vertical="bottom" textRotation="0" wrapText="false" indent="0" shrinkToFit="false"/>
      <protection locked="true" hidden="false"/>
    </xf>
    <xf numFmtId="174" fontId="39" fillId="0" borderId="0" xfId="0" applyFont="true" applyBorder="false" applyAlignment="false" applyProtection="false">
      <alignment horizontal="general" vertical="bottom" textRotation="0" wrapText="false" indent="0" shrinkToFit="false"/>
      <protection locked="true" hidden="false"/>
    </xf>
    <xf numFmtId="168" fontId="39" fillId="0" borderId="0" xfId="0" applyFont="true" applyBorder="false" applyAlignment="false" applyProtection="false">
      <alignment horizontal="general" vertical="bottom" textRotation="0" wrapText="false" indent="0" shrinkToFit="false"/>
      <protection locked="true" hidden="false"/>
    </xf>
    <xf numFmtId="174" fontId="42" fillId="4" borderId="0" xfId="0" applyFont="true" applyBorder="false" applyAlignment="false" applyProtection="false">
      <alignment horizontal="general" vertical="bottom" textRotation="0" wrapText="false" indent="0" shrinkToFit="false"/>
      <protection locked="true" hidden="false"/>
    </xf>
    <xf numFmtId="183" fontId="71" fillId="0" borderId="0" xfId="0" applyFont="true" applyBorder="false" applyAlignment="false" applyProtection="false">
      <alignment horizontal="general" vertical="bottom" textRotation="0" wrapText="false" indent="0" shrinkToFit="false"/>
      <protection locked="true" hidden="false"/>
    </xf>
    <xf numFmtId="166" fontId="71" fillId="0" borderId="0" xfId="0" applyFont="true" applyBorder="false" applyAlignment="false" applyProtection="false">
      <alignment horizontal="general" vertical="bottom" textRotation="0" wrapText="false" indent="0" shrinkToFit="false"/>
      <protection locked="true" hidden="false"/>
    </xf>
    <xf numFmtId="183" fontId="69" fillId="0" borderId="0" xfId="0" applyFont="true" applyBorder="false" applyAlignment="false" applyProtection="false">
      <alignment horizontal="general" vertical="bottom" textRotation="0" wrapText="false" indent="0" shrinkToFit="false"/>
      <protection locked="true" hidden="false"/>
    </xf>
    <xf numFmtId="188" fontId="69" fillId="0" borderId="0" xfId="0" applyFont="true" applyBorder="false" applyAlignment="false" applyProtection="false">
      <alignment horizontal="general" vertical="bottom" textRotation="0" wrapText="false" indent="0" shrinkToFit="false"/>
      <protection locked="true" hidden="false"/>
    </xf>
    <xf numFmtId="188" fontId="39" fillId="0" borderId="0" xfId="0" applyFont="true" applyBorder="false" applyAlignment="false" applyProtection="false">
      <alignment horizontal="general" vertical="bottom" textRotation="0" wrapText="false" indent="0" shrinkToFit="false"/>
      <protection locked="true" hidden="false"/>
    </xf>
    <xf numFmtId="164" fontId="107" fillId="6" borderId="0" xfId="0" applyFont="true" applyBorder="false" applyAlignment="false" applyProtection="false">
      <alignment horizontal="general" vertical="bottom" textRotation="0" wrapText="false" indent="0" shrinkToFit="false"/>
      <protection locked="true" hidden="false"/>
    </xf>
    <xf numFmtId="164" fontId="108" fillId="6" borderId="0" xfId="0" applyFont="true" applyBorder="false" applyAlignment="false" applyProtection="false">
      <alignment horizontal="general" vertical="bottom" textRotation="0" wrapText="false" indent="0" shrinkToFit="false"/>
      <protection locked="true" hidden="false"/>
    </xf>
    <xf numFmtId="183" fontId="108" fillId="6" borderId="0" xfId="0" applyFont="true" applyBorder="false" applyAlignment="false" applyProtection="false">
      <alignment horizontal="general" vertical="bottom" textRotation="0" wrapText="false" indent="0" shrinkToFit="false"/>
      <protection locked="true" hidden="false"/>
    </xf>
    <xf numFmtId="164" fontId="109" fillId="0" borderId="0" xfId="0" applyFont="true" applyBorder="false" applyAlignment="false" applyProtection="false">
      <alignment horizontal="general" vertical="bottom" textRotation="0" wrapText="false" indent="0" shrinkToFit="false"/>
      <protection locked="true" hidden="false"/>
    </xf>
    <xf numFmtId="164" fontId="110" fillId="0" borderId="0" xfId="0" applyFont="true" applyBorder="false" applyAlignment="false" applyProtection="false">
      <alignment horizontal="general" vertical="bottom" textRotation="0" wrapText="false" indent="0" shrinkToFit="false"/>
      <protection locked="true" hidden="false"/>
    </xf>
    <xf numFmtId="183" fontId="111" fillId="0" borderId="0" xfId="0" applyFont="true" applyBorder="false" applyAlignment="false" applyProtection="false">
      <alignment horizontal="general" vertical="bottom" textRotation="0" wrapText="false" indent="0" shrinkToFit="false"/>
      <protection locked="true" hidden="false"/>
    </xf>
    <xf numFmtId="172" fontId="110" fillId="4" borderId="0" xfId="0" applyFont="true" applyBorder="false" applyAlignment="false" applyProtection="false">
      <alignment horizontal="general" vertical="bottom" textRotation="0" wrapText="false" indent="0" shrinkToFit="false"/>
      <protection locked="true" hidden="false"/>
    </xf>
    <xf numFmtId="183" fontId="110" fillId="4" borderId="0" xfId="0" applyFont="true" applyBorder="false" applyAlignment="false" applyProtection="false">
      <alignment horizontal="general" vertical="bottom" textRotation="0" wrapText="false" indent="0" shrinkToFit="false"/>
      <protection locked="true" hidden="false"/>
    </xf>
    <xf numFmtId="164" fontId="112" fillId="0" borderId="0" xfId="0" applyFont="true" applyBorder="false" applyAlignment="false" applyProtection="false">
      <alignment horizontal="general" vertical="bottom" textRotation="0" wrapText="false" indent="0" shrinkToFit="false"/>
      <protection locked="true" hidden="false"/>
    </xf>
    <xf numFmtId="183" fontId="112" fillId="6" borderId="0" xfId="0" applyFont="true" applyBorder="false" applyAlignment="false" applyProtection="false">
      <alignment horizontal="general" vertical="bottom" textRotation="0" wrapText="false" indent="0" shrinkToFit="false"/>
      <protection locked="true" hidden="false"/>
    </xf>
    <xf numFmtId="172" fontId="112" fillId="6" borderId="0" xfId="0" applyFont="true" applyBorder="false" applyAlignment="false" applyProtection="false">
      <alignment horizontal="general" vertical="bottom" textRotation="0" wrapText="false" indent="0" shrinkToFit="false"/>
      <protection locked="true" hidden="false"/>
    </xf>
    <xf numFmtId="188" fontId="71" fillId="0" borderId="0" xfId="0" applyFont="true" applyBorder="false" applyAlignment="false" applyProtection="false">
      <alignment horizontal="general" vertical="bottom" textRotation="0" wrapText="false" indent="0" shrinkToFit="false"/>
      <protection locked="true" hidden="false"/>
    </xf>
    <xf numFmtId="172" fontId="39" fillId="0" borderId="0" xfId="0" applyFont="true" applyBorder="false" applyAlignment="false" applyProtection="false">
      <alignment horizontal="general" vertical="bottom" textRotation="0" wrapText="false" indent="0" shrinkToFit="false"/>
      <protection locked="true" hidden="false"/>
    </xf>
    <xf numFmtId="166" fontId="69" fillId="0" borderId="0" xfId="0" applyFont="true" applyBorder="false" applyAlignment="false" applyProtection="false">
      <alignment horizontal="general" vertical="bottom" textRotation="0" wrapText="false" indent="0" shrinkToFit="false"/>
      <protection locked="true" hidden="false"/>
    </xf>
    <xf numFmtId="188" fontId="69" fillId="14" borderId="0" xfId="0" applyFont="true" applyBorder="false" applyAlignment="false" applyProtection="false">
      <alignment horizontal="general" vertical="bottom" textRotation="0" wrapText="false" indent="0" shrinkToFit="false"/>
      <protection locked="true" hidden="false"/>
    </xf>
    <xf numFmtId="172" fontId="69" fillId="14" borderId="0" xfId="0" applyFont="true" applyBorder="false" applyAlignment="false" applyProtection="false">
      <alignment horizontal="general" vertical="bottom" textRotation="0" wrapText="false" indent="0" shrinkToFit="false"/>
      <protection locked="true" hidden="false"/>
    </xf>
    <xf numFmtId="189" fontId="69" fillId="0" borderId="0" xfId="0" applyFont="true" applyBorder="false" applyAlignment="false" applyProtection="false">
      <alignment horizontal="general" vertical="bottom" textRotation="0" wrapText="false" indent="0" shrinkToFit="false"/>
      <protection locked="true" hidden="false"/>
    </xf>
    <xf numFmtId="177" fontId="86" fillId="5" borderId="0" xfId="0" applyFont="true" applyBorder="false" applyAlignment="true" applyProtection="false">
      <alignment horizontal="center" vertical="center" textRotation="0" wrapText="true" indent="0" shrinkToFit="false"/>
      <protection locked="true" hidden="false"/>
    </xf>
    <xf numFmtId="181" fontId="39" fillId="0" borderId="0" xfId="0" applyFont="true" applyBorder="false" applyAlignment="false" applyProtection="false">
      <alignment horizontal="general" vertical="bottom" textRotation="0" wrapText="false" indent="0" shrinkToFit="false"/>
      <protection locked="true" hidden="false"/>
    </xf>
    <xf numFmtId="190" fontId="86" fillId="5" borderId="0" xfId="0" applyFont="true" applyBorder="false" applyAlignment="true" applyProtection="false">
      <alignment horizontal="center" vertical="center" textRotation="0" wrapText="true" indent="0" shrinkToFit="false"/>
      <protection locked="true" hidden="false"/>
    </xf>
    <xf numFmtId="166" fontId="86" fillId="5" borderId="0" xfId="0" applyFont="true" applyBorder="false" applyAlignment="true" applyProtection="false">
      <alignment horizontal="center" vertical="center" textRotation="0" wrapText="true" indent="0" shrinkToFit="false"/>
      <protection locked="true" hidden="false"/>
    </xf>
    <xf numFmtId="164" fontId="108" fillId="0" borderId="0" xfId="0" applyFont="true" applyBorder="false" applyAlignment="false" applyProtection="false">
      <alignment horizontal="general" vertical="bottom" textRotation="0" wrapText="false" indent="0" shrinkToFit="false"/>
      <protection locked="true" hidden="false"/>
    </xf>
    <xf numFmtId="164" fontId="113" fillId="5" borderId="0" xfId="0" applyFont="true" applyBorder="false" applyAlignment="true" applyProtection="false">
      <alignment horizontal="center" vertical="center" textRotation="0" wrapText="true" indent="0" shrinkToFit="false"/>
      <protection locked="true" hidden="false"/>
    </xf>
    <xf numFmtId="164" fontId="114" fillId="0" borderId="0" xfId="0" applyFont="true" applyBorder="false" applyAlignment="false" applyProtection="false">
      <alignment horizontal="general" vertical="bottom" textRotation="0" wrapText="false" indent="0" shrinkToFit="false"/>
      <protection locked="true" hidden="false"/>
    </xf>
    <xf numFmtId="164" fontId="98" fillId="6" borderId="0" xfId="0" applyFont="true" applyBorder="false" applyAlignment="false" applyProtection="false">
      <alignment horizontal="general" vertical="bottom" textRotation="0" wrapText="false" indent="0" shrinkToFit="false"/>
      <protection locked="true" hidden="false"/>
    </xf>
    <xf numFmtId="188" fontId="115" fillId="0" borderId="0" xfId="0" applyFont="true" applyBorder="false" applyAlignment="false" applyProtection="false">
      <alignment horizontal="general" vertical="bottom" textRotation="0" wrapText="false" indent="0" shrinkToFit="false"/>
      <protection locked="true" hidden="false"/>
    </xf>
    <xf numFmtId="172" fontId="115" fillId="0" borderId="0" xfId="0" applyFont="true" applyBorder="false" applyAlignment="false" applyProtection="false">
      <alignment horizontal="general" vertical="bottom" textRotation="0" wrapText="false" indent="0" shrinkToFit="false"/>
      <protection locked="true" hidden="false"/>
    </xf>
    <xf numFmtId="188" fontId="114" fillId="0" borderId="0" xfId="0" applyFont="true" applyBorder="false" applyAlignment="false" applyProtection="false">
      <alignment horizontal="general" vertical="bottom" textRotation="0" wrapText="false" indent="0" shrinkToFit="false"/>
      <protection locked="true" hidden="false"/>
    </xf>
    <xf numFmtId="172" fontId="114" fillId="0" borderId="0" xfId="0" applyFont="true" applyBorder="false" applyAlignment="false" applyProtection="false">
      <alignment horizontal="general" vertical="bottom" textRotation="0" wrapText="false" indent="0" shrinkToFit="false"/>
      <protection locked="true" hidden="false"/>
    </xf>
    <xf numFmtId="183" fontId="116" fillId="4" borderId="0" xfId="0" applyFont="true" applyBorder="false" applyAlignment="false" applyProtection="false">
      <alignment horizontal="general" vertical="bottom" textRotation="0" wrapText="false" indent="0" shrinkToFit="false"/>
      <protection locked="true" hidden="false"/>
    </xf>
    <xf numFmtId="183" fontId="114" fillId="0" borderId="0" xfId="0" applyFont="true" applyBorder="false" applyAlignment="false" applyProtection="false">
      <alignment horizontal="general" vertical="bottom" textRotation="0" wrapText="false" indent="0" shrinkToFit="false"/>
      <protection locked="true" hidden="false"/>
    </xf>
    <xf numFmtId="171" fontId="114" fillId="0" borderId="0" xfId="0" applyFont="true" applyBorder="false" applyAlignment="false" applyProtection="false">
      <alignment horizontal="general" vertical="bottom" textRotation="0" wrapText="false" indent="0" shrinkToFit="false"/>
      <protection locked="true" hidden="false"/>
    </xf>
    <xf numFmtId="166" fontId="116" fillId="4" borderId="0" xfId="0" applyFont="true" applyBorder="false" applyAlignment="false" applyProtection="false">
      <alignment horizontal="general" vertical="bottom" textRotation="0" wrapText="false" indent="0" shrinkToFit="false"/>
      <protection locked="true" hidden="false"/>
    </xf>
    <xf numFmtId="175" fontId="116" fillId="4" borderId="0" xfId="0" applyFont="true" applyBorder="false" applyAlignment="false" applyProtection="false">
      <alignment horizontal="general" vertical="bottom" textRotation="0" wrapText="false" indent="0" shrinkToFit="false"/>
      <protection locked="true" hidden="false"/>
    </xf>
    <xf numFmtId="175" fontId="114" fillId="0" borderId="0" xfId="0" applyFont="true" applyBorder="false" applyAlignment="false" applyProtection="false">
      <alignment horizontal="general" vertical="bottom" textRotation="0" wrapText="false" indent="0" shrinkToFit="false"/>
      <protection locked="true" hidden="false"/>
    </xf>
    <xf numFmtId="183" fontId="115" fillId="0" borderId="0" xfId="0" applyFont="true" applyBorder="false" applyAlignment="false" applyProtection="false">
      <alignment horizontal="general" vertical="bottom" textRotation="0" wrapText="false" indent="0" shrinkToFit="false"/>
      <protection locked="true" hidden="false"/>
    </xf>
    <xf numFmtId="175" fontId="115" fillId="0" borderId="0" xfId="0" applyFont="true" applyBorder="false" applyAlignment="false" applyProtection="false">
      <alignment horizontal="general" vertical="bottom" textRotation="0" wrapText="false" indent="0" shrinkToFit="false"/>
      <protection locked="true" hidden="false"/>
    </xf>
    <xf numFmtId="174" fontId="114" fillId="0" borderId="0" xfId="0" applyFont="true" applyBorder="false" applyAlignment="false" applyProtection="false">
      <alignment horizontal="general" vertical="bottom" textRotation="0" wrapText="false" indent="0" shrinkToFit="false"/>
      <protection locked="true" hidden="false"/>
    </xf>
    <xf numFmtId="187" fontId="114" fillId="0" borderId="0" xfId="0" applyFont="true" applyBorder="false" applyAlignment="false" applyProtection="false">
      <alignment horizontal="general" vertical="bottom" textRotation="0" wrapText="false" indent="0" shrinkToFit="false"/>
      <protection locked="true" hidden="false"/>
    </xf>
    <xf numFmtId="166" fontId="115" fillId="0" borderId="0" xfId="0" applyFont="true" applyBorder="false" applyAlignment="false" applyProtection="false">
      <alignment horizontal="general" vertical="bottom" textRotation="0" wrapText="false" indent="0" shrinkToFit="false"/>
      <protection locked="true" hidden="false"/>
    </xf>
    <xf numFmtId="174" fontId="116" fillId="4" borderId="0" xfId="0" applyFont="true" applyBorder="false" applyAlignment="false" applyProtection="false">
      <alignment horizontal="general" vertical="bottom" textRotation="0" wrapText="false" indent="0" shrinkToFit="false"/>
      <protection locked="true" hidden="false"/>
    </xf>
    <xf numFmtId="174" fontId="115" fillId="0" borderId="0" xfId="0" applyFont="true" applyBorder="false" applyAlignment="false" applyProtection="false">
      <alignment horizontal="general" vertical="bottom" textRotation="0" wrapText="false" indent="0" shrinkToFit="false"/>
      <protection locked="true" hidden="false"/>
    </xf>
    <xf numFmtId="187" fontId="116" fillId="4" borderId="0" xfId="0" applyFont="true" applyBorder="false" applyAlignment="false" applyProtection="false">
      <alignment horizontal="general" vertical="bottom" textRotation="0" wrapText="false" indent="0" shrinkToFit="false"/>
      <protection locked="true" hidden="false"/>
    </xf>
    <xf numFmtId="168" fontId="116" fillId="4" borderId="0" xfId="0" applyFont="true" applyBorder="false" applyAlignment="false" applyProtection="false">
      <alignment horizontal="general" vertical="bottom" textRotation="0" wrapText="false" indent="0" shrinkToFit="false"/>
      <protection locked="true" hidden="false"/>
    </xf>
    <xf numFmtId="168" fontId="114" fillId="0" borderId="0" xfId="0" applyFont="true" applyBorder="false" applyAlignment="false" applyProtection="false">
      <alignment horizontal="general" vertical="bottom" textRotation="0" wrapText="false" indent="0" shrinkToFit="false"/>
      <protection locked="true" hidden="false"/>
    </xf>
    <xf numFmtId="187" fontId="115" fillId="0" borderId="0" xfId="0" applyFont="true" applyBorder="false" applyAlignment="false" applyProtection="false">
      <alignment horizontal="general" vertical="bottom" textRotation="0" wrapText="false" indent="0" shrinkToFit="false"/>
      <protection locked="true" hidden="false"/>
    </xf>
    <xf numFmtId="166" fontId="114" fillId="0" borderId="0" xfId="0" applyFont="true" applyBorder="false" applyAlignment="false" applyProtection="false">
      <alignment horizontal="general" vertical="bottom" textRotation="0" wrapText="false" indent="0" shrinkToFit="false"/>
      <protection locked="true" hidden="false"/>
    </xf>
    <xf numFmtId="188" fontId="116" fillId="4" borderId="0" xfId="0" applyFont="true" applyBorder="false" applyAlignment="false" applyProtection="false">
      <alignment horizontal="general" vertical="bottom" textRotation="0" wrapText="false" indent="0" shrinkToFit="false"/>
      <protection locked="true" hidden="false"/>
    </xf>
    <xf numFmtId="171" fontId="115" fillId="0" borderId="0" xfId="0" applyFont="true" applyBorder="false" applyAlignment="false" applyProtection="false">
      <alignment horizontal="general" vertical="bottom" textRotation="0" wrapText="false" indent="0" shrinkToFit="false"/>
      <protection locked="true" hidden="false"/>
    </xf>
    <xf numFmtId="185" fontId="114" fillId="0" borderId="0" xfId="0" applyFont="true" applyBorder="false" applyAlignment="false" applyProtection="false">
      <alignment horizontal="general" vertical="bottom" textRotation="0" wrapText="false" indent="0" shrinkToFit="false"/>
      <protection locked="true" hidden="false"/>
    </xf>
    <xf numFmtId="168" fontId="115" fillId="0" borderId="0" xfId="0" applyFont="true" applyBorder="false" applyAlignment="false" applyProtection="false">
      <alignment horizontal="general" vertical="bottom" textRotation="0" wrapText="false" indent="0" shrinkToFit="false"/>
      <protection locked="true" hidden="false"/>
    </xf>
    <xf numFmtId="188" fontId="0" fillId="0" borderId="0" xfId="0" applyFont="false" applyBorder="false" applyAlignment="false" applyProtection="false">
      <alignment horizontal="general" vertical="bottom" textRotation="0" wrapText="false" indent="0" shrinkToFit="false"/>
      <protection locked="true" hidden="false"/>
    </xf>
    <xf numFmtId="191" fontId="115" fillId="0" borderId="0" xfId="0" applyFont="true" applyBorder="false" applyAlignment="false" applyProtection="false">
      <alignment horizontal="general" vertical="bottom" textRotation="0" wrapText="false" indent="0" shrinkToFit="false"/>
      <protection locked="true" hidden="false"/>
    </xf>
    <xf numFmtId="164" fontId="75" fillId="0" borderId="0" xfId="0" applyFont="true" applyBorder="true" applyAlignment="true" applyProtection="false">
      <alignment horizontal="general" vertical="top" textRotation="0" wrapText="true" indent="0" shrinkToFit="false"/>
      <protection locked="true" hidden="false"/>
    </xf>
    <xf numFmtId="164" fontId="75" fillId="0" borderId="0" xfId="0" applyFont="true" applyBorder="false" applyAlignment="true" applyProtection="false">
      <alignment horizontal="general" vertical="top" textRotation="0" wrapText="tru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Normal 2" xfId="21"/>
    <cellStyle name="Percent 2" xfId="22"/>
  </cellStyles>
  <dxfs count="1">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7"/>
      <rgbColor rgb="FF808000"/>
      <rgbColor rgb="FF800080"/>
      <rgbColor rgb="FF008080"/>
      <rgbColor rgb="FFBFBFBF"/>
      <rgbColor rgb="FF7F7F7F"/>
      <rgbColor rgb="FF8FAADC"/>
      <rgbColor rgb="FF993366"/>
      <rgbColor rgb="FFFEFBCE"/>
      <rgbColor rgb="FFDEEBF7"/>
      <rgbColor rgb="FF660066"/>
      <rgbColor rgb="FFFF8080"/>
      <rgbColor rgb="FF0066CC"/>
      <rgbColor rgb="FFDAE3F3"/>
      <rgbColor rgb="FF00008D"/>
      <rgbColor rgb="FFFF00FF"/>
      <rgbColor rgb="FFF8F8F8"/>
      <rgbColor rgb="FF00FFFF"/>
      <rgbColor rgb="FF800080"/>
      <rgbColor rgb="FF800000"/>
      <rgbColor rgb="FF008080"/>
      <rgbColor rgb="FF0000FF"/>
      <rgbColor rgb="FF00CCFF"/>
      <rgbColor rgb="FFF3F7FD"/>
      <rgbColor rgb="FFEDEDED"/>
      <rgbColor rgb="FFFFE699"/>
      <rgbColor rgb="FFB7E3E4"/>
      <rgbColor rgb="FFFBE5D6"/>
      <rgbColor rgb="FFE7E6E6"/>
      <rgbColor rgb="FFF4CCCC"/>
      <rgbColor rgb="FF3366FF"/>
      <rgbColor rgb="FF61BFB9"/>
      <rgbColor rgb="FF92D050"/>
      <rgbColor rgb="FFFFC000"/>
      <rgbColor rgb="FFFF9900"/>
      <rgbColor rgb="FFFF6600"/>
      <rgbColor rgb="FF666666"/>
      <rgbColor rgb="FF969696"/>
      <rgbColor rgb="FF002060"/>
      <rgbColor rgb="FF339966"/>
      <rgbColor rgb="FF003300"/>
      <rgbColor rgb="FF333300"/>
      <rgbColor rgb="FF7B1E2B"/>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69840</xdr:colOff>
      <xdr:row>1</xdr:row>
      <xdr:rowOff>111240</xdr:rowOff>
    </xdr:from>
    <xdr:to>
      <xdr:col>2</xdr:col>
      <xdr:colOff>776520</xdr:colOff>
      <xdr:row>2</xdr:row>
      <xdr:rowOff>196200</xdr:rowOff>
    </xdr:to>
    <xdr:pic>
      <xdr:nvPicPr>
        <xdr:cNvPr id="0" name="Picture 1" descr=""/>
        <xdr:cNvPicPr/>
      </xdr:nvPicPr>
      <xdr:blipFill>
        <a:blip r:embed="rId1"/>
        <a:stretch/>
      </xdr:blipFill>
      <xdr:spPr>
        <a:xfrm>
          <a:off x="300240" y="311400"/>
          <a:ext cx="1082880" cy="3326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B2:J24"/>
  <sheetViews>
    <sheetView showFormulas="false" showGridLines="true" showRowColHeaders="true" showZeros="true" rightToLeft="false" tabSelected="true" showOutlineSymbols="true" defaultGridColor="true" view="normal" topLeftCell="C3" colorId="64" zoomScale="113" zoomScaleNormal="113" zoomScalePageLayoutView="100" workbookViewId="0">
      <selection pane="topLeft" activeCell="E6" activeCellId="0" sqref="E6"/>
    </sheetView>
  </sheetViews>
  <sheetFormatPr defaultColWidth="8.8203125" defaultRowHeight="15.75" zeroHeight="false" outlineLevelRow="0" outlineLevelCol="0"/>
  <cols>
    <col collapsed="false" customWidth="true" hidden="false" outlineLevel="0" max="1" min="1" style="1" width="2.73"/>
    <col collapsed="false" customWidth="true" hidden="false" outlineLevel="0" max="2" min="2" style="1" width="4.45"/>
    <col collapsed="false" customWidth="true" hidden="false" outlineLevel="0" max="3" min="3" style="1" width="24.36"/>
    <col collapsed="false" customWidth="true" hidden="false" outlineLevel="0" max="4" min="4" style="1" width="15.54"/>
    <col collapsed="false" customWidth="false" hidden="false" outlineLevel="0" max="9" min="5" style="1" width="8.82"/>
    <col collapsed="false" customWidth="true" hidden="false" outlineLevel="0" max="10" min="10" style="1" width="9.91"/>
    <col collapsed="false" customWidth="false" hidden="false" outlineLevel="0" max="16384" min="11" style="1" width="8.82"/>
  </cols>
  <sheetData>
    <row r="2" customFormat="false" ht="19.5" hidden="false" customHeight="true" outlineLevel="0" collapsed="false">
      <c r="B2" s="2"/>
    </row>
    <row r="3" customFormat="false" ht="19.5" hidden="false" customHeight="true" outlineLevel="0" collapsed="false">
      <c r="B3" s="2"/>
    </row>
    <row r="4" s="3" customFormat="true" ht="19.5" hidden="false" customHeight="true" outlineLevel="0" collapsed="false">
      <c r="B4" s="4" t="s">
        <v>0</v>
      </c>
    </row>
    <row r="6" customFormat="false" ht="15.75" hidden="false" customHeight="false" outlineLevel="0" collapsed="false">
      <c r="I6" s="5" t="s">
        <v>1</v>
      </c>
      <c r="J6" s="6" t="n">
        <v>2026</v>
      </c>
    </row>
    <row r="7" s="7" customFormat="true" ht="13.5" hidden="false" customHeight="true" outlineLevel="0" collapsed="false"/>
    <row r="8" s="7" customFormat="true" ht="13.5" hidden="false" customHeight="true" outlineLevel="0" collapsed="false">
      <c r="C8" s="8" t="s">
        <v>2</v>
      </c>
    </row>
    <row r="9" s="7" customFormat="true" ht="13.5" hidden="false" customHeight="true" outlineLevel="0" collapsed="false">
      <c r="B9" s="9" t="s">
        <v>3</v>
      </c>
      <c r="C9" s="9"/>
      <c r="D9" s="10"/>
      <c r="E9" s="10"/>
      <c r="F9" s="10"/>
      <c r="G9" s="10"/>
      <c r="H9" s="10"/>
      <c r="I9" s="10"/>
      <c r="J9" s="10"/>
    </row>
    <row r="10" s="7" customFormat="true" ht="6.75" hidden="false" customHeight="true" outlineLevel="0" collapsed="false">
      <c r="C10" s="11"/>
      <c r="D10" s="12"/>
      <c r="E10" s="12"/>
      <c r="F10" s="12"/>
      <c r="G10" s="12"/>
      <c r="H10" s="12"/>
      <c r="I10" s="12"/>
      <c r="J10" s="13"/>
    </row>
    <row r="11" s="14" customFormat="true" ht="15.75" hidden="false" customHeight="true" outlineLevel="0" collapsed="false">
      <c r="C11" s="15" t="s">
        <v>4</v>
      </c>
      <c r="D11" s="16" t="s">
        <v>5</v>
      </c>
      <c r="E11" s="17" t="s">
        <v>6</v>
      </c>
      <c r="F11" s="17"/>
      <c r="G11" s="17"/>
      <c r="H11" s="17"/>
      <c r="I11" s="17"/>
      <c r="J11" s="17"/>
    </row>
    <row r="12" s="14" customFormat="true" ht="13.5" hidden="false" customHeight="true" outlineLevel="0" collapsed="false">
      <c r="C12" s="15"/>
      <c r="D12" s="16"/>
      <c r="E12" s="17"/>
      <c r="F12" s="17"/>
      <c r="G12" s="17"/>
      <c r="H12" s="17"/>
      <c r="I12" s="17"/>
      <c r="J12" s="17"/>
    </row>
    <row r="13" s="14" customFormat="true" ht="36" hidden="false" customHeight="true" outlineLevel="0" collapsed="false">
      <c r="C13" s="18" t="s">
        <v>7</v>
      </c>
      <c r="D13" s="18"/>
      <c r="E13" s="18"/>
      <c r="F13" s="18"/>
      <c r="G13" s="18"/>
      <c r="H13" s="18"/>
      <c r="I13" s="18"/>
      <c r="J13" s="18"/>
    </row>
    <row r="14" s="7" customFormat="true" ht="6.75" hidden="false" customHeight="true" outlineLevel="0" collapsed="false">
      <c r="C14" s="19"/>
      <c r="D14" s="20"/>
      <c r="E14" s="20"/>
      <c r="F14" s="20"/>
      <c r="G14" s="20"/>
      <c r="H14" s="20"/>
      <c r="I14" s="20"/>
      <c r="J14" s="21"/>
    </row>
    <row r="15" s="7" customFormat="true" ht="13.5" hidden="false" customHeight="true" outlineLevel="0" collapsed="false"/>
    <row r="16" s="7" customFormat="true" ht="13.5" hidden="false" customHeight="true" outlineLevel="0" collapsed="false">
      <c r="B16" s="22" t="s">
        <v>8</v>
      </c>
    </row>
    <row r="17" s="7" customFormat="true" ht="13.5" hidden="false" customHeight="true" outlineLevel="0" collapsed="false">
      <c r="B17" s="23" t="s">
        <v>9</v>
      </c>
      <c r="D17" s="24" t="s">
        <v>10</v>
      </c>
    </row>
    <row r="18" s="7" customFormat="true" ht="13.5" hidden="false" customHeight="true" outlineLevel="0" collapsed="false">
      <c r="B18" s="23" t="s">
        <v>11</v>
      </c>
      <c r="D18" s="24" t="s">
        <v>12</v>
      </c>
    </row>
    <row r="19" s="7" customFormat="true" ht="13.5" hidden="false" customHeight="true" outlineLevel="0" collapsed="false">
      <c r="B19" s="23" t="s">
        <v>13</v>
      </c>
      <c r="D19" s="24" t="s">
        <v>14</v>
      </c>
    </row>
    <row r="20" s="7" customFormat="true" ht="13.5" hidden="false" customHeight="true" outlineLevel="0" collapsed="false">
      <c r="B20" s="23" t="s">
        <v>15</v>
      </c>
      <c r="D20" s="24" t="s">
        <v>16</v>
      </c>
    </row>
    <row r="21" s="7" customFormat="true" ht="13.5" hidden="false" customHeight="true" outlineLevel="0" collapsed="false">
      <c r="B21" s="23" t="s">
        <v>17</v>
      </c>
      <c r="D21" s="24" t="s">
        <v>18</v>
      </c>
    </row>
    <row r="22" s="7" customFormat="true" ht="13.5" hidden="false" customHeight="true" outlineLevel="0" collapsed="false">
      <c r="B22" s="23" t="s">
        <v>19</v>
      </c>
      <c r="D22" s="24" t="s">
        <v>20</v>
      </c>
    </row>
    <row r="23" customFormat="false" ht="15.75" hidden="false" customHeight="false" outlineLevel="0" collapsed="false">
      <c r="B23" s="23" t="s">
        <v>21</v>
      </c>
      <c r="D23" s="24" t="s">
        <v>22</v>
      </c>
    </row>
    <row r="24" customFormat="false" ht="15.75" hidden="false" customHeight="false" outlineLevel="0" collapsed="false">
      <c r="B24" s="23" t="s">
        <v>23</v>
      </c>
      <c r="D24" s="24" t="s">
        <v>24</v>
      </c>
    </row>
  </sheetData>
  <mergeCells count="4">
    <mergeCell ref="C11:C12"/>
    <mergeCell ref="D11:D12"/>
    <mergeCell ref="E11:J12"/>
    <mergeCell ref="C13:J1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AADC"/>
    <pageSetUpPr fitToPage="false"/>
  </sheetPr>
  <dimension ref="A1:I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2" activeCellId="0" sqref="I12"/>
    </sheetView>
  </sheetViews>
  <sheetFormatPr defaultColWidth="8.73046875" defaultRowHeight="15.75" zeroHeight="false" outlineLevelRow="0" outlineLevelCol="0"/>
  <cols>
    <col collapsed="false" customWidth="true" hidden="false" outlineLevel="0" max="1" min="1" style="25" width="19.91"/>
    <col collapsed="false" customWidth="true" hidden="false" outlineLevel="0" max="2" min="2" style="25" width="15.27"/>
    <col collapsed="false" customWidth="true" hidden="false" outlineLevel="0" max="3" min="3" style="25" width="9.91"/>
    <col collapsed="false" customWidth="true" hidden="false" outlineLevel="0" max="4" min="4" style="25" width="18.82"/>
    <col collapsed="false" customWidth="false" hidden="false" outlineLevel="0" max="6" min="5" style="25" width="8.73"/>
    <col collapsed="false" customWidth="true" hidden="true" outlineLevel="0" max="7" min="7" style="25" width="11.91"/>
    <col collapsed="false" customWidth="true" hidden="true" outlineLevel="0" max="8" min="8" style="25" width="15.36"/>
    <col collapsed="false" customWidth="false" hidden="false" outlineLevel="0" max="16384" min="9" style="25" width="8.73"/>
  </cols>
  <sheetData>
    <row r="1" customFormat="false" ht="27.75" hidden="false" customHeight="true" outlineLevel="0" collapsed="false">
      <c r="A1" s="26" t="s">
        <v>25</v>
      </c>
      <c r="B1" s="27"/>
      <c r="C1" s="27"/>
      <c r="D1" s="27"/>
      <c r="E1" s="28"/>
      <c r="F1" s="28"/>
      <c r="G1" s="28"/>
    </row>
    <row r="3" customFormat="false" ht="33" hidden="false" customHeight="true" outlineLevel="0" collapsed="false">
      <c r="A3" s="29"/>
      <c r="B3" s="29" t="s">
        <v>26</v>
      </c>
      <c r="C3" s="29" t="s">
        <v>27</v>
      </c>
      <c r="D3" s="29" t="s">
        <v>28</v>
      </c>
      <c r="E3" s="29" t="s">
        <v>29</v>
      </c>
      <c r="F3" s="30" t="s">
        <v>30</v>
      </c>
      <c r="G3" s="29" t="s">
        <v>31</v>
      </c>
      <c r="H3" s="31" t="s">
        <v>32</v>
      </c>
    </row>
    <row r="4" customFormat="false" ht="16.5" hidden="false" customHeight="true" outlineLevel="0" collapsed="false">
      <c r="A4" s="32"/>
      <c r="C4" s="33"/>
      <c r="D4" s="34" t="n">
        <f aca="false">SUM(D5:D7)</f>
        <v>24090000</v>
      </c>
      <c r="F4" s="35" t="n">
        <f aca="false">'Cash Flow Statement'!E4+1</f>
        <v>2026</v>
      </c>
    </row>
    <row r="5" customFormat="false" ht="15.75" hidden="true" customHeight="false" outlineLevel="0" collapsed="false">
      <c r="A5" s="25" t="s">
        <v>33</v>
      </c>
      <c r="B5" s="36" t="n">
        <v>30550000</v>
      </c>
      <c r="C5" s="36" t="n">
        <v>0</v>
      </c>
      <c r="D5" s="37" t="n">
        <f aca="false">B5*C5</f>
        <v>0</v>
      </c>
      <c r="E5" s="38" t="n">
        <v>10</v>
      </c>
      <c r="F5" s="35"/>
      <c r="G5" s="25" t="n">
        <v>8</v>
      </c>
    </row>
    <row r="6" customFormat="false" ht="18.75" hidden="false" customHeight="true" outlineLevel="0" collapsed="false">
      <c r="A6" s="25" t="s">
        <v>34</v>
      </c>
      <c r="B6" s="36" t="n">
        <v>3600000</v>
      </c>
      <c r="C6" s="36" t="n">
        <v>5</v>
      </c>
      <c r="D6" s="37" t="n">
        <f aca="false">B6*C6</f>
        <v>18000000</v>
      </c>
      <c r="E6" s="38" t="n">
        <v>11</v>
      </c>
      <c r="F6" s="35"/>
      <c r="G6" s="25" t="n">
        <v>5</v>
      </c>
    </row>
    <row r="7" customFormat="false" ht="18.75" hidden="false" customHeight="true" outlineLevel="0" collapsed="false">
      <c r="A7" s="39" t="s">
        <v>35</v>
      </c>
      <c r="B7" s="40" t="n">
        <v>1218000</v>
      </c>
      <c r="C7" s="40" t="n">
        <v>5</v>
      </c>
      <c r="D7" s="41" t="n">
        <f aca="false">B7*C7</f>
        <v>6090000</v>
      </c>
      <c r="E7" s="42" t="n">
        <v>11</v>
      </c>
      <c r="F7" s="35"/>
      <c r="G7" s="39" t="n">
        <v>5</v>
      </c>
    </row>
    <row r="8" customFormat="false" ht="18.75" hidden="false" customHeight="true" outlineLevel="0" collapsed="false">
      <c r="A8" s="43"/>
      <c r="B8" s="44"/>
      <c r="C8" s="43"/>
      <c r="D8" s="45" t="n">
        <f aca="false">SUM(D9:D10)</f>
        <v>77100000</v>
      </c>
      <c r="E8" s="43"/>
      <c r="F8" s="46" t="n">
        <f aca="false">F4+1</f>
        <v>2027</v>
      </c>
      <c r="G8" s="43"/>
    </row>
    <row r="9" customFormat="false" ht="18.75" hidden="false" customHeight="true" outlineLevel="0" collapsed="false">
      <c r="A9" s="43" t="s">
        <v>33</v>
      </c>
      <c r="B9" s="47" t="n">
        <v>30550000</v>
      </c>
      <c r="C9" s="47" t="n">
        <v>2</v>
      </c>
      <c r="D9" s="48" t="n">
        <f aca="false">B9*C9</f>
        <v>61100000</v>
      </c>
      <c r="E9" s="49" t="n">
        <v>10</v>
      </c>
      <c r="F9" s="46"/>
      <c r="G9" s="43" t="n">
        <v>7</v>
      </c>
    </row>
    <row r="10" customFormat="false" ht="18.75" hidden="false" customHeight="true" outlineLevel="0" collapsed="false">
      <c r="A10" s="50" t="s">
        <v>36</v>
      </c>
      <c r="B10" s="51" t="n">
        <v>4000000</v>
      </c>
      <c r="C10" s="51" t="n">
        <v>4</v>
      </c>
      <c r="D10" s="52" t="n">
        <f aca="false">B10*C10</f>
        <v>16000000</v>
      </c>
      <c r="E10" s="53" t="n">
        <v>5</v>
      </c>
      <c r="F10" s="46"/>
      <c r="G10" s="50" t="n">
        <v>7</v>
      </c>
    </row>
    <row r="11" customFormat="false" ht="18.75" hidden="false" customHeight="true" outlineLevel="0" collapsed="false">
      <c r="B11" s="36"/>
      <c r="C11" s="36"/>
      <c r="D11" s="54" t="n">
        <f aca="false">SUM(D12)</f>
        <v>22640000</v>
      </c>
      <c r="E11" s="38"/>
      <c r="F11" s="55" t="n">
        <f aca="false">F8+1</f>
        <v>2028</v>
      </c>
      <c r="I11" s="25" t="s">
        <v>37</v>
      </c>
    </row>
    <row r="12" customFormat="false" ht="18.75" hidden="false" customHeight="true" outlineLevel="0" collapsed="false">
      <c r="A12" s="39" t="s">
        <v>34</v>
      </c>
      <c r="B12" s="40" t="n">
        <v>5660000</v>
      </c>
      <c r="C12" s="40" t="n">
        <v>4</v>
      </c>
      <c r="D12" s="41" t="n">
        <f aca="false">B12*C12</f>
        <v>22640000</v>
      </c>
      <c r="E12" s="42" t="n">
        <v>9</v>
      </c>
      <c r="F12" s="55"/>
      <c r="G12" s="39" t="n">
        <v>5</v>
      </c>
      <c r="I12" s="25" t="s">
        <v>38</v>
      </c>
    </row>
    <row r="13" customFormat="false" ht="18.75" hidden="false" customHeight="true" outlineLevel="0" collapsed="false">
      <c r="A13" s="43"/>
      <c r="B13" s="47"/>
      <c r="C13" s="47"/>
      <c r="D13" s="56" t="n">
        <f aca="false">SUM(D14)</f>
        <v>35220000</v>
      </c>
      <c r="E13" s="49"/>
      <c r="F13" s="46" t="n">
        <f aca="false">F11+1</f>
        <v>2029</v>
      </c>
      <c r="G13" s="43"/>
    </row>
    <row r="14" customFormat="false" ht="18.75" hidden="false" customHeight="true" outlineLevel="0" collapsed="false">
      <c r="A14" s="50" t="s">
        <v>34</v>
      </c>
      <c r="B14" s="51" t="n">
        <v>5870000</v>
      </c>
      <c r="C14" s="51" t="n">
        <v>6</v>
      </c>
      <c r="D14" s="52" t="n">
        <f aca="false">B14*C14</f>
        <v>35220000</v>
      </c>
      <c r="E14" s="53" t="n">
        <v>4</v>
      </c>
      <c r="F14" s="46"/>
      <c r="G14" s="50" t="n">
        <v>8</v>
      </c>
    </row>
    <row r="15" customFormat="false" ht="18.75" hidden="false" customHeight="true" outlineLevel="0" collapsed="false">
      <c r="B15" s="36"/>
      <c r="C15" s="36"/>
      <c r="D15" s="54" t="n">
        <f aca="false">SUM(D16:D17)</f>
        <v>32460000</v>
      </c>
      <c r="E15" s="38"/>
      <c r="F15" s="57" t="n">
        <f aca="false">F13+1</f>
        <v>2030</v>
      </c>
    </row>
    <row r="16" customFormat="false" ht="16.5" hidden="false" customHeight="true" outlineLevel="0" collapsed="false">
      <c r="A16" s="58" t="s">
        <v>39</v>
      </c>
      <c r="B16" s="59" t="n">
        <v>8115000</v>
      </c>
      <c r="C16" s="59" t="n">
        <v>4</v>
      </c>
      <c r="D16" s="60" t="n">
        <f aca="false">B16*C16</f>
        <v>32460000</v>
      </c>
      <c r="E16" s="61" t="n">
        <v>1</v>
      </c>
      <c r="F16" s="57"/>
      <c r="G16" s="58" t="n">
        <v>6</v>
      </c>
    </row>
    <row r="17" customFormat="false" ht="16.5" hidden="false" customHeight="true" outlineLevel="0" collapsed="false">
      <c r="B17" s="62"/>
      <c r="C17" s="36"/>
      <c r="D17" s="36"/>
      <c r="E17" s="38"/>
      <c r="F17" s="38"/>
    </row>
    <row r="18" customFormat="false" ht="15.75" hidden="false" customHeight="false" outlineLevel="0" collapsed="false">
      <c r="A18" s="63"/>
      <c r="B18" s="63"/>
      <c r="C18" s="63"/>
      <c r="D18" s="64"/>
      <c r="E18" s="38"/>
      <c r="F18" s="38"/>
    </row>
    <row r="19" customFormat="false" ht="15.75" hidden="false" customHeight="false" outlineLevel="0" collapsed="false">
      <c r="B19" s="62"/>
      <c r="C19" s="36"/>
      <c r="D19" s="62"/>
      <c r="E19" s="38"/>
      <c r="F19" s="38"/>
    </row>
    <row r="20" customFormat="false" ht="15.75" hidden="false" customHeight="false" outlineLevel="0" collapsed="false">
      <c r="B20" s="65"/>
      <c r="C20" s="36"/>
      <c r="D20" s="62"/>
      <c r="E20" s="38"/>
      <c r="F20" s="38"/>
    </row>
    <row r="21" customFormat="false" ht="15.75" hidden="false" customHeight="false" outlineLevel="0" collapsed="false">
      <c r="B21" s="62"/>
      <c r="C21" s="36"/>
      <c r="D21" s="62"/>
      <c r="E21" s="38"/>
      <c r="F21" s="38"/>
    </row>
    <row r="22" customFormat="false" ht="15.75" hidden="false" customHeight="false" outlineLevel="0" collapsed="false">
      <c r="B22" s="62"/>
      <c r="C22" s="36"/>
      <c r="D22" s="62"/>
      <c r="E22" s="38"/>
      <c r="F22" s="38"/>
    </row>
    <row r="23" customFormat="false" ht="15.75" hidden="false" customHeight="false" outlineLevel="0" collapsed="false">
      <c r="B23" s="62"/>
      <c r="C23" s="36"/>
      <c r="D23" s="62"/>
      <c r="E23" s="38"/>
      <c r="F23" s="38"/>
    </row>
    <row r="24" customFormat="false" ht="15.75" hidden="false" customHeight="false" outlineLevel="0" collapsed="false">
      <c r="B24" s="62"/>
      <c r="C24" s="36"/>
      <c r="D24" s="62"/>
    </row>
    <row r="25" customFormat="false" ht="15.75" hidden="false" customHeight="false" outlineLevel="0" collapsed="false">
      <c r="B25" s="62"/>
      <c r="C25" s="36"/>
      <c r="D25" s="62"/>
    </row>
    <row r="26" customFormat="false" ht="15.75" hidden="false" customHeight="false" outlineLevel="0" collapsed="false">
      <c r="B26" s="62"/>
      <c r="C26" s="36"/>
      <c r="D26" s="62"/>
    </row>
    <row r="27" customFormat="false" ht="15.75" hidden="false" customHeight="false" outlineLevel="0" collapsed="false">
      <c r="B27" s="62"/>
      <c r="C27" s="36"/>
      <c r="D27" s="62"/>
    </row>
    <row r="28" customFormat="false" ht="15.75" hidden="false" customHeight="false" outlineLevel="0" collapsed="false">
      <c r="B28" s="62"/>
      <c r="C28" s="36"/>
      <c r="D28" s="62"/>
    </row>
    <row r="29" customFormat="false" ht="15.75" hidden="false" customHeight="false" outlineLevel="0" collapsed="false">
      <c r="B29" s="62"/>
      <c r="C29" s="36"/>
      <c r="D29" s="62"/>
    </row>
    <row r="30" customFormat="false" ht="15.75" hidden="false" customHeight="false" outlineLevel="0" collapsed="false">
      <c r="B30" s="62"/>
      <c r="C30" s="36"/>
      <c r="D30" s="62"/>
    </row>
    <row r="31" customFormat="false" ht="15.75" hidden="false" customHeight="false" outlineLevel="0" collapsed="false">
      <c r="B31" s="62"/>
      <c r="C31" s="36"/>
      <c r="D31" s="62"/>
    </row>
    <row r="32" customFormat="false" ht="15.75" hidden="false" customHeight="false" outlineLevel="0" collapsed="false">
      <c r="B32" s="62"/>
      <c r="C32" s="36"/>
      <c r="D32" s="62"/>
    </row>
    <row r="33" customFormat="false" ht="15.75" hidden="false" customHeight="false" outlineLevel="0" collapsed="false">
      <c r="B33" s="62"/>
      <c r="C33" s="36"/>
      <c r="D33" s="62"/>
    </row>
    <row r="34" customFormat="false" ht="15.75" hidden="false" customHeight="false" outlineLevel="0" collapsed="false">
      <c r="B34" s="62"/>
      <c r="C34" s="36"/>
      <c r="D34" s="62"/>
    </row>
    <row r="35" customFormat="false" ht="15.75" hidden="false" customHeight="false" outlineLevel="0" collapsed="false">
      <c r="B35" s="62"/>
      <c r="C35" s="36"/>
      <c r="D35" s="62"/>
    </row>
    <row r="36" customFormat="false" ht="15.75" hidden="false" customHeight="false" outlineLevel="0" collapsed="false">
      <c r="B36" s="62"/>
      <c r="C36" s="36"/>
      <c r="D36" s="62"/>
    </row>
    <row r="37" customFormat="false" ht="15.75" hidden="false" customHeight="false" outlineLevel="0" collapsed="false">
      <c r="B37" s="62"/>
      <c r="C37" s="62"/>
      <c r="D37" s="62"/>
    </row>
    <row r="38" customFormat="false" ht="15.75" hidden="false" customHeight="false" outlineLevel="0" collapsed="false">
      <c r="B38" s="62"/>
      <c r="C38" s="62"/>
      <c r="D38" s="62"/>
    </row>
    <row r="39" customFormat="false" ht="15.75" hidden="false" customHeight="false" outlineLevel="0" collapsed="false">
      <c r="B39" s="62"/>
      <c r="C39" s="62"/>
      <c r="D39" s="62"/>
    </row>
    <row r="40" customFormat="false" ht="15.75" hidden="false" customHeight="false" outlineLevel="0" collapsed="false">
      <c r="B40" s="62"/>
      <c r="C40" s="62"/>
      <c r="D40" s="62"/>
    </row>
    <row r="41" customFormat="false" ht="15.75" hidden="false" customHeight="false" outlineLevel="0" collapsed="false">
      <c r="B41" s="62"/>
      <c r="C41" s="62"/>
      <c r="D41" s="62"/>
    </row>
    <row r="42" customFormat="false" ht="15.75" hidden="false" customHeight="false" outlineLevel="0" collapsed="false">
      <c r="B42" s="62"/>
      <c r="C42" s="62"/>
      <c r="D42" s="62"/>
    </row>
    <row r="43" customFormat="false" ht="15.75" hidden="false" customHeight="false" outlineLevel="0" collapsed="false">
      <c r="B43" s="62"/>
      <c r="C43" s="62"/>
      <c r="D43" s="62"/>
    </row>
    <row r="44" customFormat="false" ht="15.75" hidden="false" customHeight="false" outlineLevel="0" collapsed="false">
      <c r="B44" s="62"/>
      <c r="C44" s="62"/>
      <c r="D44" s="62"/>
    </row>
    <row r="45" customFormat="false" ht="15.75" hidden="false" customHeight="false" outlineLevel="0" collapsed="false">
      <c r="B45" s="62"/>
      <c r="C45" s="62"/>
      <c r="D45" s="62"/>
    </row>
  </sheetData>
  <mergeCells count="6">
    <mergeCell ref="F4:F7"/>
    <mergeCell ref="F8:F10"/>
    <mergeCell ref="F11:F12"/>
    <mergeCell ref="F13:F14"/>
    <mergeCell ref="F15:F16"/>
    <mergeCell ref="A18:C1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87"/>
    <pageSetUpPr fitToPage="false"/>
  </sheetPr>
  <dimension ref="A1:P994"/>
  <sheetViews>
    <sheetView showFormulas="false" showGridLines="false" showRowColHeaders="true" showZeros="true" rightToLeft="false" tabSelected="false" showOutlineSymbols="true" defaultGridColor="true" view="normal" topLeftCell="A1" colorId="64" zoomScale="143" zoomScaleNormal="143" zoomScalePageLayoutView="100" workbookViewId="0">
      <pane xSplit="0" ySplit="4" topLeftCell="A69" activePane="bottomLeft" state="frozen"/>
      <selection pane="topLeft" activeCell="A1" activeCellId="0" sqref="A1"/>
      <selection pane="bottomLeft" activeCell="B82" activeCellId="0" sqref="B82"/>
    </sheetView>
  </sheetViews>
  <sheetFormatPr defaultColWidth="11.18359375" defaultRowHeight="15" zeroHeight="false" outlineLevelRow="0" outlineLevelCol="0"/>
  <cols>
    <col collapsed="false" customWidth="true" hidden="false" outlineLevel="0" max="1" min="1" style="66" width="58.09"/>
    <col collapsed="false" customWidth="true" hidden="false" outlineLevel="0" max="2" min="2" style="66" width="16.45"/>
    <col collapsed="false" customWidth="true" hidden="false" outlineLevel="0" max="3" min="3" style="66" width="15.82"/>
    <col collapsed="false" customWidth="true" hidden="false" outlineLevel="0" max="4" min="4" style="66" width="16.82"/>
    <col collapsed="false" customWidth="true" hidden="true" outlineLevel="0" max="5" min="5" style="67" width="14.09"/>
    <col collapsed="false" customWidth="true" hidden="true" outlineLevel="0" max="13" min="6" style="66" width="10.82"/>
    <col collapsed="false" customWidth="true" hidden="true" outlineLevel="0" max="14" min="14" style="66" width="10.36"/>
    <col collapsed="false" customWidth="true" hidden="false" outlineLevel="0" max="26" min="15" style="66" width="11.45"/>
    <col collapsed="false" customWidth="false" hidden="false" outlineLevel="0" max="16384" min="27" style="66" width="11.18"/>
  </cols>
  <sheetData>
    <row r="1" customFormat="false" ht="27.75" hidden="false" customHeight="true" outlineLevel="0" collapsed="false">
      <c r="A1" s="68" t="s">
        <v>40</v>
      </c>
      <c r="B1" s="69"/>
      <c r="C1" s="70"/>
      <c r="D1" s="70"/>
      <c r="E1" s="71"/>
      <c r="F1" s="72"/>
      <c r="G1" s="72"/>
      <c r="H1" s="72"/>
      <c r="I1" s="72"/>
      <c r="J1" s="72"/>
      <c r="K1" s="72"/>
      <c r="L1" s="72"/>
      <c r="M1" s="72"/>
    </row>
    <row r="2" s="75" customFormat="true" ht="15.75" hidden="false" customHeight="true" outlineLevel="0" collapsed="false">
      <c r="A2" s="73"/>
      <c r="B2" s="73"/>
      <c r="C2" s="73"/>
      <c r="D2" s="73"/>
      <c r="E2" s="74"/>
      <c r="F2" s="73"/>
      <c r="G2" s="73"/>
      <c r="H2" s="73"/>
      <c r="I2" s="73"/>
      <c r="J2" s="73"/>
      <c r="K2" s="73"/>
      <c r="L2" s="73"/>
      <c r="M2" s="73"/>
      <c r="N2" s="73"/>
      <c r="O2" s="73"/>
      <c r="P2" s="73"/>
    </row>
    <row r="3" s="75" customFormat="true" ht="15.75" hidden="false" customHeight="true" outlineLevel="0" collapsed="false">
      <c r="A3" s="76"/>
      <c r="B3" s="77"/>
      <c r="C3" s="77"/>
      <c r="D3" s="78" t="s">
        <v>41</v>
      </c>
      <c r="E3" s="79"/>
      <c r="F3" s="77"/>
      <c r="G3" s="77"/>
      <c r="H3" s="77"/>
      <c r="I3" s="77"/>
      <c r="J3" s="77"/>
      <c r="K3" s="77"/>
      <c r="L3" s="77"/>
      <c r="M3" s="77"/>
      <c r="N3" s="77"/>
    </row>
    <row r="4" s="75" customFormat="true" ht="15.75" hidden="false" customHeight="true" outlineLevel="0" collapsed="false">
      <c r="A4" s="76"/>
      <c r="B4" s="80" t="n">
        <f aca="false">'Hướng dẫn'!J6-3</f>
        <v>2023</v>
      </c>
      <c r="C4" s="80" t="n">
        <f aca="false">B4+1</f>
        <v>2024</v>
      </c>
      <c r="D4" s="80" t="n">
        <f aca="false">C4+1</f>
        <v>2025</v>
      </c>
      <c r="E4" s="81" t="n">
        <f aca="false">D4+1</f>
        <v>2026</v>
      </c>
      <c r="F4" s="82" t="n">
        <f aca="false">E4+1</f>
        <v>2027</v>
      </c>
      <c r="G4" s="82" t="n">
        <f aca="false">F4+1</f>
        <v>2028</v>
      </c>
      <c r="H4" s="82" t="n">
        <f aca="false">G4+1</f>
        <v>2029</v>
      </c>
      <c r="I4" s="82" t="n">
        <f aca="false">H4+1</f>
        <v>2030</v>
      </c>
      <c r="J4" s="83" t="s">
        <v>42</v>
      </c>
      <c r="K4" s="84"/>
      <c r="L4" s="84"/>
      <c r="M4" s="84"/>
      <c r="N4" s="85"/>
    </row>
    <row r="5" s="75" customFormat="true" ht="15.75" hidden="false" customHeight="true" outlineLevel="0" collapsed="false">
      <c r="A5" s="86" t="s">
        <v>43</v>
      </c>
      <c r="B5" s="74"/>
      <c r="C5" s="74"/>
      <c r="D5" s="74"/>
      <c r="E5" s="74"/>
      <c r="F5" s="73"/>
      <c r="G5" s="73"/>
      <c r="H5" s="73"/>
      <c r="I5" s="73"/>
      <c r="J5" s="73"/>
      <c r="K5" s="73"/>
      <c r="L5" s="73"/>
      <c r="M5" s="73"/>
      <c r="N5" s="73"/>
    </row>
    <row r="6" s="75" customFormat="true" ht="15.75" hidden="false" customHeight="true" outlineLevel="0" collapsed="false">
      <c r="A6" s="87" t="s">
        <v>44</v>
      </c>
      <c r="B6" s="88" t="n">
        <v>15055000</v>
      </c>
      <c r="C6" s="88" t="n">
        <v>24088000</v>
      </c>
      <c r="D6" s="88" t="n">
        <v>38059040</v>
      </c>
      <c r="E6" s="89" t="n">
        <f aca="false">Drivers!F14</f>
        <v>51242691.456</v>
      </c>
      <c r="F6" s="90" t="n">
        <f aca="false">Drivers!G14</f>
        <v>63766405.2478464</v>
      </c>
      <c r="G6" s="90" t="n">
        <f aca="false">Drivers!H14</f>
        <v>87806340.0262845</v>
      </c>
      <c r="H6" s="90" t="n">
        <f aca="false">Drivers!I14</f>
        <v>111953083.533513</v>
      </c>
      <c r="I6" s="90" t="n">
        <f aca="false">Drivers!J14</f>
        <v>133604809.888894</v>
      </c>
      <c r="J6" s="91"/>
      <c r="K6" s="91"/>
      <c r="L6" s="91"/>
      <c r="M6" s="91"/>
      <c r="N6" s="92"/>
    </row>
    <row r="7" s="75" customFormat="true" ht="15.75" hidden="false" customHeight="true" outlineLevel="0" collapsed="false">
      <c r="A7" s="87" t="s">
        <v>45</v>
      </c>
      <c r="B7" s="88" t="n">
        <v>3020000</v>
      </c>
      <c r="C7" s="88" t="n">
        <v>4228000</v>
      </c>
      <c r="D7" s="88" t="n">
        <v>5898060</v>
      </c>
      <c r="E7" s="89" t="n">
        <f aca="false">Drivers!F21</f>
        <v>7339545.864</v>
      </c>
      <c r="F7" s="90" t="n">
        <f aca="false">Drivers!G21</f>
        <v>8833877.4019104</v>
      </c>
      <c r="G7" s="90" t="n">
        <f aca="false">Drivers!H21</f>
        <v>11533510.3359342</v>
      </c>
      <c r="H7" s="90" t="n">
        <f aca="false">Drivers!I21</f>
        <v>14117016.6511835</v>
      </c>
      <c r="I7" s="90" t="n">
        <f aca="false">Drivers!J21</f>
        <v>16559260.5318382</v>
      </c>
      <c r="J7" s="91"/>
      <c r="K7" s="91"/>
      <c r="L7" s="91"/>
      <c r="M7" s="91"/>
      <c r="N7" s="92"/>
    </row>
    <row r="8" s="75" customFormat="true" ht="15.75" hidden="false" customHeight="true" outlineLevel="0" collapsed="false">
      <c r="A8" s="87" t="s">
        <v>46</v>
      </c>
      <c r="B8" s="88" t="n">
        <v>1520000</v>
      </c>
      <c r="C8" s="88" t="n">
        <v>2280000</v>
      </c>
      <c r="D8" s="88" t="n">
        <v>2736000</v>
      </c>
      <c r="E8" s="89" t="n">
        <f aca="false">Drivers!F28</f>
        <v>3610152</v>
      </c>
      <c r="F8" s="90" t="n">
        <f aca="false">Drivers!G28</f>
        <v>4763595.564</v>
      </c>
      <c r="G8" s="90" t="n">
        <f aca="false">Drivers!H28</f>
        <v>6769069.296444</v>
      </c>
      <c r="H8" s="90" t="n">
        <f aca="false">Drivers!I28</f>
        <v>9069199.04337567</v>
      </c>
      <c r="I8" s="90" t="n">
        <f aca="false">Drivers!J28</f>
        <v>11506546.2862829</v>
      </c>
      <c r="J8" s="91"/>
      <c r="K8" s="91"/>
      <c r="L8" s="91"/>
      <c r="M8" s="91"/>
      <c r="N8" s="92"/>
    </row>
    <row r="9" s="75" customFormat="true" ht="15.75" hidden="false" customHeight="true" outlineLevel="0" collapsed="false">
      <c r="A9" s="87" t="s">
        <v>47</v>
      </c>
      <c r="B9" s="88" t="n">
        <v>0</v>
      </c>
      <c r="C9" s="88" t="n">
        <v>566000</v>
      </c>
      <c r="D9" s="88" t="n">
        <v>1188600</v>
      </c>
      <c r="E9" s="89" t="n">
        <f aca="false">Drivers!F35</f>
        <v>1930286.4</v>
      </c>
      <c r="F9" s="90" t="n">
        <f aca="false">Drivers!G35</f>
        <v>2938861.044</v>
      </c>
      <c r="G9" s="90" t="n">
        <f aca="false">Drivers!H35</f>
        <v>5071004.731422</v>
      </c>
      <c r="H9" s="90" t="n">
        <f aca="false">Drivers!I35</f>
        <v>7463251.21347033</v>
      </c>
      <c r="I9" s="90" t="n">
        <f aca="false">Drivers!J35</f>
        <v>9847759.97617409</v>
      </c>
      <c r="J9" s="91"/>
      <c r="K9" s="91"/>
      <c r="L9" s="91"/>
      <c r="M9" s="91"/>
      <c r="N9" s="92"/>
    </row>
    <row r="10" s="75" customFormat="true" ht="15.75" hidden="false" customHeight="true" outlineLevel="0" collapsed="false">
      <c r="A10" s="93"/>
      <c r="B10" s="94"/>
      <c r="C10" s="94"/>
      <c r="D10" s="94"/>
      <c r="E10" s="94"/>
      <c r="F10" s="91"/>
      <c r="G10" s="91"/>
      <c r="H10" s="91"/>
      <c r="I10" s="91"/>
      <c r="J10" s="91"/>
      <c r="K10" s="91"/>
      <c r="L10" s="91"/>
      <c r="M10" s="91"/>
      <c r="N10" s="92"/>
    </row>
    <row r="11" s="75" customFormat="true" ht="15.75" hidden="false" customHeight="true" outlineLevel="0" collapsed="false">
      <c r="A11" s="93" t="s">
        <v>48</v>
      </c>
      <c r="B11" s="88" t="n">
        <v>-156760</v>
      </c>
      <c r="C11" s="88" t="n">
        <v>-233715</v>
      </c>
      <c r="D11" s="88" t="n">
        <v>-335171.9</v>
      </c>
      <c r="E11" s="89" t="n">
        <f aca="false">-SUM(E6:E9)*Drivers!F38</f>
        <v>-448858.73004</v>
      </c>
      <c r="F11" s="90" t="n">
        <f aca="false">-SUM(F6:F9)*Drivers!G38</f>
        <v>-562119.174804298</v>
      </c>
      <c r="G11" s="90" t="n">
        <f aca="false">-SUM(G6:G9)*Drivers!H38</f>
        <v>-778259.470730593</v>
      </c>
      <c r="H11" s="90" t="n">
        <f aca="false">-SUM(H6:H9)*Drivers!I38</f>
        <v>-998217.853090796</v>
      </c>
      <c r="I11" s="90" t="n">
        <f aca="false">-SUM(I6:I9)*Drivers!J38</f>
        <v>-1200628.63678232</v>
      </c>
      <c r="J11" s="91"/>
      <c r="K11" s="91"/>
      <c r="L11" s="91"/>
      <c r="M11" s="91"/>
      <c r="N11" s="92"/>
    </row>
    <row r="12" s="75" customFormat="true" ht="15.75" hidden="false" customHeight="true" outlineLevel="0" collapsed="false">
      <c r="A12" s="95"/>
      <c r="B12" s="96"/>
      <c r="C12" s="96"/>
      <c r="D12" s="96"/>
      <c r="E12" s="96"/>
      <c r="F12" s="97"/>
      <c r="G12" s="97"/>
      <c r="H12" s="97"/>
      <c r="I12" s="97"/>
      <c r="J12" s="97"/>
      <c r="K12" s="97"/>
      <c r="L12" s="97"/>
      <c r="M12" s="97"/>
      <c r="N12" s="92"/>
    </row>
    <row r="13" s="75" customFormat="true" ht="15.75" hidden="false" customHeight="true" outlineLevel="0" collapsed="false">
      <c r="A13" s="98" t="s">
        <v>49</v>
      </c>
      <c r="B13" s="99" t="n">
        <v>19438240</v>
      </c>
      <c r="C13" s="99" t="n">
        <v>30928285</v>
      </c>
      <c r="D13" s="99" t="n">
        <v>47546528.1</v>
      </c>
      <c r="E13" s="100" t="n">
        <f aca="false">SUM(E6:E12)</f>
        <v>63673816.98996</v>
      </c>
      <c r="F13" s="101" t="n">
        <f aca="false">SUM(F6:F12)</f>
        <v>79740620.0829525</v>
      </c>
      <c r="G13" s="101" t="n">
        <f aca="false">SUM(G6:G12)</f>
        <v>110401664.919354</v>
      </c>
      <c r="H13" s="101" t="n">
        <f aca="false">SUM(H6:H12)</f>
        <v>141604332.588451</v>
      </c>
      <c r="I13" s="101" t="n">
        <f aca="false">SUM(I6:I12)</f>
        <v>170317748.046407</v>
      </c>
      <c r="J13" s="102"/>
      <c r="K13" s="102"/>
      <c r="L13" s="102"/>
      <c r="M13" s="102"/>
      <c r="N13" s="73"/>
      <c r="P13" s="103"/>
    </row>
    <row r="14" s="75" customFormat="true" ht="15.75" hidden="false" customHeight="true" outlineLevel="0" collapsed="false">
      <c r="A14" s="93"/>
      <c r="B14" s="96"/>
      <c r="C14" s="96"/>
      <c r="D14" s="96"/>
      <c r="E14" s="96"/>
      <c r="F14" s="97"/>
      <c r="G14" s="97"/>
      <c r="H14" s="97"/>
      <c r="I14" s="97"/>
      <c r="J14" s="97"/>
      <c r="K14" s="97"/>
      <c r="L14" s="97"/>
      <c r="M14" s="97"/>
      <c r="N14" s="73"/>
    </row>
    <row r="15" s="75" customFormat="true" ht="15.75" hidden="false" customHeight="true" outlineLevel="0" collapsed="false">
      <c r="A15" s="93" t="s">
        <v>50</v>
      </c>
      <c r="B15" s="96"/>
      <c r="C15" s="96"/>
      <c r="D15" s="96"/>
      <c r="E15" s="96"/>
      <c r="F15" s="97"/>
      <c r="G15" s="97"/>
      <c r="H15" s="97"/>
      <c r="I15" s="97"/>
      <c r="J15" s="97"/>
      <c r="K15" s="97"/>
      <c r="L15" s="97"/>
      <c r="M15" s="97"/>
      <c r="N15" s="92"/>
    </row>
    <row r="16" s="75" customFormat="true" ht="15.75" hidden="false" customHeight="true" outlineLevel="0" collapsed="false">
      <c r="A16" s="93" t="s">
        <v>51</v>
      </c>
      <c r="B16" s="88" t="n">
        <v>4956751.2</v>
      </c>
      <c r="C16" s="88" t="n">
        <v>7732071.25</v>
      </c>
      <c r="D16" s="88" t="n">
        <v>11648899.3845</v>
      </c>
      <c r="E16" s="89" t="n">
        <f aca="false">Drivers!F55</f>
        <v>15918454.24749</v>
      </c>
      <c r="F16" s="90" t="n">
        <f aca="false">Drivers!G55</f>
        <v>20333858.1211529</v>
      </c>
      <c r="G16" s="90" t="n">
        <f aca="false">Drivers!H55</f>
        <v>29808449.5282256</v>
      </c>
      <c r="H16" s="90" t="n">
        <f aca="false">Drivers!I55</f>
        <v>37525148.1359396</v>
      </c>
      <c r="I16" s="90" t="n">
        <f aca="false">Drivers!J55</f>
        <v>45985791.9725299</v>
      </c>
      <c r="J16" s="91"/>
      <c r="K16" s="91"/>
      <c r="L16" s="91"/>
      <c r="M16" s="91"/>
      <c r="N16" s="92"/>
    </row>
    <row r="17" s="75" customFormat="true" ht="15.75" hidden="false" customHeight="true" outlineLevel="0" collapsed="false">
      <c r="A17" s="95" t="s">
        <v>52</v>
      </c>
      <c r="B17" s="88" t="n">
        <v>1055000</v>
      </c>
      <c r="C17" s="88" t="n">
        <v>1160500</v>
      </c>
      <c r="D17" s="88" t="n">
        <v>1276550</v>
      </c>
      <c r="E17" s="89" t="n">
        <f aca="false">Drivers!F56</f>
        <v>1404205</v>
      </c>
      <c r="F17" s="89" t="n">
        <f aca="false">Drivers!G56</f>
        <v>1544625.5</v>
      </c>
      <c r="G17" s="89" t="n">
        <f aca="false">Drivers!H56</f>
        <v>2599088.05</v>
      </c>
      <c r="H17" s="89" t="n">
        <f aca="false">Drivers!I56</f>
        <v>2858996.855</v>
      </c>
      <c r="I17" s="89" t="n">
        <f aca="false">Drivers!J56</f>
        <v>3144896.5405</v>
      </c>
      <c r="J17" s="94"/>
      <c r="K17" s="94"/>
      <c r="L17" s="94"/>
      <c r="M17" s="94"/>
      <c r="N17" s="94"/>
    </row>
    <row r="18" s="107" customFormat="true" ht="15.75" hidden="false" customHeight="true" outlineLevel="0" collapsed="false">
      <c r="A18" s="104" t="s">
        <v>53</v>
      </c>
      <c r="B18" s="105" t="n">
        <f aca="false">Drivers!$C$167*B55</f>
        <v>4894400</v>
      </c>
      <c r="C18" s="105" t="n">
        <f aca="false">Drivers!$C$167*C55</f>
        <v>5383840</v>
      </c>
      <c r="D18" s="105" t="n">
        <f aca="false">Drivers!$C$167*D55</f>
        <v>7537376</v>
      </c>
      <c r="E18" s="100" t="n">
        <f aca="false">Drivers!$C$167*E55</f>
        <v>10028626.1759187</v>
      </c>
      <c r="F18" s="101" t="n">
        <f aca="false">Drivers!$C$167*F55</f>
        <v>12838239.8333554</v>
      </c>
      <c r="G18" s="101" t="n">
        <f aca="false">Drivers!$C$167*G55</f>
        <v>18161073.8792338</v>
      </c>
      <c r="H18" s="101" t="n">
        <f aca="false">Drivers!$C$167*H55</f>
        <v>22798297.5467407</v>
      </c>
      <c r="I18" s="101" t="n">
        <f aca="false">Drivers!$C$167*I55</f>
        <v>26825045.3173091</v>
      </c>
      <c r="J18" s="102"/>
      <c r="K18" s="102"/>
      <c r="L18" s="102"/>
      <c r="M18" s="102"/>
      <c r="N18" s="106"/>
    </row>
    <row r="19" s="75" customFormat="true" ht="15.75" hidden="false" customHeight="true" outlineLevel="0" collapsed="false">
      <c r="A19" s="108" t="s">
        <v>54</v>
      </c>
      <c r="B19" s="109" t="n">
        <f aca="false">Drivers!$C$168*B71</f>
        <v>1288980</v>
      </c>
      <c r="C19" s="109" t="n">
        <f aca="false">Drivers!$C$168*C71</f>
        <v>2137752</v>
      </c>
      <c r="D19" s="109" t="n">
        <f aca="false">Drivers!$C$168*D71</f>
        <v>2818756.8</v>
      </c>
      <c r="E19" s="109" t="n">
        <f aca="false">Drivers!$C$168*E71</f>
        <v>3367884.96</v>
      </c>
      <c r="F19" s="110" t="n">
        <f aca="false">Drivers!$C$168*F71</f>
        <v>4743239.40698314</v>
      </c>
      <c r="G19" s="110" t="n">
        <f aca="false">Drivers!$C$168*G71</f>
        <v>10341030.9368064</v>
      </c>
      <c r="H19" s="110" t="n">
        <f aca="false">Drivers!$C$168*H71</f>
        <v>11771836.5141612</v>
      </c>
      <c r="I19" s="110" t="n">
        <f aca="false">Drivers!$C$168*I71</f>
        <v>13301163.3061165</v>
      </c>
      <c r="J19" s="97"/>
      <c r="K19" s="97"/>
      <c r="L19" s="97"/>
      <c r="M19" s="97"/>
      <c r="N19" s="92"/>
    </row>
    <row r="20" s="75" customFormat="true" ht="15.75" hidden="false" customHeight="true" outlineLevel="0" collapsed="false">
      <c r="A20" s="111" t="s">
        <v>55</v>
      </c>
      <c r="B20" s="112" t="n">
        <f aca="false">SUM(B16:B19)</f>
        <v>12195131.2</v>
      </c>
      <c r="C20" s="112" t="n">
        <f aca="false">SUM(C16:C19)</f>
        <v>16414163.25</v>
      </c>
      <c r="D20" s="112" t="n">
        <f aca="false">SUM(D16:D19)</f>
        <v>23281582.1845</v>
      </c>
      <c r="E20" s="113" t="n">
        <f aca="false">SUM(E16:E19)</f>
        <v>30719170.3834087</v>
      </c>
      <c r="F20" s="114" t="n">
        <f aca="false">SUM(F16:F19)</f>
        <v>39459962.8614914</v>
      </c>
      <c r="G20" s="114" t="n">
        <f aca="false">SUM(G16:G19)</f>
        <v>60909642.3942658</v>
      </c>
      <c r="H20" s="114" t="n">
        <f aca="false">SUM(H16:H19)</f>
        <v>74954279.0518415</v>
      </c>
      <c r="I20" s="114" t="n">
        <f aca="false">SUM(I16:I19)</f>
        <v>89256897.1364555</v>
      </c>
      <c r="J20" s="115"/>
      <c r="K20" s="115"/>
      <c r="L20" s="115"/>
      <c r="M20" s="115"/>
      <c r="N20" s="92"/>
    </row>
    <row r="21" s="75" customFormat="true" ht="15.75" hidden="false" customHeight="true" outlineLevel="0" collapsed="false">
      <c r="A21" s="116" t="s">
        <v>56</v>
      </c>
      <c r="B21" s="117" t="n">
        <f aca="false">B13-B20</f>
        <v>7243108.8</v>
      </c>
      <c r="C21" s="117" t="n">
        <f aca="false">C13-C20</f>
        <v>14514121.75</v>
      </c>
      <c r="D21" s="117" t="n">
        <f aca="false">D13-D20</f>
        <v>24264945.9155</v>
      </c>
      <c r="E21" s="117" t="n">
        <f aca="false">E13-E20</f>
        <v>32954646.6065513</v>
      </c>
      <c r="F21" s="118" t="n">
        <f aca="false">F13-F20</f>
        <v>40280657.2214611</v>
      </c>
      <c r="G21" s="118" t="n">
        <f aca="false">G13-G20</f>
        <v>49492022.5250884</v>
      </c>
      <c r="H21" s="118" t="n">
        <f aca="false">H13-H20</f>
        <v>66650053.5366099</v>
      </c>
      <c r="I21" s="118" t="n">
        <f aca="false">I13-I20</f>
        <v>81060850.9099515</v>
      </c>
      <c r="J21" s="119"/>
      <c r="K21" s="119"/>
      <c r="L21" s="119"/>
      <c r="M21" s="119"/>
      <c r="N21" s="92"/>
    </row>
    <row r="22" s="75" customFormat="true" ht="15.75" hidden="false" customHeight="true" outlineLevel="0" collapsed="false">
      <c r="A22" s="120" t="s">
        <v>57</v>
      </c>
      <c r="B22" s="121" t="n">
        <f aca="false">B21/B13</f>
        <v>0.372621636526764</v>
      </c>
      <c r="C22" s="121" t="n">
        <f aca="false">C21/C13</f>
        <v>0.469283109296232</v>
      </c>
      <c r="D22" s="121" t="n">
        <f aca="false">D21/D13</f>
        <v>0.510341067689861</v>
      </c>
      <c r="E22" s="121" t="n">
        <f aca="false">E21/E13</f>
        <v>0.517554124511611</v>
      </c>
      <c r="F22" s="122" t="n">
        <f aca="false">F21/F13</f>
        <v>0.505146024442223</v>
      </c>
      <c r="G22" s="122" t="n">
        <f aca="false">G21/G13</f>
        <v>0.448290544904745</v>
      </c>
      <c r="H22" s="122" t="n">
        <f aca="false">H21/H13</f>
        <v>0.470678066965061</v>
      </c>
      <c r="I22" s="122" t="n">
        <f aca="false">I21/I13</f>
        <v>0.475938954335309</v>
      </c>
      <c r="J22" s="97"/>
      <c r="K22" s="97"/>
      <c r="L22" s="97"/>
      <c r="M22" s="97"/>
      <c r="N22" s="92"/>
    </row>
    <row r="23" s="75" customFormat="true" ht="15.75" hidden="false" customHeight="true" outlineLevel="0" collapsed="false">
      <c r="A23" s="86" t="s">
        <v>58</v>
      </c>
      <c r="B23" s="96"/>
      <c r="C23" s="96"/>
      <c r="D23" s="96"/>
      <c r="E23" s="96"/>
      <c r="F23" s="97"/>
      <c r="G23" s="97"/>
      <c r="H23" s="97"/>
      <c r="I23" s="97"/>
      <c r="J23" s="97"/>
      <c r="K23" s="97"/>
      <c r="L23" s="97"/>
      <c r="M23" s="97"/>
      <c r="N23" s="92"/>
    </row>
    <row r="24" s="75" customFormat="true" ht="15.75" hidden="false" customHeight="true" outlineLevel="0" collapsed="false">
      <c r="A24" s="95" t="s">
        <v>59</v>
      </c>
      <c r="B24" s="123"/>
      <c r="C24" s="123"/>
      <c r="D24" s="123"/>
      <c r="E24" s="123"/>
      <c r="F24" s="124"/>
      <c r="G24" s="124"/>
      <c r="H24" s="124"/>
      <c r="I24" s="124"/>
      <c r="J24" s="124"/>
      <c r="K24" s="124"/>
      <c r="L24" s="124"/>
      <c r="M24" s="124"/>
      <c r="N24" s="92"/>
    </row>
    <row r="25" s="75" customFormat="true" ht="15.75" hidden="true" customHeight="true" outlineLevel="0" collapsed="false">
      <c r="A25" s="120" t="s">
        <v>60</v>
      </c>
      <c r="B25" s="89" t="n">
        <f aca="false">(1-Drivers!$C$167)*B55</f>
        <v>2097600</v>
      </c>
      <c r="C25" s="89" t="n">
        <f aca="false">(1-Drivers!$C$167)*C55</f>
        <v>2307360</v>
      </c>
      <c r="D25" s="89" t="n">
        <f aca="false">(1-Drivers!$C$167)*D55</f>
        <v>3230304</v>
      </c>
      <c r="E25" s="89" t="n">
        <f aca="false">(1-Drivers!$C$167)*E55</f>
        <v>4297982.6468223</v>
      </c>
      <c r="F25" s="90" t="n">
        <f aca="false">(1-Drivers!$C$167)*F55</f>
        <v>5502102.78572372</v>
      </c>
      <c r="G25" s="90" t="n">
        <f aca="false">(1-Drivers!$C$167)*G55</f>
        <v>7783317.37681447</v>
      </c>
      <c r="H25" s="90" t="n">
        <f aca="false">(1-Drivers!$C$167)*H55</f>
        <v>9770698.94860315</v>
      </c>
      <c r="I25" s="90" t="n">
        <f aca="false">(1-Drivers!$C$167)*I55</f>
        <v>11496447.9931325</v>
      </c>
      <c r="J25" s="91"/>
      <c r="K25" s="91"/>
      <c r="L25" s="91"/>
      <c r="M25" s="91"/>
      <c r="N25" s="92"/>
    </row>
    <row r="26" s="75" customFormat="true" ht="15.75" hidden="false" customHeight="true" outlineLevel="0" collapsed="false">
      <c r="A26" s="93" t="s">
        <v>61</v>
      </c>
      <c r="B26" s="88" t="n">
        <v>3977000</v>
      </c>
      <c r="C26" s="88" t="n">
        <v>5368950</v>
      </c>
      <c r="D26" s="88" t="n">
        <v>7570219.5</v>
      </c>
      <c r="E26" s="89" t="n">
        <f aca="false">Drivers!F66</f>
        <v>8478645.84</v>
      </c>
      <c r="F26" s="90" t="n">
        <f aca="false">Drivers!G66</f>
        <v>9750442.716</v>
      </c>
      <c r="G26" s="90" t="n">
        <f aca="false">Drivers!H66</f>
        <v>12675575.5308</v>
      </c>
      <c r="H26" s="90" t="n">
        <f aca="false">Drivers!I66</f>
        <v>14196644.594496</v>
      </c>
      <c r="I26" s="90" t="n">
        <f aca="false">Drivers!J66</f>
        <v>15900241.9458355</v>
      </c>
      <c r="J26" s="91"/>
      <c r="K26" s="91"/>
      <c r="L26" s="91"/>
      <c r="M26" s="91"/>
      <c r="N26" s="92"/>
    </row>
    <row r="27" s="75" customFormat="true" ht="15.75" hidden="true" customHeight="true" outlineLevel="0" collapsed="false">
      <c r="A27" s="120" t="s">
        <v>62</v>
      </c>
      <c r="B27" s="89" t="n">
        <f aca="false">(1-Drivers!$C$168)*B71</f>
        <v>143220</v>
      </c>
      <c r="C27" s="89" t="n">
        <f aca="false">(1-Drivers!$C$168)*C71</f>
        <v>237528</v>
      </c>
      <c r="D27" s="89" t="n">
        <f aca="false">(1-Drivers!$C$168)*D71</f>
        <v>313195.2</v>
      </c>
      <c r="E27" s="89" t="n">
        <f aca="false">(1-Drivers!$C$168)*E71</f>
        <v>374209.44</v>
      </c>
      <c r="F27" s="90" t="n">
        <f aca="false">(1-Drivers!$C$168)*F71</f>
        <v>527026.600775904</v>
      </c>
      <c r="G27" s="90" t="n">
        <f aca="false">(1-Drivers!$C$168)*G71</f>
        <v>1149003.43742293</v>
      </c>
      <c r="H27" s="90" t="n">
        <f aca="false">(1-Drivers!$C$168)*H71</f>
        <v>1307981.8349068</v>
      </c>
      <c r="I27" s="90" t="n">
        <f aca="false">(1-Drivers!$C$168)*I71</f>
        <v>1477907.03401294</v>
      </c>
      <c r="J27" s="91"/>
      <c r="K27" s="91"/>
      <c r="L27" s="91"/>
      <c r="M27" s="91"/>
      <c r="N27" s="92"/>
    </row>
    <row r="28" s="75" customFormat="true" ht="15.75" hidden="false" customHeight="true" outlineLevel="0" collapsed="false">
      <c r="A28" s="93" t="s">
        <v>63</v>
      </c>
      <c r="B28" s="88" t="n">
        <v>950000</v>
      </c>
      <c r="C28" s="88" t="n">
        <v>1615000</v>
      </c>
      <c r="D28" s="88" t="n">
        <v>2083350</v>
      </c>
      <c r="E28" s="89" t="n">
        <f aca="false">Drivers!F68</f>
        <v>2801647.94755824</v>
      </c>
      <c r="F28" s="90" t="n">
        <f aca="false">Drivers!G68</f>
        <v>3508587.28364991</v>
      </c>
      <c r="G28" s="90" t="n">
        <f aca="false">Drivers!H68</f>
        <v>4857673.25645158</v>
      </c>
      <c r="H28" s="90" t="n">
        <f aca="false">Drivers!I68</f>
        <v>6230590.63389186</v>
      </c>
      <c r="I28" s="90" t="n">
        <f aca="false">Drivers!J68</f>
        <v>7493980.91404191</v>
      </c>
      <c r="J28" s="91"/>
      <c r="K28" s="91"/>
      <c r="L28" s="91"/>
      <c r="M28" s="91"/>
      <c r="N28" s="92"/>
    </row>
    <row r="29" s="75" customFormat="true" ht="15.75" hidden="true" customHeight="true" outlineLevel="0" collapsed="false">
      <c r="A29" s="93" t="s">
        <v>64</v>
      </c>
      <c r="B29" s="88" t="n">
        <v>0</v>
      </c>
      <c r="C29" s="88" t="n">
        <v>0</v>
      </c>
      <c r="D29" s="88" t="n">
        <v>0</v>
      </c>
      <c r="E29" s="89" t="n">
        <v>0</v>
      </c>
      <c r="F29" s="90" t="n">
        <v>0</v>
      </c>
      <c r="G29" s="90" t="n">
        <v>0</v>
      </c>
      <c r="H29" s="90" t="n">
        <v>0</v>
      </c>
      <c r="I29" s="90" t="n">
        <v>0</v>
      </c>
      <c r="J29" s="91"/>
      <c r="K29" s="91"/>
      <c r="L29" s="91"/>
      <c r="M29" s="91"/>
      <c r="N29" s="92"/>
    </row>
    <row r="30" s="75" customFormat="true" ht="15.75" hidden="false" customHeight="true" outlineLevel="0" collapsed="false">
      <c r="A30" s="93" t="s">
        <v>65</v>
      </c>
      <c r="B30" s="88" t="n">
        <v>1200000</v>
      </c>
      <c r="C30" s="88" t="n">
        <v>1800000</v>
      </c>
      <c r="D30" s="88" t="n">
        <v>2250000</v>
      </c>
      <c r="E30" s="89" t="n">
        <f aca="false">Drivers!F70</f>
        <v>3183690.849498</v>
      </c>
      <c r="F30" s="90" t="n">
        <f aca="false">Drivers!G70</f>
        <v>3987031.00414762</v>
      </c>
      <c r="G30" s="90" t="n">
        <f aca="false">Drivers!H70</f>
        <v>5520083.24596771</v>
      </c>
      <c r="H30" s="90" t="n">
        <f aca="false">Drivers!I70</f>
        <v>7080216.62942257</v>
      </c>
      <c r="I30" s="90" t="n">
        <f aca="false">Drivers!J70</f>
        <v>8515887.40232035</v>
      </c>
      <c r="J30" s="91"/>
      <c r="K30" s="91"/>
      <c r="L30" s="91"/>
      <c r="M30" s="91"/>
      <c r="N30" s="92"/>
    </row>
    <row r="31" s="75" customFormat="true" ht="15.75" hidden="true" customHeight="true" outlineLevel="0" collapsed="false">
      <c r="A31" s="93" t="s">
        <v>66</v>
      </c>
      <c r="B31" s="88" t="n">
        <v>0</v>
      </c>
      <c r="C31" s="88" t="n">
        <v>0</v>
      </c>
      <c r="D31" s="88" t="n">
        <v>0</v>
      </c>
      <c r="E31" s="89" t="n">
        <v>0</v>
      </c>
      <c r="F31" s="90" t="n">
        <v>0</v>
      </c>
      <c r="G31" s="90" t="n">
        <v>0</v>
      </c>
      <c r="H31" s="90" t="n">
        <v>0</v>
      </c>
      <c r="I31" s="90" t="n">
        <v>0</v>
      </c>
      <c r="J31" s="91"/>
      <c r="K31" s="91"/>
      <c r="L31" s="91"/>
      <c r="M31" s="91"/>
      <c r="N31" s="92"/>
    </row>
    <row r="32" s="75" customFormat="true" ht="15.75" hidden="true" customHeight="true" outlineLevel="0" collapsed="false">
      <c r="A32" s="93" t="s">
        <v>67</v>
      </c>
      <c r="B32" s="88" t="n">
        <v>0</v>
      </c>
      <c r="C32" s="88" t="n">
        <v>0</v>
      </c>
      <c r="D32" s="88" t="n">
        <v>0</v>
      </c>
      <c r="E32" s="89" t="n">
        <v>0</v>
      </c>
      <c r="F32" s="90" t="n">
        <v>0</v>
      </c>
      <c r="G32" s="90" t="n">
        <v>0</v>
      </c>
      <c r="H32" s="90" t="n">
        <v>0</v>
      </c>
      <c r="I32" s="90" t="n">
        <v>0</v>
      </c>
      <c r="J32" s="91"/>
      <c r="K32" s="91"/>
      <c r="L32" s="91"/>
      <c r="M32" s="91"/>
      <c r="N32" s="92"/>
    </row>
    <row r="33" s="75" customFormat="true" ht="15.75" hidden="true" customHeight="true" outlineLevel="0" collapsed="false">
      <c r="A33" s="93" t="s">
        <v>68</v>
      </c>
      <c r="B33" s="88" t="n">
        <v>0</v>
      </c>
      <c r="C33" s="88" t="n">
        <v>0</v>
      </c>
      <c r="D33" s="88" t="n">
        <v>0</v>
      </c>
      <c r="E33" s="89" t="n">
        <v>0</v>
      </c>
      <c r="F33" s="90" t="n">
        <v>0</v>
      </c>
      <c r="G33" s="90" t="n">
        <v>0</v>
      </c>
      <c r="H33" s="90" t="n">
        <v>0</v>
      </c>
      <c r="I33" s="90" t="n">
        <v>0</v>
      </c>
      <c r="J33" s="91"/>
      <c r="K33" s="91"/>
      <c r="L33" s="91"/>
      <c r="M33" s="91"/>
      <c r="N33" s="92"/>
    </row>
    <row r="34" s="75" customFormat="true" ht="15.75" hidden="true" customHeight="true" outlineLevel="0" collapsed="false">
      <c r="A34" s="93" t="s">
        <v>69</v>
      </c>
      <c r="B34" s="88" t="n">
        <v>0</v>
      </c>
      <c r="C34" s="88" t="n">
        <v>0</v>
      </c>
      <c r="D34" s="88" t="n">
        <v>0</v>
      </c>
      <c r="E34" s="89" t="n">
        <v>0</v>
      </c>
      <c r="F34" s="90" t="n">
        <v>0</v>
      </c>
      <c r="G34" s="90" t="n">
        <v>0</v>
      </c>
      <c r="H34" s="90" t="n">
        <v>0</v>
      </c>
      <c r="I34" s="90" t="n">
        <v>0</v>
      </c>
      <c r="J34" s="91"/>
      <c r="K34" s="91"/>
      <c r="L34" s="91"/>
      <c r="M34" s="91"/>
      <c r="N34" s="92"/>
    </row>
    <row r="35" s="75" customFormat="true" ht="15.75" hidden="true" customHeight="true" outlineLevel="0" collapsed="false">
      <c r="A35" s="93" t="s">
        <v>70</v>
      </c>
      <c r="B35" s="88" t="n">
        <v>0</v>
      </c>
      <c r="C35" s="88" t="n">
        <v>0</v>
      </c>
      <c r="D35" s="88" t="n">
        <v>0</v>
      </c>
      <c r="E35" s="89" t="n">
        <v>0</v>
      </c>
      <c r="F35" s="90" t="n">
        <v>0</v>
      </c>
      <c r="G35" s="90" t="n">
        <v>0</v>
      </c>
      <c r="H35" s="90" t="n">
        <v>0</v>
      </c>
      <c r="I35" s="90" t="n">
        <v>0</v>
      </c>
      <c r="J35" s="91"/>
      <c r="K35" s="91"/>
      <c r="L35" s="91"/>
      <c r="M35" s="91"/>
      <c r="N35" s="92"/>
    </row>
    <row r="36" s="75" customFormat="true" ht="15.75" hidden="true" customHeight="true" outlineLevel="0" collapsed="false">
      <c r="A36" s="93" t="s">
        <v>71</v>
      </c>
      <c r="B36" s="88" t="n">
        <v>0</v>
      </c>
      <c r="C36" s="88" t="n">
        <v>0</v>
      </c>
      <c r="D36" s="88" t="n">
        <v>0</v>
      </c>
      <c r="E36" s="89" t="n">
        <v>0</v>
      </c>
      <c r="F36" s="90" t="n">
        <v>0</v>
      </c>
      <c r="G36" s="90" t="n">
        <v>0</v>
      </c>
      <c r="H36" s="90" t="n">
        <v>0</v>
      </c>
      <c r="I36" s="90" t="n">
        <v>0</v>
      </c>
      <c r="J36" s="91"/>
      <c r="K36" s="91"/>
      <c r="L36" s="91"/>
      <c r="M36" s="91"/>
      <c r="N36" s="92"/>
    </row>
    <row r="37" s="75" customFormat="true" ht="15.75" hidden="true" customHeight="true" outlineLevel="0" collapsed="false">
      <c r="A37" s="93" t="s">
        <v>72</v>
      </c>
      <c r="B37" s="88" t="n">
        <v>0</v>
      </c>
      <c r="C37" s="88" t="n">
        <v>0</v>
      </c>
      <c r="D37" s="88" t="n">
        <v>0</v>
      </c>
      <c r="E37" s="89" t="n">
        <v>0</v>
      </c>
      <c r="F37" s="90" t="n">
        <v>0</v>
      </c>
      <c r="G37" s="90" t="n">
        <v>0</v>
      </c>
      <c r="H37" s="90" t="n">
        <v>0</v>
      </c>
      <c r="I37" s="90" t="n">
        <v>0</v>
      </c>
      <c r="J37" s="91"/>
      <c r="K37" s="91"/>
      <c r="L37" s="91"/>
      <c r="M37" s="91"/>
      <c r="N37" s="92"/>
    </row>
    <row r="38" s="75" customFormat="true" ht="15.75" hidden="true" customHeight="true" outlineLevel="0" collapsed="false">
      <c r="A38" s="93" t="s">
        <v>73</v>
      </c>
      <c r="B38" s="88" t="n">
        <v>0</v>
      </c>
      <c r="C38" s="88" t="n">
        <v>0</v>
      </c>
      <c r="D38" s="88" t="n">
        <v>0</v>
      </c>
      <c r="E38" s="89" t="n">
        <v>0</v>
      </c>
      <c r="F38" s="90" t="n">
        <v>0</v>
      </c>
      <c r="G38" s="90" t="n">
        <v>0</v>
      </c>
      <c r="H38" s="90" t="n">
        <v>0</v>
      </c>
      <c r="I38" s="90" t="n">
        <v>0</v>
      </c>
      <c r="J38" s="91"/>
      <c r="K38" s="91"/>
      <c r="L38" s="91"/>
      <c r="M38" s="91"/>
      <c r="N38" s="92"/>
    </row>
    <row r="39" s="75" customFormat="true" ht="15.75" hidden="true" customHeight="true" outlineLevel="0" collapsed="false">
      <c r="A39" s="93" t="s">
        <v>74</v>
      </c>
      <c r="B39" s="88" t="n">
        <v>0</v>
      </c>
      <c r="C39" s="88" t="n">
        <v>0</v>
      </c>
      <c r="D39" s="88" t="n">
        <v>0</v>
      </c>
      <c r="E39" s="89" t="n">
        <v>0</v>
      </c>
      <c r="F39" s="90" t="n">
        <v>0</v>
      </c>
      <c r="G39" s="90" t="n">
        <v>0</v>
      </c>
      <c r="H39" s="90" t="n">
        <v>0</v>
      </c>
      <c r="I39" s="90" t="n">
        <v>0</v>
      </c>
      <c r="J39" s="91"/>
      <c r="K39" s="91"/>
      <c r="L39" s="91"/>
      <c r="M39" s="91"/>
      <c r="N39" s="92"/>
    </row>
    <row r="40" s="75" customFormat="true" ht="15.75" hidden="true" customHeight="true" outlineLevel="0" collapsed="false">
      <c r="A40" s="93" t="s">
        <v>75</v>
      </c>
      <c r="B40" s="88" t="n">
        <v>0</v>
      </c>
      <c r="C40" s="88" t="n">
        <v>0</v>
      </c>
      <c r="D40" s="88" t="n">
        <v>0</v>
      </c>
      <c r="E40" s="89" t="n">
        <v>0</v>
      </c>
      <c r="F40" s="90" t="n">
        <v>0</v>
      </c>
      <c r="G40" s="90" t="n">
        <v>0</v>
      </c>
      <c r="H40" s="90" t="n">
        <v>0</v>
      </c>
      <c r="I40" s="90" t="n">
        <v>0</v>
      </c>
      <c r="J40" s="91"/>
      <c r="K40" s="91"/>
      <c r="L40" s="91"/>
      <c r="M40" s="91"/>
      <c r="N40" s="92"/>
    </row>
    <row r="41" s="75" customFormat="true" ht="15.75" hidden="true" customHeight="true" outlineLevel="0" collapsed="false">
      <c r="A41" s="93" t="s">
        <v>76</v>
      </c>
      <c r="B41" s="88" t="n">
        <v>0</v>
      </c>
      <c r="C41" s="88" t="n">
        <v>0</v>
      </c>
      <c r="D41" s="88" t="n">
        <v>0</v>
      </c>
      <c r="E41" s="89" t="n">
        <v>0</v>
      </c>
      <c r="F41" s="90" t="n">
        <v>0</v>
      </c>
      <c r="G41" s="90" t="n">
        <v>0</v>
      </c>
      <c r="H41" s="90" t="n">
        <v>0</v>
      </c>
      <c r="I41" s="90" t="n">
        <v>0</v>
      </c>
      <c r="J41" s="91"/>
      <c r="K41" s="91"/>
      <c r="L41" s="91"/>
      <c r="M41" s="91"/>
      <c r="N41" s="92"/>
    </row>
    <row r="42" s="75" customFormat="true" ht="15.75" hidden="false" customHeight="true" outlineLevel="0" collapsed="false">
      <c r="A42" s="93" t="s">
        <v>77</v>
      </c>
      <c r="B42" s="88" t="n">
        <v>2150000</v>
      </c>
      <c r="C42" s="88" t="n">
        <v>2580000</v>
      </c>
      <c r="D42" s="88" t="n">
        <v>3096000</v>
      </c>
      <c r="E42" s="89" t="n">
        <f aca="false">Drivers!F64</f>
        <v>4011450.47036748</v>
      </c>
      <c r="F42" s="90" t="n">
        <f aca="false">Drivers!G64</f>
        <v>5135295.93334214</v>
      </c>
      <c r="G42" s="90" t="n">
        <f aca="false">Drivers!H64</f>
        <v>7264429.5516935</v>
      </c>
      <c r="H42" s="90" t="n">
        <f aca="false">Drivers!I64</f>
        <v>9119319.01869627</v>
      </c>
      <c r="I42" s="90" t="n">
        <f aca="false">Drivers!J64</f>
        <v>10730018.1269236</v>
      </c>
      <c r="J42" s="91"/>
      <c r="K42" s="91"/>
      <c r="L42" s="91"/>
      <c r="M42" s="91"/>
      <c r="N42" s="92"/>
    </row>
    <row r="43" s="75" customFormat="true" ht="15.75" hidden="true" customHeight="true" outlineLevel="0" collapsed="false">
      <c r="A43" s="93" t="s">
        <v>78</v>
      </c>
      <c r="B43" s="88" t="n">
        <v>0</v>
      </c>
      <c r="C43" s="88" t="n">
        <v>0</v>
      </c>
      <c r="D43" s="88" t="n">
        <v>0</v>
      </c>
      <c r="E43" s="89" t="n">
        <v>0</v>
      </c>
      <c r="F43" s="90" t="n">
        <v>0</v>
      </c>
      <c r="G43" s="90" t="n">
        <v>0</v>
      </c>
      <c r="H43" s="90" t="n">
        <v>0</v>
      </c>
      <c r="I43" s="90" t="n">
        <v>0</v>
      </c>
      <c r="J43" s="91"/>
      <c r="K43" s="91"/>
      <c r="L43" s="91"/>
      <c r="M43" s="91"/>
      <c r="N43" s="92"/>
    </row>
    <row r="44" s="75" customFormat="true" ht="15.75" hidden="true" customHeight="true" outlineLevel="0" collapsed="false">
      <c r="A44" s="93" t="s">
        <v>79</v>
      </c>
      <c r="B44" s="88" t="n">
        <v>0</v>
      </c>
      <c r="C44" s="88" t="n">
        <v>0</v>
      </c>
      <c r="D44" s="88" t="n">
        <v>0</v>
      </c>
      <c r="E44" s="89" t="n">
        <v>0</v>
      </c>
      <c r="F44" s="90" t="n">
        <v>0</v>
      </c>
      <c r="G44" s="90" t="n">
        <v>0</v>
      </c>
      <c r="H44" s="90" t="n">
        <v>0</v>
      </c>
      <c r="I44" s="90" t="n">
        <v>0</v>
      </c>
      <c r="J44" s="91"/>
      <c r="K44" s="91"/>
      <c r="L44" s="91"/>
      <c r="M44" s="91"/>
      <c r="N44" s="92"/>
    </row>
    <row r="45" s="75" customFormat="true" ht="15.75" hidden="true" customHeight="true" outlineLevel="0" collapsed="false">
      <c r="A45" s="93" t="s">
        <v>80</v>
      </c>
      <c r="B45" s="88" t="n">
        <v>0</v>
      </c>
      <c r="C45" s="88" t="n">
        <v>0</v>
      </c>
      <c r="D45" s="88" t="n">
        <v>0</v>
      </c>
      <c r="E45" s="89" t="n">
        <f aca="false">Drivers!F74</f>
        <v>382042.90193976</v>
      </c>
      <c r="F45" s="90" t="n">
        <f aca="false">Drivers!G74</f>
        <v>478443.720497715</v>
      </c>
      <c r="G45" s="90" t="n">
        <f aca="false">Drivers!H74</f>
        <v>662409.989516125</v>
      </c>
      <c r="H45" s="90" t="n">
        <f aca="false">Drivers!I74</f>
        <v>849625.995530709</v>
      </c>
      <c r="I45" s="90" t="n">
        <f aca="false">Drivers!J74</f>
        <v>1021906.48827844</v>
      </c>
      <c r="J45" s="91"/>
      <c r="K45" s="91"/>
      <c r="L45" s="91"/>
      <c r="M45" s="91"/>
      <c r="N45" s="92"/>
    </row>
    <row r="46" s="75" customFormat="true" ht="15.75" hidden="true" customHeight="true" outlineLevel="0" collapsed="false">
      <c r="A46" s="93" t="s">
        <v>81</v>
      </c>
      <c r="B46" s="88" t="n">
        <v>0</v>
      </c>
      <c r="C46" s="88" t="n">
        <v>0</v>
      </c>
      <c r="D46" s="88" t="n">
        <v>0</v>
      </c>
      <c r="E46" s="89" t="n">
        <v>0</v>
      </c>
      <c r="F46" s="90" t="n">
        <v>0</v>
      </c>
      <c r="G46" s="90" t="n">
        <v>0</v>
      </c>
      <c r="H46" s="90" t="n">
        <v>0</v>
      </c>
      <c r="I46" s="90" t="n">
        <v>0</v>
      </c>
      <c r="J46" s="91"/>
      <c r="K46" s="91"/>
      <c r="L46" s="91"/>
      <c r="M46" s="91"/>
      <c r="N46" s="92"/>
    </row>
    <row r="47" s="75" customFormat="true" ht="15.75" hidden="true" customHeight="true" outlineLevel="0" collapsed="false">
      <c r="A47" s="93" t="s">
        <v>82</v>
      </c>
      <c r="B47" s="88" t="n">
        <v>0</v>
      </c>
      <c r="C47" s="88" t="n">
        <v>0</v>
      </c>
      <c r="D47" s="88" t="n">
        <v>0</v>
      </c>
      <c r="E47" s="89" t="n">
        <v>0</v>
      </c>
      <c r="F47" s="90" t="n">
        <v>0</v>
      </c>
      <c r="G47" s="90" t="n">
        <v>0</v>
      </c>
      <c r="H47" s="90" t="n">
        <v>0</v>
      </c>
      <c r="I47" s="90" t="n">
        <v>0</v>
      </c>
      <c r="J47" s="91"/>
      <c r="K47" s="91"/>
      <c r="L47" s="91"/>
      <c r="M47" s="91"/>
      <c r="N47" s="92"/>
    </row>
    <row r="48" s="75" customFormat="true" ht="15.75" hidden="true" customHeight="true" outlineLevel="0" collapsed="false">
      <c r="A48" s="93" t="s">
        <v>83</v>
      </c>
      <c r="B48" s="88" t="n">
        <v>0</v>
      </c>
      <c r="C48" s="88" t="n">
        <v>0</v>
      </c>
      <c r="D48" s="88" t="n">
        <v>0</v>
      </c>
      <c r="E48" s="89" t="n">
        <v>0</v>
      </c>
      <c r="F48" s="90" t="n">
        <v>0</v>
      </c>
      <c r="G48" s="90" t="n">
        <v>0</v>
      </c>
      <c r="H48" s="90" t="n">
        <v>0</v>
      </c>
      <c r="I48" s="90" t="n">
        <v>0</v>
      </c>
      <c r="J48" s="91"/>
      <c r="K48" s="91"/>
      <c r="L48" s="91"/>
      <c r="M48" s="91"/>
      <c r="N48" s="92"/>
    </row>
    <row r="49" s="75" customFormat="true" ht="15.75" hidden="true" customHeight="true" outlineLevel="0" collapsed="false">
      <c r="A49" s="93" t="s">
        <v>84</v>
      </c>
      <c r="B49" s="88" t="n">
        <v>0</v>
      </c>
      <c r="C49" s="88" t="n">
        <v>0</v>
      </c>
      <c r="D49" s="88" t="n">
        <v>0</v>
      </c>
      <c r="E49" s="89" t="n">
        <v>0</v>
      </c>
      <c r="F49" s="90" t="n">
        <v>0</v>
      </c>
      <c r="G49" s="90" t="n">
        <v>0</v>
      </c>
      <c r="H49" s="90" t="n">
        <v>0</v>
      </c>
      <c r="I49" s="90" t="n">
        <v>0</v>
      </c>
      <c r="J49" s="91"/>
      <c r="K49" s="91"/>
      <c r="L49" s="91"/>
      <c r="M49" s="91"/>
      <c r="N49" s="92"/>
    </row>
    <row r="50" s="75" customFormat="true" ht="15.75" hidden="false" customHeight="true" outlineLevel="0" collapsed="false">
      <c r="A50" s="95" t="s">
        <v>85</v>
      </c>
      <c r="B50" s="88" t="n">
        <v>920000</v>
      </c>
      <c r="C50" s="88" t="n">
        <v>966000</v>
      </c>
      <c r="D50" s="88" t="n">
        <v>1159200</v>
      </c>
      <c r="E50" s="89" t="n">
        <f aca="false">Drivers!F72</f>
        <v>1782866.87571888</v>
      </c>
      <c r="F50" s="90" t="n">
        <f aca="false">Drivers!G72</f>
        <v>2392218.60248857</v>
      </c>
      <c r="G50" s="90" t="n">
        <f aca="false">Drivers!H72</f>
        <v>3312049.94758062</v>
      </c>
      <c r="H50" s="90" t="n">
        <f aca="false">Drivers!I72</f>
        <v>4248129.97765354</v>
      </c>
      <c r="I50" s="90" t="n">
        <f aca="false">Drivers!J72</f>
        <v>4768896.94529939</v>
      </c>
      <c r="J50" s="91"/>
      <c r="K50" s="91"/>
      <c r="L50" s="91"/>
      <c r="M50" s="91"/>
      <c r="N50" s="92"/>
    </row>
    <row r="51" s="75" customFormat="true" ht="15.75" hidden="true" customHeight="true" outlineLevel="0" collapsed="false">
      <c r="A51" s="93" t="s">
        <v>86</v>
      </c>
      <c r="B51" s="88" t="n">
        <v>0</v>
      </c>
      <c r="C51" s="88" t="n">
        <v>0</v>
      </c>
      <c r="D51" s="88" t="n">
        <v>0</v>
      </c>
      <c r="E51" s="89" t="n">
        <v>0</v>
      </c>
      <c r="F51" s="90" t="n">
        <v>0</v>
      </c>
      <c r="G51" s="90" t="n">
        <v>0</v>
      </c>
      <c r="H51" s="90" t="n">
        <v>0</v>
      </c>
      <c r="I51" s="90" t="n">
        <v>0</v>
      </c>
      <c r="J51" s="91"/>
      <c r="K51" s="91"/>
      <c r="L51" s="91"/>
      <c r="M51" s="91"/>
      <c r="N51" s="92"/>
    </row>
    <row r="52" s="107" customFormat="true" ht="33" hidden="false" customHeight="true" outlineLevel="0" collapsed="false">
      <c r="A52" s="125" t="s">
        <v>87</v>
      </c>
      <c r="B52" s="100" t="n">
        <f aca="false">SUBTOTAL(9,B25:B51)</f>
        <v>11437820</v>
      </c>
      <c r="C52" s="100" t="n">
        <f aca="false">SUBTOTAL(9,C25:C51)</f>
        <v>14874838</v>
      </c>
      <c r="D52" s="100" t="n">
        <f aca="false">SUBTOTAL(9,D25:D51)</f>
        <v>19702268.7</v>
      </c>
      <c r="E52" s="100" t="n">
        <f aca="false">SUBTOTAL(9,E25:E51)</f>
        <v>25312536.9719047</v>
      </c>
      <c r="F52" s="101" t="n">
        <f aca="false">SUBTOTAL(9,F25:F51)</f>
        <v>31281148.6466256</v>
      </c>
      <c r="G52" s="101" t="n">
        <f aca="false">SUBTOTAL(9,G25:G51)</f>
        <v>43224542.3362469</v>
      </c>
      <c r="H52" s="101" t="n">
        <f aca="false">SUBTOTAL(9,H25:H51)</f>
        <v>52803207.6332009</v>
      </c>
      <c r="I52" s="101" t="n">
        <f aca="false">SUBTOTAL(9,I25:I51)</f>
        <v>61405286.8498447</v>
      </c>
      <c r="J52" s="102"/>
      <c r="K52" s="102"/>
      <c r="L52" s="102"/>
      <c r="M52" s="102"/>
      <c r="N52" s="126"/>
    </row>
    <row r="53" s="75" customFormat="true" ht="15.75" hidden="false" customHeight="true" outlineLevel="0" collapsed="false">
      <c r="A53" s="93"/>
      <c r="B53" s="96"/>
      <c r="C53" s="96"/>
      <c r="D53" s="96"/>
      <c r="E53" s="96"/>
      <c r="F53" s="97"/>
      <c r="G53" s="97"/>
      <c r="H53" s="97"/>
      <c r="I53" s="97"/>
      <c r="J53" s="97"/>
      <c r="K53" s="97"/>
      <c r="L53" s="97"/>
      <c r="M53" s="97"/>
      <c r="N53" s="73"/>
    </row>
    <row r="54" s="75" customFormat="true" ht="15.75" hidden="false" customHeight="true" outlineLevel="0" collapsed="false">
      <c r="A54" s="95" t="s">
        <v>88</v>
      </c>
      <c r="B54" s="123"/>
      <c r="C54" s="123"/>
      <c r="D54" s="123"/>
      <c r="E54" s="123"/>
      <c r="F54" s="124"/>
      <c r="G54" s="124"/>
      <c r="H54" s="124"/>
      <c r="I54" s="124"/>
      <c r="J54" s="124"/>
      <c r="K54" s="124"/>
      <c r="L54" s="124"/>
      <c r="M54" s="124"/>
      <c r="N54" s="73"/>
    </row>
    <row r="55" s="75" customFormat="true" ht="15.75" hidden="false" customHeight="true" outlineLevel="0" collapsed="false">
      <c r="A55" s="104" t="s">
        <v>89</v>
      </c>
      <c r="B55" s="88" t="n">
        <v>6992000</v>
      </c>
      <c r="C55" s="88" t="n">
        <v>7691200</v>
      </c>
      <c r="D55" s="88" t="n">
        <v>10767680</v>
      </c>
      <c r="E55" s="89" t="n">
        <f aca="false">Drivers!F62</f>
        <v>14326608.822741</v>
      </c>
      <c r="F55" s="90" t="n">
        <f aca="false">Drivers!G62</f>
        <v>18340342.6190791</v>
      </c>
      <c r="G55" s="90" t="n">
        <f aca="false">Drivers!H62</f>
        <v>25944391.2560482</v>
      </c>
      <c r="H55" s="90" t="n">
        <f aca="false">Drivers!I62</f>
        <v>32568996.4953438</v>
      </c>
      <c r="I55" s="90" t="n">
        <f aca="false">Drivers!J62</f>
        <v>38321493.3104416</v>
      </c>
      <c r="J55" s="91"/>
      <c r="K55" s="91"/>
      <c r="L55" s="91"/>
      <c r="M55" s="91"/>
      <c r="N55" s="92"/>
    </row>
    <row r="56" s="75" customFormat="true" ht="15.75" hidden="true" customHeight="true" outlineLevel="0" collapsed="false">
      <c r="A56" s="120" t="s">
        <v>90</v>
      </c>
      <c r="B56" s="89" t="n">
        <f aca="false">-B18</f>
        <v>-4894400</v>
      </c>
      <c r="C56" s="89" t="n">
        <f aca="false">-C18</f>
        <v>-5383840</v>
      </c>
      <c r="D56" s="89" t="n">
        <f aca="false">-D18</f>
        <v>-7537376</v>
      </c>
      <c r="E56" s="89" t="n">
        <f aca="false">-E18</f>
        <v>-10028626.1759187</v>
      </c>
      <c r="F56" s="90" t="n">
        <f aca="false">-F18</f>
        <v>-12838239.8333554</v>
      </c>
      <c r="G56" s="90" t="n">
        <f aca="false">-G18</f>
        <v>-18161073.8792338</v>
      </c>
      <c r="H56" s="90" t="n">
        <f aca="false">-H18</f>
        <v>-22798297.5467407</v>
      </c>
      <c r="I56" s="90" t="n">
        <f aca="false">-I18</f>
        <v>-26825045.3173091</v>
      </c>
      <c r="J56" s="91"/>
      <c r="K56" s="91"/>
      <c r="L56" s="91"/>
      <c r="M56" s="91"/>
      <c r="N56" s="92"/>
    </row>
    <row r="57" s="75" customFormat="true" ht="15.75" hidden="true" customHeight="true" outlineLevel="0" collapsed="false">
      <c r="A57" s="120" t="s">
        <v>91</v>
      </c>
      <c r="B57" s="89" t="n">
        <f aca="false">-B25</f>
        <v>-2097600</v>
      </c>
      <c r="C57" s="89" t="n">
        <f aca="false">-C25</f>
        <v>-2307360</v>
      </c>
      <c r="D57" s="89" t="n">
        <f aca="false">-D25</f>
        <v>-3230304</v>
      </c>
      <c r="E57" s="89" t="n">
        <f aca="false">-E25</f>
        <v>-4297982.6468223</v>
      </c>
      <c r="F57" s="90" t="n">
        <f aca="false">-F25</f>
        <v>-5502102.78572372</v>
      </c>
      <c r="G57" s="90" t="n">
        <f aca="false">-G25</f>
        <v>-7783317.37681447</v>
      </c>
      <c r="H57" s="90" t="n">
        <f aca="false">-H25</f>
        <v>-9770698.94860315</v>
      </c>
      <c r="I57" s="90" t="n">
        <f aca="false">-I25</f>
        <v>-11496447.9931325</v>
      </c>
      <c r="J57" s="91"/>
      <c r="K57" s="91"/>
      <c r="L57" s="91"/>
      <c r="M57" s="91"/>
      <c r="N57" s="92"/>
    </row>
    <row r="58" s="75" customFormat="true" ht="15.75" hidden="true" customHeight="true" outlineLevel="0" collapsed="false">
      <c r="A58" s="93" t="s">
        <v>92</v>
      </c>
      <c r="B58" s="88" t="n">
        <v>0</v>
      </c>
      <c r="C58" s="88" t="n">
        <v>0</v>
      </c>
      <c r="D58" s="88" t="n">
        <v>0</v>
      </c>
      <c r="E58" s="89" t="n">
        <v>0</v>
      </c>
      <c r="F58" s="90" t="n">
        <v>0</v>
      </c>
      <c r="G58" s="90" t="n">
        <v>0</v>
      </c>
      <c r="H58" s="90" t="n">
        <v>0</v>
      </c>
      <c r="I58" s="90" t="n">
        <v>0</v>
      </c>
      <c r="J58" s="91"/>
      <c r="K58" s="91"/>
      <c r="L58" s="91"/>
      <c r="M58" s="91"/>
      <c r="N58" s="92"/>
    </row>
    <row r="59" s="75" customFormat="true" ht="15.75" hidden="true" customHeight="true" outlineLevel="0" collapsed="false">
      <c r="A59" s="93" t="s">
        <v>93</v>
      </c>
      <c r="B59" s="88" t="n">
        <v>0</v>
      </c>
      <c r="C59" s="88" t="n">
        <v>0</v>
      </c>
      <c r="D59" s="88" t="n">
        <v>0</v>
      </c>
      <c r="E59" s="89" t="n">
        <v>0</v>
      </c>
      <c r="F59" s="90" t="n">
        <v>0</v>
      </c>
      <c r="G59" s="90" t="n">
        <v>0</v>
      </c>
      <c r="H59" s="90" t="n">
        <v>0</v>
      </c>
      <c r="I59" s="90" t="n">
        <v>0</v>
      </c>
      <c r="J59" s="91"/>
      <c r="K59" s="91"/>
      <c r="L59" s="91"/>
      <c r="M59" s="91"/>
      <c r="N59" s="92"/>
    </row>
    <row r="60" s="75" customFormat="true" ht="15.75" hidden="true" customHeight="true" outlineLevel="0" collapsed="false">
      <c r="A60" s="93" t="s">
        <v>94</v>
      </c>
      <c r="B60" s="88" t="n">
        <v>0</v>
      </c>
      <c r="C60" s="88" t="n">
        <v>0</v>
      </c>
      <c r="D60" s="88" t="n">
        <v>0</v>
      </c>
      <c r="E60" s="89" t="n">
        <v>0</v>
      </c>
      <c r="F60" s="90" t="n">
        <v>0</v>
      </c>
      <c r="G60" s="90" t="n">
        <v>0</v>
      </c>
      <c r="H60" s="90" t="n">
        <v>0</v>
      </c>
      <c r="I60" s="90" t="n">
        <v>0</v>
      </c>
      <c r="J60" s="91"/>
      <c r="K60" s="91"/>
      <c r="L60" s="91"/>
      <c r="M60" s="91"/>
      <c r="N60" s="92"/>
    </row>
    <row r="61" s="107" customFormat="true" ht="16.5" hidden="false" customHeight="true" outlineLevel="0" collapsed="false">
      <c r="A61" s="127" t="s">
        <v>95</v>
      </c>
      <c r="B61" s="100" t="n">
        <f aca="false">SUBTOTAL(9,B55:B60)</f>
        <v>0</v>
      </c>
      <c r="C61" s="100" t="n">
        <f aca="false">SUBTOTAL(9,C55:C60)</f>
        <v>0</v>
      </c>
      <c r="D61" s="100" t="n">
        <f aca="false">SUBTOTAL(9,D55:D60)</f>
        <v>0</v>
      </c>
      <c r="E61" s="100" t="n">
        <f aca="false">SUBTOTAL(9,E55:E60)</f>
        <v>0</v>
      </c>
      <c r="F61" s="101" t="n">
        <f aca="false">SUBTOTAL(9,F55:F60)</f>
        <v>0</v>
      </c>
      <c r="G61" s="101" t="n">
        <f aca="false">SUBTOTAL(9,G55:G60)</f>
        <v>0</v>
      </c>
      <c r="H61" s="101" t="n">
        <f aca="false">SUBTOTAL(9,H55:H60)</f>
        <v>0</v>
      </c>
      <c r="I61" s="101" t="n">
        <f aca="false">SUBTOTAL(9,I55:I60)</f>
        <v>0</v>
      </c>
      <c r="J61" s="102"/>
      <c r="K61" s="102"/>
      <c r="L61" s="102"/>
      <c r="M61" s="102"/>
      <c r="N61" s="106"/>
    </row>
    <row r="62" s="107" customFormat="true" ht="16.5" hidden="false" customHeight="true" outlineLevel="0" collapsed="false">
      <c r="A62" s="86"/>
      <c r="B62" s="128"/>
      <c r="C62" s="128"/>
      <c r="D62" s="128"/>
      <c r="E62" s="128"/>
      <c r="F62" s="129"/>
      <c r="G62" s="129"/>
      <c r="H62" s="129"/>
      <c r="I62" s="129"/>
      <c r="J62" s="129"/>
      <c r="K62" s="129"/>
      <c r="L62" s="129"/>
      <c r="M62" s="129"/>
      <c r="N62" s="106"/>
    </row>
    <row r="63" s="107" customFormat="true" ht="15.75" hidden="false" customHeight="true" outlineLevel="0" collapsed="false">
      <c r="A63" s="130" t="s">
        <v>96</v>
      </c>
      <c r="B63" s="100" t="n">
        <f aca="false">SUBTOTAL(9,B25:B62)</f>
        <v>11437820</v>
      </c>
      <c r="C63" s="100" t="n">
        <f aca="false">SUBTOTAL(9,C25:C62)</f>
        <v>14874838</v>
      </c>
      <c r="D63" s="100" t="n">
        <f aca="false">SUBTOTAL(9,D25:D62)</f>
        <v>19702268.7</v>
      </c>
      <c r="E63" s="100" t="n">
        <f aca="false">SUBTOTAL(9,E25:E62)</f>
        <v>25312536.9719047</v>
      </c>
      <c r="F63" s="101" t="n">
        <f aca="false">SUBTOTAL(9,F25:F62)</f>
        <v>31281148.6466256</v>
      </c>
      <c r="G63" s="101" t="n">
        <f aca="false">SUBTOTAL(9,G25:G62)</f>
        <v>43224542.3362469</v>
      </c>
      <c r="H63" s="101" t="n">
        <f aca="false">SUBTOTAL(9,H25:H62)</f>
        <v>52803207.6332009</v>
      </c>
      <c r="I63" s="101" t="n">
        <f aca="false">SUBTOTAL(9,I25:I62)</f>
        <v>61405286.8498447</v>
      </c>
      <c r="J63" s="102"/>
      <c r="K63" s="102"/>
      <c r="L63" s="102"/>
      <c r="M63" s="102"/>
      <c r="N63" s="106"/>
    </row>
    <row r="64" s="75" customFormat="true" ht="15.75" hidden="false" customHeight="true" outlineLevel="0" collapsed="false">
      <c r="A64" s="93"/>
      <c r="B64" s="96"/>
      <c r="C64" s="96"/>
      <c r="D64" s="96"/>
      <c r="E64" s="96"/>
      <c r="F64" s="97"/>
      <c r="G64" s="97"/>
      <c r="H64" s="97"/>
      <c r="I64" s="97"/>
      <c r="J64" s="97"/>
      <c r="K64" s="97"/>
      <c r="L64" s="97"/>
      <c r="M64" s="97"/>
      <c r="N64" s="92"/>
    </row>
    <row r="65" s="75" customFormat="true" ht="27" hidden="false" customHeight="true" outlineLevel="0" collapsed="false">
      <c r="A65" s="131" t="s">
        <v>97</v>
      </c>
      <c r="B65" s="132" t="n">
        <f aca="false">B21-B63</f>
        <v>-4194711.2</v>
      </c>
      <c r="C65" s="132" t="n">
        <f aca="false">C21-C63</f>
        <v>-360716.25</v>
      </c>
      <c r="D65" s="132" t="n">
        <f aca="false">D21-D63</f>
        <v>4562677.2155</v>
      </c>
      <c r="E65" s="133" t="n">
        <f aca="false">E21-E63</f>
        <v>7642109.63464664</v>
      </c>
      <c r="F65" s="134" t="n">
        <f aca="false">F21-F63</f>
        <v>8999508.57483553</v>
      </c>
      <c r="G65" s="134" t="n">
        <f aca="false">G21-G63</f>
        <v>6267480.18884142</v>
      </c>
      <c r="H65" s="134" t="n">
        <f aca="false">H21-H63</f>
        <v>13846845.903409</v>
      </c>
      <c r="I65" s="134" t="n">
        <f aca="false">I21-I63</f>
        <v>19655564.0601068</v>
      </c>
      <c r="J65" s="135"/>
      <c r="K65" s="135"/>
      <c r="L65" s="135"/>
      <c r="M65" s="135"/>
      <c r="N65" s="92"/>
    </row>
    <row r="66" s="75" customFormat="true" ht="15.75" hidden="false" customHeight="true" outlineLevel="0" collapsed="false">
      <c r="A66" s="93" t="s">
        <v>98</v>
      </c>
      <c r="B66" s="96"/>
      <c r="C66" s="96"/>
      <c r="D66" s="96"/>
      <c r="E66" s="96"/>
      <c r="F66" s="97"/>
      <c r="G66" s="97"/>
      <c r="H66" s="97"/>
      <c r="I66" s="97"/>
      <c r="J66" s="97"/>
      <c r="K66" s="97"/>
      <c r="L66" s="97"/>
      <c r="M66" s="97"/>
      <c r="N66" s="92"/>
    </row>
    <row r="67" s="75" customFormat="true" ht="15.75" hidden="true" customHeight="true" outlineLevel="0" collapsed="false">
      <c r="A67" s="93" t="s">
        <v>99</v>
      </c>
      <c r="B67" s="88" t="n">
        <v>0</v>
      </c>
      <c r="C67" s="88" t="n">
        <v>0</v>
      </c>
      <c r="D67" s="88" t="n">
        <v>0</v>
      </c>
      <c r="E67" s="89" t="n">
        <v>0</v>
      </c>
      <c r="F67" s="90" t="n">
        <v>0</v>
      </c>
      <c r="G67" s="90" t="n">
        <v>0</v>
      </c>
      <c r="H67" s="90" t="n">
        <v>0</v>
      </c>
      <c r="I67" s="90" t="n">
        <v>0</v>
      </c>
      <c r="J67" s="91"/>
      <c r="K67" s="91"/>
      <c r="L67" s="91"/>
      <c r="M67" s="91"/>
      <c r="N67" s="92"/>
    </row>
    <row r="68" s="75" customFormat="true" ht="15.75" hidden="true" customHeight="true" outlineLevel="0" collapsed="false">
      <c r="A68" s="93" t="s">
        <v>100</v>
      </c>
      <c r="B68" s="88" t="n">
        <v>0</v>
      </c>
      <c r="C68" s="88" t="n">
        <v>0</v>
      </c>
      <c r="D68" s="88" t="n">
        <v>0</v>
      </c>
      <c r="E68" s="89" t="n">
        <v>0</v>
      </c>
      <c r="F68" s="90" t="n">
        <v>0</v>
      </c>
      <c r="G68" s="90" t="n">
        <v>0</v>
      </c>
      <c r="H68" s="90" t="n">
        <v>0</v>
      </c>
      <c r="I68" s="90" t="n">
        <v>0</v>
      </c>
      <c r="J68" s="91"/>
      <c r="K68" s="91"/>
      <c r="L68" s="91"/>
      <c r="M68" s="91"/>
      <c r="N68" s="92"/>
    </row>
    <row r="69" s="75" customFormat="true" ht="15.75" hidden="false" customHeight="true" outlineLevel="0" collapsed="false">
      <c r="A69" s="93" t="s">
        <v>101</v>
      </c>
      <c r="B69" s="88" t="n">
        <v>114300</v>
      </c>
      <c r="C69" s="88" t="n">
        <v>142560</v>
      </c>
      <c r="D69" s="88" t="n">
        <v>142182</v>
      </c>
      <c r="E69" s="89" t="n">
        <f aca="false">Drivers!F129</f>
        <v>160260</v>
      </c>
      <c r="F69" s="90" t="n">
        <f aca="false">Drivers!G129</f>
        <v>1715202.09161757</v>
      </c>
      <c r="G69" s="90" t="n">
        <f aca="false">Drivers!H129</f>
        <v>3270144.18323515</v>
      </c>
      <c r="H69" s="90" t="n">
        <f aca="false">Drivers!I129</f>
        <v>2959155.76491163</v>
      </c>
      <c r="I69" s="90" t="n">
        <f aca="false">Drivers!J129</f>
        <v>2337178.9282646</v>
      </c>
      <c r="J69" s="91"/>
      <c r="K69" s="91"/>
      <c r="L69" s="91"/>
      <c r="M69" s="91"/>
      <c r="N69" s="92"/>
      <c r="O69" s="136"/>
    </row>
    <row r="70" s="75" customFormat="true" ht="15.75" hidden="true" customHeight="true" outlineLevel="0" collapsed="false">
      <c r="A70" s="93" t="s">
        <v>102</v>
      </c>
      <c r="B70" s="88" t="n">
        <v>0</v>
      </c>
      <c r="C70" s="88" t="n">
        <v>0</v>
      </c>
      <c r="D70" s="88" t="n">
        <v>0</v>
      </c>
      <c r="E70" s="89" t="n">
        <v>0</v>
      </c>
      <c r="F70" s="90" t="n">
        <v>0</v>
      </c>
      <c r="G70" s="90" t="n">
        <v>0</v>
      </c>
      <c r="H70" s="90" t="n">
        <v>0</v>
      </c>
      <c r="I70" s="90" t="n">
        <v>0</v>
      </c>
      <c r="J70" s="91"/>
      <c r="K70" s="91"/>
      <c r="L70" s="91"/>
      <c r="M70" s="91"/>
      <c r="N70" s="92"/>
    </row>
    <row r="71" s="75" customFormat="true" ht="15.75" hidden="false" customHeight="true" outlineLevel="0" collapsed="false">
      <c r="A71" s="137" t="s">
        <v>103</v>
      </c>
      <c r="B71" s="88" t="n">
        <v>1432200</v>
      </c>
      <c r="C71" s="88" t="n">
        <v>2375280</v>
      </c>
      <c r="D71" s="88" t="n">
        <v>3131952</v>
      </c>
      <c r="E71" s="89" t="n">
        <f aca="false">Drivers!F98</f>
        <v>3742094.4</v>
      </c>
      <c r="F71" s="90" t="n">
        <f aca="false">Drivers!G98</f>
        <v>5270266.00775904</v>
      </c>
      <c r="G71" s="90" t="n">
        <f aca="false">Drivers!H98</f>
        <v>11490034.3742293</v>
      </c>
      <c r="H71" s="90" t="n">
        <f aca="false">Drivers!I98</f>
        <v>13079818.349068</v>
      </c>
      <c r="I71" s="90" t="n">
        <f aca="false">Drivers!J98</f>
        <v>14779070.3401295</v>
      </c>
      <c r="J71" s="91"/>
      <c r="K71" s="91"/>
      <c r="L71" s="91"/>
      <c r="M71" s="91"/>
      <c r="N71" s="92"/>
    </row>
    <row r="72" s="75" customFormat="true" ht="15.75" hidden="true" customHeight="true" outlineLevel="0" collapsed="false">
      <c r="A72" s="93" t="s">
        <v>104</v>
      </c>
      <c r="B72" s="88" t="n">
        <v>0</v>
      </c>
      <c r="C72" s="88" t="n">
        <v>0</v>
      </c>
      <c r="D72" s="88" t="n">
        <v>0</v>
      </c>
      <c r="E72" s="89" t="n">
        <v>0</v>
      </c>
      <c r="F72" s="90" t="n">
        <v>0</v>
      </c>
      <c r="G72" s="90" t="n">
        <v>0</v>
      </c>
      <c r="H72" s="90" t="n">
        <v>0</v>
      </c>
      <c r="I72" s="90" t="n">
        <v>0</v>
      </c>
      <c r="J72" s="91"/>
      <c r="K72" s="91"/>
      <c r="L72" s="91"/>
      <c r="M72" s="91"/>
      <c r="N72" s="92"/>
    </row>
    <row r="73" s="75" customFormat="true" ht="15.75" hidden="false" customHeight="true" outlineLevel="0" collapsed="false">
      <c r="A73" s="95"/>
      <c r="B73" s="96"/>
      <c r="C73" s="96"/>
      <c r="D73" s="96"/>
      <c r="E73" s="96"/>
      <c r="F73" s="97"/>
      <c r="G73" s="97"/>
      <c r="H73" s="97"/>
      <c r="I73" s="97"/>
      <c r="J73" s="97"/>
      <c r="K73" s="97"/>
      <c r="L73" s="97"/>
      <c r="M73" s="97"/>
      <c r="N73" s="92"/>
    </row>
    <row r="74" s="107" customFormat="true" ht="15.75" hidden="false" customHeight="true" outlineLevel="0" collapsed="false">
      <c r="A74" s="120" t="s">
        <v>105</v>
      </c>
      <c r="B74" s="100" t="n">
        <f aca="false">SUM(B67:B70)+SUM(B72:B73)</f>
        <v>114300</v>
      </c>
      <c r="C74" s="100" t="n">
        <f aca="false">SUM(C67:C70)+SUM(C72:C73)</f>
        <v>142560</v>
      </c>
      <c r="D74" s="100" t="n">
        <f aca="false">SUM(D67:D70)+SUM(D72:D73)</f>
        <v>142182</v>
      </c>
      <c r="E74" s="100" t="n">
        <f aca="false">SUM(E67:E70)+SUM(E72:E73)</f>
        <v>160260</v>
      </c>
      <c r="F74" s="101" t="n">
        <f aca="false">SUM(F67:F70)+SUM(F72:F73)</f>
        <v>1715202.09161757</v>
      </c>
      <c r="G74" s="101" t="n">
        <f aca="false">SUM(G67:G70)+SUM(G72:G73)</f>
        <v>3270144.18323515</v>
      </c>
      <c r="H74" s="101" t="n">
        <f aca="false">SUM(H67:H70)+SUM(H72:H73)</f>
        <v>2959155.76491163</v>
      </c>
      <c r="I74" s="101" t="n">
        <f aca="false">SUM(I67:I70)+SUM(I72:I73)</f>
        <v>2337178.9282646</v>
      </c>
      <c r="J74" s="102"/>
      <c r="K74" s="102"/>
      <c r="L74" s="102"/>
      <c r="M74" s="102"/>
      <c r="N74" s="106"/>
    </row>
    <row r="75" s="75" customFormat="true" ht="16.5" hidden="false" customHeight="true" outlineLevel="0" collapsed="false">
      <c r="A75" s="95"/>
      <c r="B75" s="96"/>
      <c r="C75" s="96"/>
      <c r="D75" s="96"/>
      <c r="E75" s="96"/>
      <c r="F75" s="97"/>
      <c r="G75" s="97"/>
      <c r="H75" s="97"/>
      <c r="I75" s="97"/>
      <c r="J75" s="97"/>
      <c r="K75" s="97"/>
      <c r="L75" s="97"/>
      <c r="M75" s="97"/>
      <c r="N75" s="92"/>
    </row>
    <row r="76" s="75" customFormat="true" ht="16.5" hidden="false" customHeight="true" outlineLevel="0" collapsed="false">
      <c r="A76" s="98" t="s">
        <v>106</v>
      </c>
      <c r="B76" s="133" t="n">
        <f aca="false">B65-B74</f>
        <v>-4309011.2</v>
      </c>
      <c r="C76" s="133" t="n">
        <f aca="false">C65-C74</f>
        <v>-503276.25</v>
      </c>
      <c r="D76" s="133" t="n">
        <f aca="false">D65-D74</f>
        <v>4420495.2155</v>
      </c>
      <c r="E76" s="133" t="n">
        <f aca="false">E65-E74</f>
        <v>7481849.63464664</v>
      </c>
      <c r="F76" s="134" t="n">
        <f aca="false">F65-F74</f>
        <v>7284306.48321796</v>
      </c>
      <c r="G76" s="134" t="n">
        <f aca="false">G65-G74</f>
        <v>2997336.00560627</v>
      </c>
      <c r="H76" s="134" t="n">
        <f aca="false">H65-H74</f>
        <v>10887690.1384973</v>
      </c>
      <c r="I76" s="134" t="n">
        <f aca="false">I65-I74</f>
        <v>17318385.1318422</v>
      </c>
      <c r="J76" s="135"/>
      <c r="K76" s="135"/>
      <c r="L76" s="135"/>
      <c r="M76" s="135"/>
      <c r="N76" s="92"/>
    </row>
    <row r="77" s="75" customFormat="true" ht="15.75" hidden="false" customHeight="true" outlineLevel="0" collapsed="false">
      <c r="A77" s="93" t="s">
        <v>107</v>
      </c>
      <c r="B77" s="96"/>
      <c r="C77" s="96"/>
      <c r="D77" s="96"/>
      <c r="E77" s="96"/>
      <c r="F77" s="97"/>
      <c r="G77" s="97"/>
      <c r="H77" s="97"/>
      <c r="I77" s="97"/>
      <c r="J77" s="97"/>
      <c r="K77" s="97"/>
      <c r="L77" s="97"/>
      <c r="M77" s="97"/>
      <c r="N77" s="92"/>
    </row>
    <row r="78" s="75" customFormat="true" ht="15.75" hidden="false" customHeight="true" outlineLevel="0" collapsed="false">
      <c r="A78" s="93" t="s">
        <v>108</v>
      </c>
      <c r="B78" s="96" t="n">
        <v>0</v>
      </c>
      <c r="C78" s="96" t="n">
        <v>0</v>
      </c>
      <c r="D78" s="96" t="n">
        <v>0</v>
      </c>
      <c r="E78" s="109" t="n">
        <f aca="false">Drivers!F137</f>
        <v>902709.758024928</v>
      </c>
      <c r="F78" s="110" t="n">
        <f aca="false">Drivers!G137</f>
        <v>1456861.29664359</v>
      </c>
      <c r="G78" s="110" t="n">
        <f aca="false">Drivers!H137</f>
        <v>599467.201121254</v>
      </c>
      <c r="H78" s="110" t="n">
        <f aca="false">Drivers!I137</f>
        <v>2177538.02769947</v>
      </c>
      <c r="I78" s="110" t="n">
        <f aca="false">Drivers!J137</f>
        <v>3463677.02636844</v>
      </c>
      <c r="J78" s="97"/>
      <c r="K78" s="97"/>
      <c r="L78" s="97"/>
      <c r="M78" s="97"/>
      <c r="N78" s="92"/>
    </row>
    <row r="79" s="75" customFormat="true" ht="15.75" hidden="false" customHeight="true" outlineLevel="0" collapsed="false">
      <c r="A79" s="138"/>
      <c r="B79" s="96"/>
      <c r="C79" s="96"/>
      <c r="D79" s="96"/>
      <c r="E79" s="96"/>
      <c r="F79" s="97"/>
      <c r="G79" s="97"/>
      <c r="H79" s="97"/>
      <c r="I79" s="97"/>
      <c r="J79" s="97"/>
      <c r="K79" s="97"/>
      <c r="L79" s="97"/>
      <c r="M79" s="97"/>
      <c r="N79" s="92"/>
    </row>
    <row r="80" s="75" customFormat="true" ht="16.5" hidden="false" customHeight="true" outlineLevel="0" collapsed="false">
      <c r="A80" s="98" t="s">
        <v>109</v>
      </c>
      <c r="B80" s="112" t="n">
        <f aca="false">B76-B78</f>
        <v>-4309011.2</v>
      </c>
      <c r="C80" s="112" t="n">
        <f aca="false">C76-C78</f>
        <v>-503276.25</v>
      </c>
      <c r="D80" s="112" t="n">
        <f aca="false">D76-D78</f>
        <v>4420495.2155</v>
      </c>
      <c r="E80" s="112" t="n">
        <f aca="false">E76-E78</f>
        <v>6579139.87662171</v>
      </c>
      <c r="F80" s="139" t="n">
        <f aca="false">F76-F78</f>
        <v>5827445.18657437</v>
      </c>
      <c r="G80" s="139" t="n">
        <f aca="false">G76-G78</f>
        <v>2397868.80448502</v>
      </c>
      <c r="H80" s="139" t="n">
        <f aca="false">H76-H78</f>
        <v>8710152.11079786</v>
      </c>
      <c r="I80" s="139" t="n">
        <f aca="false">I76-I78</f>
        <v>13854708.1054738</v>
      </c>
      <c r="J80" s="115"/>
      <c r="K80" s="115"/>
      <c r="L80" s="115"/>
      <c r="M80" s="115"/>
      <c r="N80" s="92"/>
    </row>
    <row r="81" customFormat="false" ht="15.75" hidden="false" customHeight="true" outlineLevel="0" collapsed="false">
      <c r="A81" s="140"/>
      <c r="B81" s="140"/>
      <c r="C81" s="141"/>
      <c r="D81" s="141"/>
      <c r="E81" s="142"/>
      <c r="F81" s="141"/>
      <c r="G81" s="141"/>
      <c r="H81" s="141"/>
      <c r="I81" s="141"/>
      <c r="J81" s="141"/>
      <c r="K81" s="141"/>
      <c r="L81" s="141"/>
      <c r="M81" s="141"/>
      <c r="N81" s="143"/>
    </row>
    <row r="82" customFormat="false" ht="15.75" hidden="false" customHeight="true" outlineLevel="0" collapsed="false">
      <c r="A82" s="144" t="s">
        <v>110</v>
      </c>
      <c r="B82" s="145" t="n">
        <f aca="false">B65+B71</f>
        <v>-2762511.2</v>
      </c>
      <c r="C82" s="145" t="n">
        <f aca="false">C65+C71</f>
        <v>2014563.75</v>
      </c>
      <c r="D82" s="145" t="n">
        <f aca="false">D65+D71</f>
        <v>7694629.2155</v>
      </c>
      <c r="E82" s="146" t="n">
        <f aca="false">E65+E71</f>
        <v>11384204.0346466</v>
      </c>
      <c r="F82" s="145" t="n">
        <f aca="false">F65+F71</f>
        <v>14269774.5825946</v>
      </c>
      <c r="G82" s="145" t="n">
        <f aca="false">G65+G71</f>
        <v>17757514.5630708</v>
      </c>
      <c r="H82" s="145" t="n">
        <f aca="false">H65+H71</f>
        <v>26926664.252477</v>
      </c>
      <c r="I82" s="145" t="n">
        <f aca="false">I65+I71</f>
        <v>34434634.4002363</v>
      </c>
      <c r="J82" s="140"/>
      <c r="K82" s="140"/>
      <c r="L82" s="140"/>
      <c r="M82" s="140"/>
      <c r="N82" s="143"/>
    </row>
    <row r="83" customFormat="false" ht="15.75" hidden="false" customHeight="true" outlineLevel="0" collapsed="false">
      <c r="A83" s="147" t="s">
        <v>111</v>
      </c>
      <c r="B83" s="148" t="n">
        <f aca="false">B82/B13</f>
        <v>-0.142117352188264</v>
      </c>
      <c r="C83" s="149" t="n">
        <f aca="false">C82/C13</f>
        <v>0.0651366136208328</v>
      </c>
      <c r="D83" s="149" t="n">
        <f aca="false">D82/D13</f>
        <v>0.161833671626173</v>
      </c>
      <c r="E83" s="150" t="n">
        <f aca="false">E82/E13</f>
        <v>0.178789407841557</v>
      </c>
      <c r="F83" s="149" t="n">
        <f aca="false">F82/F13</f>
        <v>0.178952390484925</v>
      </c>
      <c r="G83" s="149" t="n">
        <f aca="false">G82/G13</f>
        <v>0.160844626537491</v>
      </c>
      <c r="H83" s="149" t="n">
        <f aca="false">H82/H13</f>
        <v>0.19015424005941</v>
      </c>
      <c r="I83" s="149" t="n">
        <f aca="false">I82/I13</f>
        <v>0.202178779341621</v>
      </c>
      <c r="J83" s="141"/>
      <c r="K83" s="141"/>
      <c r="L83" s="141"/>
      <c r="M83" s="141"/>
      <c r="N83" s="143"/>
    </row>
    <row r="84" customFormat="false" ht="15.75" hidden="false" customHeight="true" outlineLevel="0" collapsed="false">
      <c r="A84" s="140"/>
      <c r="B84" s="140"/>
      <c r="C84" s="140"/>
      <c r="D84" s="140"/>
      <c r="F84" s="140"/>
      <c r="G84" s="140"/>
      <c r="H84" s="140"/>
      <c r="I84" s="140"/>
      <c r="J84" s="140"/>
      <c r="K84" s="140"/>
      <c r="L84" s="140"/>
      <c r="M84" s="140"/>
      <c r="N84" s="140"/>
    </row>
    <row r="85" customFormat="false" ht="15.75" hidden="false" customHeight="true" outlineLevel="0" collapsed="false">
      <c r="A85" s="140"/>
      <c r="B85" s="140"/>
      <c r="C85" s="140"/>
      <c r="D85" s="140"/>
      <c r="F85" s="140"/>
      <c r="G85" s="140"/>
      <c r="H85" s="140"/>
      <c r="I85" s="140"/>
      <c r="J85" s="140"/>
      <c r="K85" s="140"/>
      <c r="L85" s="140"/>
      <c r="M85" s="140"/>
      <c r="N85" s="140"/>
    </row>
    <row r="86" customFormat="false" ht="15.75" hidden="false" customHeight="true" outlineLevel="0" collapsed="false">
      <c r="A86" s="140"/>
      <c r="B86" s="140"/>
      <c r="C86" s="140"/>
      <c r="D86" s="140"/>
      <c r="F86" s="140"/>
      <c r="G86" s="140"/>
      <c r="H86" s="140"/>
      <c r="I86" s="140"/>
      <c r="J86" s="140"/>
      <c r="K86" s="140"/>
      <c r="L86" s="140"/>
      <c r="M86" s="140"/>
      <c r="N86" s="140"/>
    </row>
    <row r="87" customFormat="false" ht="15.75" hidden="false" customHeight="true" outlineLevel="0" collapsed="false">
      <c r="A87" s="140"/>
      <c r="B87" s="140"/>
      <c r="C87" s="140"/>
      <c r="D87" s="140"/>
      <c r="F87" s="140"/>
      <c r="G87" s="140"/>
      <c r="H87" s="140"/>
      <c r="I87" s="140"/>
      <c r="J87" s="140"/>
      <c r="K87" s="140"/>
      <c r="L87" s="140"/>
      <c r="M87" s="140"/>
      <c r="N87" s="140"/>
    </row>
    <row r="88" customFormat="false" ht="15.75" hidden="false" customHeight="true" outlineLevel="0" collapsed="false">
      <c r="A88" s="140"/>
      <c r="B88" s="143"/>
      <c r="C88" s="143"/>
      <c r="D88" s="143"/>
      <c r="E88" s="151"/>
      <c r="F88" s="143"/>
      <c r="G88" s="143"/>
      <c r="H88" s="143"/>
      <c r="I88" s="143"/>
      <c r="J88" s="143"/>
      <c r="K88" s="143"/>
      <c r="L88" s="143"/>
      <c r="M88" s="143"/>
      <c r="N88" s="143"/>
    </row>
    <row r="89" customFormat="false" ht="15.75" hidden="false" customHeight="true" outlineLevel="0" collapsed="false">
      <c r="A89" s="140"/>
      <c r="B89" s="143"/>
      <c r="C89" s="143"/>
      <c r="D89" s="143"/>
      <c r="E89" s="151"/>
      <c r="F89" s="143"/>
      <c r="G89" s="143"/>
      <c r="H89" s="143"/>
      <c r="I89" s="143"/>
      <c r="J89" s="143"/>
      <c r="K89" s="143"/>
      <c r="L89" s="143"/>
      <c r="M89" s="143"/>
      <c r="N89" s="143"/>
    </row>
    <row r="90" customFormat="false" ht="15.75" hidden="false" customHeight="true" outlineLevel="0" collapsed="false">
      <c r="A90" s="140"/>
      <c r="B90" s="143"/>
      <c r="C90" s="143"/>
      <c r="D90" s="143"/>
      <c r="E90" s="151"/>
      <c r="F90" s="143"/>
      <c r="G90" s="143"/>
      <c r="H90" s="143"/>
      <c r="I90" s="143"/>
      <c r="J90" s="143"/>
      <c r="K90" s="143"/>
      <c r="L90" s="143"/>
      <c r="M90" s="143"/>
      <c r="N90" s="143"/>
    </row>
    <row r="91" customFormat="false" ht="15.75" hidden="false" customHeight="true" outlineLevel="0" collapsed="false">
      <c r="A91" s="140"/>
      <c r="B91" s="143"/>
      <c r="C91" s="143"/>
      <c r="D91" s="143"/>
      <c r="E91" s="151"/>
      <c r="F91" s="143"/>
      <c r="G91" s="143"/>
      <c r="H91" s="143"/>
      <c r="I91" s="143"/>
      <c r="J91" s="143"/>
      <c r="K91" s="143"/>
      <c r="L91" s="143"/>
      <c r="M91" s="143"/>
      <c r="N91" s="143"/>
    </row>
    <row r="92" customFormat="false" ht="15.75" hidden="false" customHeight="true" outlineLevel="0" collapsed="false">
      <c r="A92" s="140"/>
      <c r="B92" s="143"/>
      <c r="C92" s="143"/>
      <c r="D92" s="143"/>
      <c r="E92" s="151"/>
      <c r="F92" s="143"/>
      <c r="G92" s="143"/>
      <c r="H92" s="143"/>
      <c r="I92" s="143"/>
      <c r="J92" s="143"/>
      <c r="K92" s="143"/>
      <c r="L92" s="143"/>
      <c r="M92" s="143"/>
      <c r="N92" s="143"/>
    </row>
    <row r="93" customFormat="false" ht="15.75" hidden="false" customHeight="true" outlineLevel="0" collapsed="false">
      <c r="A93" s="140"/>
      <c r="B93" s="143"/>
      <c r="C93" s="143"/>
      <c r="D93" s="143"/>
      <c r="E93" s="151"/>
      <c r="F93" s="143"/>
      <c r="G93" s="143"/>
      <c r="H93" s="143"/>
      <c r="I93" s="143"/>
      <c r="J93" s="143"/>
      <c r="K93" s="143"/>
      <c r="L93" s="143"/>
      <c r="M93" s="143"/>
      <c r="N93" s="143"/>
    </row>
    <row r="94" customFormat="false" ht="15.75" hidden="false" customHeight="true" outlineLevel="0" collapsed="false">
      <c r="A94" s="140"/>
      <c r="B94" s="143"/>
      <c r="C94" s="143"/>
      <c r="D94" s="143"/>
      <c r="E94" s="151"/>
      <c r="F94" s="143"/>
      <c r="G94" s="143"/>
      <c r="H94" s="143"/>
      <c r="I94" s="143"/>
      <c r="J94" s="143"/>
      <c r="K94" s="143"/>
      <c r="L94" s="143"/>
      <c r="M94" s="143"/>
      <c r="N94" s="143"/>
    </row>
    <row r="95" customFormat="false" ht="15.75" hidden="false" customHeight="true" outlineLevel="0" collapsed="false">
      <c r="A95" s="140"/>
      <c r="B95" s="143"/>
      <c r="C95" s="143"/>
      <c r="D95" s="143"/>
      <c r="E95" s="151"/>
      <c r="F95" s="143"/>
      <c r="G95" s="143"/>
      <c r="H95" s="143"/>
      <c r="I95" s="143"/>
      <c r="J95" s="143"/>
      <c r="K95" s="143"/>
      <c r="L95" s="143"/>
      <c r="M95" s="143"/>
      <c r="N95" s="143"/>
    </row>
    <row r="96" customFormat="false" ht="15.75" hidden="false" customHeight="true" outlineLevel="0" collapsed="false">
      <c r="A96" s="140"/>
      <c r="B96" s="143"/>
      <c r="C96" s="143"/>
      <c r="D96" s="143"/>
      <c r="E96" s="151"/>
      <c r="F96" s="143"/>
      <c r="G96" s="143"/>
      <c r="H96" s="143"/>
      <c r="I96" s="143"/>
      <c r="J96" s="143"/>
      <c r="K96" s="143"/>
      <c r="L96" s="143"/>
      <c r="M96" s="143"/>
      <c r="N96" s="143"/>
    </row>
    <row r="97" customFormat="false" ht="15.75" hidden="false" customHeight="true" outlineLevel="0" collapsed="false">
      <c r="A97" s="140"/>
      <c r="B97" s="143"/>
      <c r="C97" s="143"/>
      <c r="D97" s="143"/>
      <c r="E97" s="151"/>
      <c r="F97" s="143"/>
      <c r="G97" s="143"/>
      <c r="H97" s="143"/>
      <c r="I97" s="143"/>
      <c r="J97" s="143"/>
      <c r="K97" s="143"/>
      <c r="L97" s="143"/>
      <c r="M97" s="143"/>
      <c r="N97" s="143"/>
    </row>
    <row r="98" customFormat="false" ht="15.75" hidden="false" customHeight="true" outlineLevel="0" collapsed="false">
      <c r="A98" s="140"/>
      <c r="B98" s="143"/>
      <c r="C98" s="143"/>
      <c r="D98" s="143"/>
      <c r="E98" s="151"/>
      <c r="F98" s="143"/>
      <c r="G98" s="143"/>
      <c r="H98" s="143"/>
      <c r="I98" s="143"/>
      <c r="J98" s="143"/>
      <c r="K98" s="143"/>
      <c r="L98" s="143"/>
      <c r="M98" s="143"/>
      <c r="N98" s="143"/>
    </row>
    <row r="99" customFormat="false" ht="15.75" hidden="false" customHeight="true" outlineLevel="0" collapsed="false">
      <c r="A99" s="140"/>
      <c r="B99" s="143"/>
      <c r="C99" s="143"/>
      <c r="D99" s="143"/>
      <c r="E99" s="151"/>
      <c r="F99" s="143"/>
      <c r="G99" s="143"/>
      <c r="H99" s="143"/>
      <c r="I99" s="143"/>
      <c r="J99" s="143"/>
      <c r="K99" s="143"/>
      <c r="L99" s="143"/>
      <c r="M99" s="143"/>
      <c r="N99" s="143"/>
    </row>
    <row r="100" customFormat="false" ht="15.75" hidden="false" customHeight="true" outlineLevel="0" collapsed="false">
      <c r="A100" s="140"/>
      <c r="B100" s="143"/>
      <c r="C100" s="143"/>
      <c r="D100" s="143"/>
      <c r="E100" s="151"/>
      <c r="F100" s="143"/>
      <c r="G100" s="143"/>
      <c r="H100" s="143"/>
      <c r="I100" s="143"/>
      <c r="J100" s="143"/>
      <c r="K100" s="143"/>
      <c r="L100" s="143"/>
      <c r="M100" s="143"/>
      <c r="N100" s="143"/>
    </row>
    <row r="101" customFormat="false" ht="15.75" hidden="false" customHeight="true" outlineLevel="0" collapsed="false">
      <c r="A101" s="140"/>
      <c r="B101" s="143"/>
      <c r="C101" s="143"/>
      <c r="D101" s="143"/>
      <c r="E101" s="151"/>
      <c r="F101" s="143"/>
      <c r="G101" s="143"/>
      <c r="H101" s="143"/>
      <c r="I101" s="143"/>
      <c r="J101" s="143"/>
      <c r="K101" s="143"/>
      <c r="L101" s="143"/>
      <c r="M101" s="143"/>
      <c r="N101" s="143"/>
    </row>
    <row r="102" customFormat="false" ht="15.75" hidden="false" customHeight="true" outlineLevel="0" collapsed="false">
      <c r="A102" s="140"/>
      <c r="B102" s="143"/>
      <c r="C102" s="143"/>
      <c r="D102" s="143"/>
      <c r="E102" s="151"/>
      <c r="F102" s="143"/>
      <c r="G102" s="143"/>
      <c r="H102" s="143"/>
      <c r="I102" s="143"/>
      <c r="J102" s="143"/>
      <c r="K102" s="143"/>
      <c r="L102" s="143"/>
      <c r="M102" s="143"/>
      <c r="N102" s="143"/>
    </row>
    <row r="103" customFormat="false" ht="15.75" hidden="false" customHeight="true" outlineLevel="0" collapsed="false">
      <c r="A103" s="140"/>
      <c r="B103" s="143"/>
      <c r="C103" s="143"/>
      <c r="D103" s="143"/>
      <c r="E103" s="151"/>
      <c r="F103" s="143"/>
      <c r="G103" s="143"/>
      <c r="H103" s="143"/>
      <c r="I103" s="143"/>
      <c r="J103" s="143"/>
      <c r="K103" s="143"/>
      <c r="L103" s="143"/>
      <c r="M103" s="143"/>
      <c r="N103" s="143"/>
    </row>
    <row r="104" customFormat="false" ht="15.75" hidden="false" customHeight="true" outlineLevel="0" collapsed="false">
      <c r="A104" s="140"/>
      <c r="B104" s="143"/>
      <c r="C104" s="143"/>
      <c r="D104" s="143"/>
      <c r="E104" s="151"/>
      <c r="F104" s="143"/>
      <c r="G104" s="143"/>
      <c r="H104" s="143"/>
      <c r="I104" s="143"/>
      <c r="J104" s="143"/>
      <c r="K104" s="143"/>
      <c r="L104" s="143"/>
      <c r="M104" s="143"/>
      <c r="N104" s="143"/>
    </row>
    <row r="105" customFormat="false" ht="15.75" hidden="false" customHeight="true" outlineLevel="0" collapsed="false">
      <c r="A105" s="140"/>
      <c r="B105" s="143"/>
      <c r="C105" s="143"/>
      <c r="D105" s="143"/>
      <c r="E105" s="151"/>
      <c r="F105" s="143"/>
      <c r="G105" s="143"/>
      <c r="H105" s="143"/>
      <c r="I105" s="143"/>
      <c r="J105" s="143"/>
      <c r="K105" s="143"/>
      <c r="L105" s="143"/>
      <c r="M105" s="143"/>
      <c r="N105" s="143"/>
    </row>
    <row r="106" customFormat="false" ht="15.75" hidden="false" customHeight="true" outlineLevel="0" collapsed="false">
      <c r="A106" s="140"/>
      <c r="B106" s="143"/>
      <c r="C106" s="143"/>
      <c r="D106" s="143"/>
      <c r="E106" s="151"/>
      <c r="F106" s="143"/>
      <c r="G106" s="143"/>
      <c r="H106" s="143"/>
      <c r="I106" s="143"/>
      <c r="J106" s="143"/>
      <c r="K106" s="143"/>
      <c r="L106" s="143"/>
      <c r="M106" s="143"/>
      <c r="N106" s="143"/>
    </row>
    <row r="107" customFormat="false" ht="15.75" hidden="false" customHeight="true" outlineLevel="0" collapsed="false">
      <c r="A107" s="140"/>
      <c r="B107" s="143"/>
      <c r="C107" s="143"/>
      <c r="D107" s="143"/>
      <c r="E107" s="151"/>
      <c r="F107" s="143"/>
      <c r="G107" s="143"/>
      <c r="H107" s="143"/>
      <c r="I107" s="143"/>
      <c r="J107" s="143"/>
      <c r="K107" s="143"/>
      <c r="L107" s="143"/>
      <c r="M107" s="143"/>
      <c r="N107" s="143"/>
    </row>
    <row r="108" customFormat="false" ht="15.75" hidden="false" customHeight="true" outlineLevel="0" collapsed="false">
      <c r="A108" s="140"/>
      <c r="B108" s="143"/>
      <c r="C108" s="143"/>
      <c r="D108" s="143"/>
      <c r="E108" s="151"/>
      <c r="F108" s="143"/>
      <c r="G108" s="143"/>
      <c r="H108" s="143"/>
      <c r="I108" s="143"/>
      <c r="J108" s="143"/>
      <c r="K108" s="143"/>
      <c r="L108" s="143"/>
      <c r="M108" s="143"/>
      <c r="N108" s="143"/>
    </row>
    <row r="109" customFormat="false" ht="15.75" hidden="false" customHeight="true" outlineLevel="0" collapsed="false">
      <c r="A109" s="140"/>
      <c r="B109" s="143"/>
      <c r="C109" s="143"/>
      <c r="D109" s="143"/>
      <c r="E109" s="151"/>
      <c r="F109" s="143"/>
      <c r="G109" s="143"/>
      <c r="H109" s="143"/>
      <c r="I109" s="143"/>
      <c r="J109" s="143"/>
      <c r="K109" s="143"/>
      <c r="L109" s="143"/>
      <c r="M109" s="143"/>
      <c r="N109" s="143"/>
    </row>
    <row r="110" customFormat="false" ht="15.75" hidden="false" customHeight="true" outlineLevel="0" collapsed="false">
      <c r="A110" s="140"/>
      <c r="B110" s="143"/>
      <c r="C110" s="143"/>
      <c r="D110" s="143"/>
      <c r="E110" s="151"/>
      <c r="F110" s="143"/>
      <c r="G110" s="143"/>
      <c r="H110" s="143"/>
      <c r="I110" s="143"/>
      <c r="J110" s="143"/>
      <c r="K110" s="143"/>
      <c r="L110" s="143"/>
      <c r="M110" s="143"/>
      <c r="N110" s="143"/>
    </row>
    <row r="111" customFormat="false" ht="15.75" hidden="false" customHeight="true" outlineLevel="0" collapsed="false">
      <c r="A111" s="140"/>
      <c r="B111" s="143"/>
      <c r="C111" s="143"/>
      <c r="D111" s="143"/>
      <c r="E111" s="151"/>
      <c r="F111" s="143"/>
      <c r="G111" s="143"/>
      <c r="H111" s="143"/>
      <c r="I111" s="143"/>
      <c r="J111" s="143"/>
      <c r="K111" s="143"/>
      <c r="L111" s="143"/>
      <c r="M111" s="143"/>
      <c r="N111" s="143"/>
    </row>
    <row r="112" customFormat="false" ht="15.75" hidden="false" customHeight="true" outlineLevel="0" collapsed="false">
      <c r="A112" s="140"/>
      <c r="B112" s="143"/>
      <c r="C112" s="143"/>
      <c r="D112" s="143"/>
      <c r="E112" s="151"/>
      <c r="F112" s="143"/>
      <c r="G112" s="143"/>
      <c r="H112" s="143"/>
      <c r="I112" s="143"/>
      <c r="J112" s="143"/>
      <c r="K112" s="143"/>
      <c r="L112" s="143"/>
      <c r="M112" s="143"/>
      <c r="N112" s="143"/>
    </row>
    <row r="113" customFormat="false" ht="15.75" hidden="false" customHeight="true" outlineLevel="0" collapsed="false">
      <c r="A113" s="140"/>
      <c r="B113" s="143"/>
      <c r="C113" s="143"/>
      <c r="D113" s="143"/>
      <c r="E113" s="151"/>
      <c r="F113" s="143"/>
      <c r="G113" s="143"/>
      <c r="H113" s="143"/>
      <c r="I113" s="143"/>
      <c r="J113" s="143"/>
      <c r="K113" s="143"/>
      <c r="L113" s="143"/>
      <c r="M113" s="143"/>
      <c r="N113" s="143"/>
    </row>
    <row r="114" customFormat="false" ht="15.75" hidden="false" customHeight="true" outlineLevel="0" collapsed="false">
      <c r="A114" s="140"/>
      <c r="B114" s="143"/>
      <c r="C114" s="143"/>
      <c r="D114" s="143"/>
      <c r="E114" s="151"/>
      <c r="F114" s="143"/>
      <c r="G114" s="143"/>
      <c r="H114" s="143"/>
      <c r="I114" s="143"/>
      <c r="J114" s="143"/>
      <c r="K114" s="143"/>
      <c r="L114" s="143"/>
      <c r="M114" s="143"/>
      <c r="N114" s="143"/>
    </row>
    <row r="115" customFormat="false" ht="15.75" hidden="false" customHeight="true" outlineLevel="0" collapsed="false">
      <c r="A115" s="140"/>
      <c r="B115" s="140"/>
      <c r="C115" s="140"/>
      <c r="D115" s="140"/>
      <c r="F115" s="140"/>
      <c r="G115" s="140"/>
      <c r="H115" s="140"/>
      <c r="I115" s="140"/>
      <c r="J115" s="140"/>
      <c r="K115" s="140"/>
      <c r="L115" s="140"/>
      <c r="M115" s="140"/>
      <c r="N115" s="140"/>
    </row>
    <row r="116" customFormat="false" ht="15.75" hidden="false" customHeight="true" outlineLevel="0" collapsed="false">
      <c r="A116" s="140"/>
      <c r="B116" s="140"/>
      <c r="C116" s="140"/>
      <c r="D116" s="140"/>
      <c r="F116" s="140"/>
      <c r="G116" s="140"/>
      <c r="H116" s="140"/>
      <c r="I116" s="140"/>
      <c r="J116" s="140"/>
      <c r="K116" s="140"/>
      <c r="L116" s="140"/>
      <c r="M116" s="140"/>
      <c r="N116" s="140"/>
    </row>
    <row r="117" customFormat="false" ht="15.75" hidden="false" customHeight="true" outlineLevel="0" collapsed="false">
      <c r="A117" s="140"/>
      <c r="B117" s="140"/>
      <c r="C117" s="140"/>
      <c r="D117" s="140"/>
      <c r="F117" s="140"/>
      <c r="G117" s="140"/>
      <c r="H117" s="140"/>
      <c r="I117" s="140"/>
      <c r="J117" s="140"/>
      <c r="K117" s="140"/>
      <c r="L117" s="140"/>
      <c r="M117" s="140"/>
      <c r="N117" s="140"/>
    </row>
    <row r="118" customFormat="false" ht="15.75" hidden="false" customHeight="true" outlineLevel="0" collapsed="false">
      <c r="A118" s="140"/>
      <c r="B118" s="140"/>
      <c r="C118" s="140"/>
      <c r="D118" s="140"/>
      <c r="F118" s="140"/>
      <c r="G118" s="140"/>
      <c r="H118" s="140"/>
      <c r="I118" s="140"/>
      <c r="J118" s="140"/>
      <c r="K118" s="140"/>
      <c r="L118" s="140"/>
      <c r="M118" s="140"/>
      <c r="N118" s="140"/>
    </row>
    <row r="119" customFormat="false" ht="15.75" hidden="false" customHeight="true" outlineLevel="0" collapsed="false">
      <c r="A119" s="140"/>
      <c r="B119" s="140"/>
      <c r="C119" s="140"/>
      <c r="D119" s="140"/>
      <c r="F119" s="140"/>
      <c r="G119" s="140"/>
      <c r="H119" s="140"/>
      <c r="I119" s="140"/>
      <c r="J119" s="140"/>
      <c r="K119" s="140"/>
      <c r="L119" s="140"/>
      <c r="M119" s="140"/>
      <c r="N119" s="140"/>
    </row>
    <row r="120" customFormat="false" ht="15.75" hidden="false" customHeight="true" outlineLevel="0" collapsed="false">
      <c r="A120" s="140"/>
      <c r="B120" s="140"/>
      <c r="C120" s="140"/>
      <c r="D120" s="140"/>
      <c r="F120" s="140"/>
      <c r="G120" s="140"/>
      <c r="H120" s="140"/>
      <c r="I120" s="140"/>
      <c r="J120" s="140"/>
      <c r="K120" s="140"/>
      <c r="L120" s="140"/>
      <c r="M120" s="140"/>
      <c r="N120" s="140"/>
    </row>
    <row r="121" customFormat="false" ht="15.75" hidden="false" customHeight="true" outlineLevel="0" collapsed="false">
      <c r="A121" s="140"/>
      <c r="B121" s="140"/>
      <c r="C121" s="140"/>
      <c r="D121" s="140"/>
      <c r="F121" s="140"/>
      <c r="G121" s="140"/>
      <c r="H121" s="140"/>
      <c r="I121" s="140"/>
      <c r="J121" s="140"/>
      <c r="K121" s="140"/>
      <c r="L121" s="140"/>
      <c r="M121" s="140"/>
      <c r="N121" s="140"/>
    </row>
    <row r="122" customFormat="false" ht="15.75" hidden="false" customHeight="true" outlineLevel="0" collapsed="false">
      <c r="A122" s="140"/>
      <c r="B122" s="140"/>
      <c r="C122" s="140"/>
      <c r="D122" s="140"/>
      <c r="F122" s="140"/>
      <c r="G122" s="140"/>
      <c r="H122" s="140"/>
      <c r="I122" s="140"/>
      <c r="J122" s="140"/>
      <c r="K122" s="140"/>
      <c r="L122" s="140"/>
      <c r="M122" s="140"/>
      <c r="N122" s="140"/>
    </row>
    <row r="123" customFormat="false" ht="15.75" hidden="false" customHeight="true" outlineLevel="0" collapsed="false">
      <c r="A123" s="140"/>
      <c r="B123" s="140"/>
      <c r="C123" s="140"/>
      <c r="D123" s="140"/>
      <c r="F123" s="140"/>
      <c r="G123" s="140"/>
      <c r="H123" s="140"/>
      <c r="I123" s="140"/>
      <c r="J123" s="140"/>
      <c r="K123" s="140"/>
      <c r="L123" s="140"/>
      <c r="M123" s="140"/>
      <c r="N123" s="140"/>
    </row>
    <row r="124" customFormat="false" ht="15.75" hidden="false" customHeight="true" outlineLevel="0" collapsed="false">
      <c r="A124" s="140"/>
      <c r="B124" s="140"/>
      <c r="C124" s="140"/>
      <c r="D124" s="140"/>
      <c r="F124" s="140"/>
      <c r="G124" s="140"/>
      <c r="H124" s="140"/>
      <c r="I124" s="140"/>
      <c r="J124" s="140"/>
      <c r="K124" s="140"/>
      <c r="L124" s="140"/>
      <c r="M124" s="140"/>
      <c r="N124" s="140"/>
    </row>
    <row r="125" customFormat="false" ht="15.75" hidden="false" customHeight="true" outlineLevel="0" collapsed="false">
      <c r="A125" s="140"/>
      <c r="B125" s="140"/>
      <c r="C125" s="140"/>
      <c r="D125" s="140"/>
      <c r="F125" s="140"/>
      <c r="G125" s="140"/>
      <c r="H125" s="140"/>
      <c r="I125" s="140"/>
      <c r="J125" s="140"/>
      <c r="K125" s="140"/>
      <c r="L125" s="140"/>
      <c r="M125" s="140"/>
      <c r="N125" s="140"/>
    </row>
    <row r="126" customFormat="false" ht="15.75" hidden="false" customHeight="true" outlineLevel="0" collapsed="false">
      <c r="A126" s="140"/>
      <c r="B126" s="140"/>
      <c r="C126" s="140"/>
      <c r="D126" s="140"/>
      <c r="F126" s="140"/>
      <c r="G126" s="140"/>
      <c r="H126" s="140"/>
      <c r="I126" s="140"/>
      <c r="J126" s="140"/>
      <c r="K126" s="140"/>
      <c r="L126" s="140"/>
      <c r="M126" s="140"/>
      <c r="N126" s="140"/>
    </row>
    <row r="127" customFormat="false" ht="15.75" hidden="false" customHeight="true" outlineLevel="0" collapsed="false">
      <c r="A127" s="140"/>
      <c r="B127" s="140"/>
      <c r="C127" s="140"/>
      <c r="D127" s="140"/>
      <c r="F127" s="140"/>
      <c r="G127" s="140"/>
      <c r="H127" s="140"/>
      <c r="I127" s="140"/>
      <c r="J127" s="140"/>
      <c r="K127" s="140"/>
      <c r="L127" s="140"/>
      <c r="M127" s="140"/>
      <c r="N127" s="140"/>
    </row>
    <row r="128" customFormat="false" ht="15.75" hidden="false" customHeight="true" outlineLevel="0" collapsed="false">
      <c r="A128" s="140"/>
      <c r="B128" s="140"/>
      <c r="C128" s="140"/>
      <c r="D128" s="140"/>
      <c r="F128" s="140"/>
      <c r="G128" s="140"/>
      <c r="H128" s="140"/>
      <c r="I128" s="140"/>
      <c r="J128" s="140"/>
      <c r="K128" s="140"/>
      <c r="L128" s="140"/>
      <c r="M128" s="140"/>
      <c r="N128" s="140"/>
    </row>
    <row r="129" customFormat="false" ht="15.75" hidden="false" customHeight="true" outlineLevel="0" collapsed="false">
      <c r="A129" s="140"/>
      <c r="B129" s="140"/>
      <c r="C129" s="140"/>
      <c r="D129" s="140"/>
      <c r="F129" s="140"/>
      <c r="G129" s="140"/>
      <c r="H129" s="140"/>
      <c r="I129" s="140"/>
      <c r="J129" s="140"/>
      <c r="K129" s="140"/>
      <c r="L129" s="140"/>
      <c r="M129" s="140"/>
      <c r="N129" s="140"/>
    </row>
    <row r="130" customFormat="false" ht="15.75" hidden="false" customHeight="true" outlineLevel="0" collapsed="false">
      <c r="A130" s="140"/>
      <c r="B130" s="140"/>
      <c r="C130" s="140"/>
      <c r="D130" s="140"/>
      <c r="F130" s="140"/>
      <c r="G130" s="140"/>
      <c r="H130" s="140"/>
      <c r="I130" s="140"/>
      <c r="J130" s="140"/>
      <c r="K130" s="140"/>
      <c r="L130" s="140"/>
      <c r="M130" s="140"/>
      <c r="N130" s="140"/>
    </row>
    <row r="131" customFormat="false" ht="15.75" hidden="false" customHeight="true" outlineLevel="0" collapsed="false">
      <c r="A131" s="140"/>
      <c r="B131" s="140"/>
      <c r="C131" s="140"/>
      <c r="D131" s="140"/>
      <c r="F131" s="140"/>
      <c r="G131" s="140"/>
      <c r="H131" s="140"/>
      <c r="I131" s="140"/>
      <c r="J131" s="140"/>
      <c r="K131" s="140"/>
      <c r="L131" s="140"/>
      <c r="M131" s="140"/>
      <c r="N131" s="140"/>
    </row>
    <row r="132" customFormat="false" ht="15.75" hidden="false" customHeight="true" outlineLevel="0" collapsed="false">
      <c r="A132" s="140"/>
      <c r="B132" s="140"/>
      <c r="C132" s="140"/>
      <c r="D132" s="140"/>
      <c r="F132" s="140"/>
      <c r="G132" s="140"/>
      <c r="H132" s="140"/>
      <c r="I132" s="140"/>
      <c r="J132" s="140"/>
      <c r="K132" s="140"/>
      <c r="L132" s="140"/>
      <c r="M132" s="140"/>
      <c r="N132" s="140"/>
    </row>
    <row r="133" customFormat="false" ht="15.75" hidden="false" customHeight="true" outlineLevel="0" collapsed="false">
      <c r="A133" s="140"/>
      <c r="B133" s="140"/>
      <c r="C133" s="140"/>
      <c r="D133" s="140"/>
      <c r="F133" s="140"/>
      <c r="G133" s="140"/>
      <c r="H133" s="140"/>
      <c r="I133" s="140"/>
      <c r="J133" s="140"/>
      <c r="K133" s="140"/>
      <c r="L133" s="140"/>
      <c r="M133" s="140"/>
      <c r="N133" s="140"/>
    </row>
    <row r="134" customFormat="false" ht="15.75" hidden="false" customHeight="true" outlineLevel="0" collapsed="false">
      <c r="A134" s="140"/>
      <c r="B134" s="140"/>
      <c r="C134" s="140"/>
      <c r="D134" s="140"/>
      <c r="F134" s="140"/>
      <c r="G134" s="140"/>
      <c r="H134" s="140"/>
      <c r="I134" s="140"/>
      <c r="J134" s="140"/>
      <c r="K134" s="140"/>
      <c r="L134" s="140"/>
      <c r="M134" s="140"/>
      <c r="N134" s="140"/>
    </row>
    <row r="135" customFormat="false" ht="15.75" hidden="false" customHeight="true" outlineLevel="0" collapsed="false">
      <c r="A135" s="140"/>
      <c r="B135" s="140"/>
      <c r="C135" s="140"/>
      <c r="D135" s="140"/>
      <c r="F135" s="140"/>
      <c r="G135" s="140"/>
      <c r="H135" s="140"/>
      <c r="I135" s="140"/>
      <c r="J135" s="140"/>
      <c r="K135" s="140"/>
      <c r="L135" s="140"/>
      <c r="M135" s="140"/>
      <c r="N135" s="140"/>
    </row>
    <row r="136" customFormat="false" ht="15.75" hidden="false" customHeight="true" outlineLevel="0" collapsed="false">
      <c r="A136" s="140"/>
      <c r="B136" s="140"/>
      <c r="C136" s="140"/>
      <c r="D136" s="140"/>
      <c r="F136" s="140"/>
      <c r="G136" s="140"/>
      <c r="H136" s="140"/>
      <c r="I136" s="140"/>
      <c r="J136" s="140"/>
      <c r="K136" s="140"/>
      <c r="L136" s="140"/>
      <c r="M136" s="140"/>
      <c r="N136" s="140"/>
    </row>
    <row r="137" customFormat="false" ht="15.75" hidden="false" customHeight="true" outlineLevel="0" collapsed="false">
      <c r="A137" s="140"/>
      <c r="B137" s="140"/>
      <c r="C137" s="140"/>
      <c r="D137" s="140"/>
      <c r="F137" s="140"/>
      <c r="G137" s="140"/>
      <c r="H137" s="140"/>
      <c r="I137" s="140"/>
      <c r="J137" s="140"/>
      <c r="K137" s="140"/>
      <c r="L137" s="140"/>
      <c r="M137" s="140"/>
      <c r="N137" s="140"/>
    </row>
    <row r="138" customFormat="false" ht="15.75" hidden="false" customHeight="true" outlineLevel="0" collapsed="false">
      <c r="A138" s="140"/>
      <c r="B138" s="140"/>
      <c r="C138" s="140"/>
      <c r="D138" s="140"/>
      <c r="F138" s="140"/>
      <c r="G138" s="140"/>
      <c r="H138" s="140"/>
      <c r="I138" s="140"/>
      <c r="J138" s="140"/>
      <c r="K138" s="140"/>
      <c r="L138" s="140"/>
      <c r="M138" s="140"/>
      <c r="N138" s="140"/>
    </row>
    <row r="139" customFormat="false" ht="15.75" hidden="false" customHeight="true" outlineLevel="0" collapsed="false">
      <c r="A139" s="140"/>
      <c r="B139" s="140"/>
      <c r="C139" s="140"/>
      <c r="D139" s="140"/>
      <c r="F139" s="140"/>
      <c r="G139" s="140"/>
      <c r="H139" s="140"/>
      <c r="I139" s="140"/>
      <c r="J139" s="140"/>
      <c r="K139" s="140"/>
      <c r="L139" s="140"/>
      <c r="M139" s="140"/>
      <c r="N139" s="140"/>
    </row>
    <row r="140" customFormat="false" ht="15.75" hidden="false" customHeight="true" outlineLevel="0" collapsed="false">
      <c r="A140" s="140"/>
      <c r="B140" s="140"/>
      <c r="C140" s="140"/>
      <c r="D140" s="140"/>
      <c r="F140" s="140"/>
      <c r="G140" s="140"/>
      <c r="H140" s="140"/>
      <c r="I140" s="140"/>
      <c r="J140" s="140"/>
      <c r="K140" s="140"/>
      <c r="L140" s="140"/>
      <c r="M140" s="140"/>
      <c r="N140" s="140"/>
    </row>
    <row r="141" customFormat="false" ht="15.75" hidden="false" customHeight="true" outlineLevel="0" collapsed="false">
      <c r="A141" s="140"/>
      <c r="B141" s="140"/>
      <c r="C141" s="140"/>
      <c r="D141" s="140"/>
      <c r="F141" s="140"/>
      <c r="G141" s="140"/>
      <c r="H141" s="140"/>
      <c r="I141" s="140"/>
      <c r="J141" s="140"/>
      <c r="K141" s="140"/>
      <c r="L141" s="140"/>
      <c r="M141" s="140"/>
      <c r="N141" s="140"/>
    </row>
    <row r="142" customFormat="false" ht="15.75" hidden="false" customHeight="true" outlineLevel="0" collapsed="false">
      <c r="A142" s="140"/>
      <c r="B142" s="140"/>
      <c r="C142" s="140"/>
      <c r="D142" s="140"/>
      <c r="F142" s="140"/>
      <c r="G142" s="140"/>
      <c r="H142" s="140"/>
      <c r="I142" s="140"/>
      <c r="J142" s="140"/>
      <c r="K142" s="140"/>
      <c r="L142" s="140"/>
      <c r="M142" s="140"/>
      <c r="N142" s="140"/>
    </row>
    <row r="143" customFormat="false" ht="15.75" hidden="false" customHeight="true" outlineLevel="0" collapsed="false">
      <c r="A143" s="140"/>
      <c r="B143" s="140"/>
      <c r="C143" s="140"/>
      <c r="D143" s="140"/>
      <c r="F143" s="140"/>
      <c r="G143" s="140"/>
      <c r="H143" s="140"/>
      <c r="I143" s="140"/>
      <c r="J143" s="140"/>
      <c r="K143" s="140"/>
      <c r="L143" s="140"/>
      <c r="M143" s="140"/>
      <c r="N143" s="140"/>
    </row>
    <row r="144" customFormat="false" ht="15.75" hidden="false" customHeight="true" outlineLevel="0" collapsed="false">
      <c r="A144" s="140"/>
      <c r="B144" s="140"/>
      <c r="C144" s="140"/>
      <c r="D144" s="140"/>
      <c r="F144" s="140"/>
      <c r="G144" s="140"/>
      <c r="H144" s="140"/>
      <c r="I144" s="140"/>
      <c r="J144" s="140"/>
      <c r="K144" s="140"/>
      <c r="L144" s="140"/>
      <c r="M144" s="140"/>
      <c r="N144" s="140"/>
    </row>
    <row r="145" customFormat="false" ht="15.75" hidden="false" customHeight="true" outlineLevel="0" collapsed="false">
      <c r="A145" s="140"/>
      <c r="B145" s="140"/>
      <c r="C145" s="140"/>
      <c r="D145" s="140"/>
      <c r="F145" s="140"/>
      <c r="G145" s="140"/>
      <c r="H145" s="140"/>
      <c r="I145" s="140"/>
      <c r="J145" s="140"/>
      <c r="K145" s="140"/>
      <c r="L145" s="140"/>
      <c r="M145" s="140"/>
      <c r="N145" s="140"/>
    </row>
    <row r="146" customFormat="false" ht="15.75" hidden="false" customHeight="true" outlineLevel="0" collapsed="false">
      <c r="A146" s="140"/>
      <c r="B146" s="140"/>
      <c r="C146" s="140"/>
      <c r="D146" s="140"/>
      <c r="F146" s="140"/>
      <c r="G146" s="140"/>
      <c r="H146" s="140"/>
      <c r="I146" s="140"/>
      <c r="J146" s="140"/>
      <c r="K146" s="140"/>
      <c r="L146" s="140"/>
      <c r="M146" s="140"/>
      <c r="N146" s="140"/>
    </row>
    <row r="147" customFormat="false" ht="15.75" hidden="false" customHeight="true" outlineLevel="0" collapsed="false">
      <c r="A147" s="140"/>
      <c r="B147" s="140"/>
      <c r="C147" s="140"/>
      <c r="D147" s="140"/>
      <c r="F147" s="140"/>
      <c r="G147" s="140"/>
      <c r="H147" s="140"/>
      <c r="I147" s="140"/>
      <c r="J147" s="140"/>
      <c r="K147" s="140"/>
      <c r="L147" s="140"/>
      <c r="M147" s="140"/>
      <c r="N147" s="140"/>
    </row>
    <row r="148" customFormat="false" ht="15.75" hidden="false" customHeight="true" outlineLevel="0" collapsed="false">
      <c r="A148" s="140"/>
      <c r="B148" s="140"/>
      <c r="C148" s="140"/>
      <c r="D148" s="140"/>
      <c r="F148" s="140"/>
      <c r="G148" s="140"/>
      <c r="H148" s="140"/>
      <c r="I148" s="140"/>
      <c r="J148" s="140"/>
      <c r="K148" s="140"/>
      <c r="L148" s="140"/>
      <c r="M148" s="140"/>
      <c r="N148" s="140"/>
    </row>
    <row r="149" customFormat="false" ht="15.75" hidden="false" customHeight="true" outlineLevel="0" collapsed="false">
      <c r="A149" s="140"/>
      <c r="B149" s="140"/>
      <c r="C149" s="140"/>
      <c r="D149" s="140"/>
      <c r="F149" s="140"/>
      <c r="G149" s="140"/>
      <c r="H149" s="140"/>
      <c r="I149" s="140"/>
      <c r="J149" s="140"/>
      <c r="K149" s="140"/>
      <c r="L149" s="140"/>
      <c r="M149" s="140"/>
      <c r="N149" s="140"/>
    </row>
    <row r="150" customFormat="false" ht="15.75" hidden="false" customHeight="true" outlineLevel="0" collapsed="false">
      <c r="A150" s="140"/>
      <c r="B150" s="140"/>
      <c r="C150" s="140"/>
      <c r="D150" s="140"/>
      <c r="F150" s="140"/>
      <c r="G150" s="140"/>
      <c r="H150" s="140"/>
      <c r="I150" s="140"/>
      <c r="J150" s="140"/>
      <c r="K150" s="140"/>
      <c r="L150" s="140"/>
      <c r="M150" s="140"/>
      <c r="N150" s="140"/>
    </row>
    <row r="151" customFormat="false" ht="15.75" hidden="false" customHeight="true" outlineLevel="0" collapsed="false">
      <c r="A151" s="140"/>
      <c r="B151" s="140"/>
      <c r="C151" s="140"/>
      <c r="D151" s="140"/>
      <c r="F151" s="140"/>
      <c r="G151" s="140"/>
      <c r="H151" s="140"/>
      <c r="I151" s="140"/>
      <c r="J151" s="140"/>
      <c r="K151" s="140"/>
      <c r="L151" s="140"/>
      <c r="M151" s="140"/>
      <c r="N151" s="140"/>
    </row>
    <row r="152" customFormat="false" ht="15.75" hidden="false" customHeight="true" outlineLevel="0" collapsed="false">
      <c r="A152" s="140"/>
      <c r="B152" s="140"/>
      <c r="C152" s="140"/>
      <c r="D152" s="140"/>
      <c r="F152" s="140"/>
      <c r="G152" s="140"/>
      <c r="H152" s="140"/>
      <c r="I152" s="140"/>
      <c r="J152" s="140"/>
      <c r="K152" s="140"/>
      <c r="L152" s="140"/>
      <c r="M152" s="140"/>
      <c r="N152" s="140"/>
    </row>
    <row r="153" customFormat="false" ht="15.75" hidden="false" customHeight="true" outlineLevel="0" collapsed="false">
      <c r="A153" s="140"/>
      <c r="B153" s="140"/>
      <c r="C153" s="140"/>
      <c r="D153" s="140"/>
      <c r="F153" s="140"/>
      <c r="G153" s="140"/>
      <c r="H153" s="140"/>
      <c r="I153" s="140"/>
      <c r="J153" s="140"/>
      <c r="K153" s="140"/>
      <c r="L153" s="140"/>
      <c r="M153" s="140"/>
      <c r="N153" s="140"/>
    </row>
    <row r="154" customFormat="false" ht="15.75" hidden="false" customHeight="true" outlineLevel="0" collapsed="false">
      <c r="A154" s="140"/>
      <c r="B154" s="140"/>
      <c r="C154" s="140"/>
      <c r="D154" s="140"/>
      <c r="F154" s="140"/>
      <c r="G154" s="140"/>
      <c r="H154" s="140"/>
      <c r="I154" s="140"/>
      <c r="J154" s="140"/>
      <c r="K154" s="140"/>
      <c r="L154" s="140"/>
      <c r="M154" s="140"/>
      <c r="N154" s="140"/>
    </row>
    <row r="155" customFormat="false" ht="15.75" hidden="false" customHeight="true" outlineLevel="0" collapsed="false">
      <c r="A155" s="140"/>
      <c r="B155" s="140"/>
      <c r="C155" s="140"/>
      <c r="D155" s="140"/>
      <c r="F155" s="140"/>
      <c r="G155" s="140"/>
      <c r="H155" s="140"/>
      <c r="I155" s="140"/>
      <c r="J155" s="140"/>
      <c r="K155" s="140"/>
      <c r="L155" s="140"/>
      <c r="M155" s="140"/>
      <c r="N155" s="140"/>
    </row>
    <row r="156" customFormat="false" ht="15.75" hidden="false" customHeight="true" outlineLevel="0" collapsed="false">
      <c r="A156" s="140"/>
      <c r="B156" s="140"/>
      <c r="C156" s="140"/>
      <c r="D156" s="140"/>
      <c r="F156" s="140"/>
      <c r="G156" s="140"/>
      <c r="H156" s="140"/>
      <c r="I156" s="140"/>
      <c r="J156" s="140"/>
      <c r="K156" s="140"/>
      <c r="L156" s="140"/>
      <c r="M156" s="140"/>
      <c r="N156" s="140"/>
    </row>
    <row r="157" customFormat="false" ht="15.75" hidden="false" customHeight="true" outlineLevel="0" collapsed="false">
      <c r="A157" s="140"/>
      <c r="B157" s="140"/>
      <c r="C157" s="140"/>
      <c r="D157" s="140"/>
      <c r="F157" s="140"/>
      <c r="G157" s="140"/>
      <c r="H157" s="140"/>
      <c r="I157" s="140"/>
      <c r="J157" s="140"/>
      <c r="K157" s="140"/>
      <c r="L157" s="140"/>
      <c r="M157" s="140"/>
      <c r="N157" s="140"/>
    </row>
    <row r="158" customFormat="false" ht="15.75" hidden="false" customHeight="true" outlineLevel="0" collapsed="false">
      <c r="A158" s="140"/>
      <c r="B158" s="140"/>
      <c r="C158" s="140"/>
      <c r="D158" s="140"/>
      <c r="F158" s="140"/>
      <c r="G158" s="140"/>
      <c r="H158" s="140"/>
      <c r="I158" s="140"/>
      <c r="J158" s="140"/>
      <c r="K158" s="140"/>
      <c r="L158" s="140"/>
      <c r="M158" s="140"/>
      <c r="N158" s="140"/>
    </row>
    <row r="159" customFormat="false" ht="15.75" hidden="false" customHeight="true" outlineLevel="0" collapsed="false">
      <c r="A159" s="140"/>
      <c r="B159" s="140"/>
      <c r="C159" s="140"/>
      <c r="D159" s="140"/>
      <c r="F159" s="140"/>
      <c r="G159" s="140"/>
      <c r="H159" s="140"/>
      <c r="I159" s="140"/>
      <c r="J159" s="140"/>
      <c r="K159" s="140"/>
      <c r="L159" s="140"/>
      <c r="M159" s="140"/>
      <c r="N159" s="140"/>
    </row>
    <row r="160" customFormat="false" ht="15.75" hidden="false" customHeight="true" outlineLevel="0" collapsed="false">
      <c r="A160" s="140"/>
      <c r="B160" s="140"/>
      <c r="C160" s="140"/>
      <c r="D160" s="140"/>
      <c r="F160" s="140"/>
      <c r="G160" s="140"/>
      <c r="H160" s="140"/>
      <c r="I160" s="140"/>
      <c r="J160" s="140"/>
      <c r="K160" s="140"/>
      <c r="L160" s="140"/>
      <c r="M160" s="140"/>
      <c r="N160" s="140"/>
    </row>
    <row r="161" customFormat="false" ht="15.75" hidden="false" customHeight="true" outlineLevel="0" collapsed="false">
      <c r="A161" s="140"/>
      <c r="B161" s="140"/>
      <c r="C161" s="140"/>
      <c r="D161" s="140"/>
      <c r="F161" s="140"/>
      <c r="G161" s="140"/>
      <c r="H161" s="140"/>
      <c r="I161" s="140"/>
      <c r="J161" s="140"/>
      <c r="K161" s="140"/>
      <c r="L161" s="140"/>
      <c r="M161" s="140"/>
      <c r="N161" s="140"/>
    </row>
    <row r="162" customFormat="false" ht="15.75" hidden="false" customHeight="true" outlineLevel="0" collapsed="false">
      <c r="A162" s="140"/>
      <c r="B162" s="140"/>
      <c r="C162" s="140"/>
      <c r="D162" s="140"/>
      <c r="F162" s="140"/>
      <c r="G162" s="140"/>
      <c r="H162" s="140"/>
      <c r="I162" s="140"/>
      <c r="J162" s="140"/>
      <c r="K162" s="140"/>
      <c r="L162" s="140"/>
      <c r="M162" s="140"/>
      <c r="N162" s="140"/>
    </row>
    <row r="163" customFormat="false" ht="15.75" hidden="false" customHeight="true" outlineLevel="0" collapsed="false">
      <c r="A163" s="140"/>
      <c r="B163" s="140"/>
      <c r="C163" s="140"/>
      <c r="D163" s="140"/>
      <c r="F163" s="140"/>
      <c r="G163" s="140"/>
      <c r="H163" s="140"/>
      <c r="I163" s="140"/>
      <c r="J163" s="140"/>
      <c r="K163" s="140"/>
      <c r="L163" s="140"/>
      <c r="M163" s="140"/>
      <c r="N163" s="140"/>
    </row>
    <row r="164" customFormat="false" ht="15.75" hidden="false" customHeight="true" outlineLevel="0" collapsed="false">
      <c r="A164" s="140"/>
      <c r="B164" s="140"/>
      <c r="C164" s="140"/>
      <c r="D164" s="140"/>
      <c r="F164" s="140"/>
      <c r="G164" s="140"/>
      <c r="H164" s="140"/>
      <c r="I164" s="140"/>
      <c r="J164" s="140"/>
      <c r="K164" s="140"/>
      <c r="L164" s="140"/>
      <c r="M164" s="140"/>
      <c r="N164" s="140"/>
    </row>
    <row r="165" customFormat="false" ht="15.75" hidden="false" customHeight="true" outlineLevel="0" collapsed="false">
      <c r="A165" s="140"/>
      <c r="B165" s="140"/>
      <c r="C165" s="140"/>
      <c r="D165" s="140"/>
      <c r="F165" s="140"/>
      <c r="G165" s="140"/>
      <c r="H165" s="140"/>
      <c r="I165" s="140"/>
      <c r="J165" s="140"/>
      <c r="K165" s="140"/>
      <c r="L165" s="140"/>
      <c r="M165" s="140"/>
      <c r="N165" s="140"/>
    </row>
    <row r="166" customFormat="false" ht="15.75" hidden="false" customHeight="true" outlineLevel="0" collapsed="false">
      <c r="A166" s="140"/>
      <c r="B166" s="140"/>
      <c r="C166" s="140"/>
      <c r="D166" s="140"/>
      <c r="F166" s="140"/>
      <c r="G166" s="140"/>
      <c r="H166" s="140"/>
      <c r="I166" s="140"/>
      <c r="J166" s="140"/>
      <c r="K166" s="140"/>
      <c r="L166" s="140"/>
      <c r="M166" s="140"/>
      <c r="N166" s="140"/>
    </row>
    <row r="167" customFormat="false" ht="15.75" hidden="false" customHeight="true" outlineLevel="0" collapsed="false">
      <c r="A167" s="140"/>
      <c r="B167" s="140"/>
      <c r="C167" s="140"/>
      <c r="D167" s="140"/>
      <c r="F167" s="140"/>
      <c r="G167" s="140"/>
      <c r="H167" s="140"/>
      <c r="I167" s="140"/>
      <c r="J167" s="140"/>
      <c r="K167" s="140"/>
      <c r="L167" s="140"/>
      <c r="M167" s="140"/>
      <c r="N167" s="140"/>
    </row>
    <row r="168" customFormat="false" ht="15.75" hidden="false" customHeight="true" outlineLevel="0" collapsed="false">
      <c r="A168" s="140"/>
      <c r="B168" s="140"/>
      <c r="C168" s="140"/>
      <c r="D168" s="140"/>
      <c r="F168" s="140"/>
      <c r="G168" s="140"/>
      <c r="H168" s="140"/>
      <c r="I168" s="140"/>
      <c r="J168" s="140"/>
      <c r="K168" s="140"/>
      <c r="L168" s="140"/>
      <c r="M168" s="140"/>
      <c r="N168" s="140"/>
    </row>
    <row r="169" customFormat="false" ht="15.75" hidden="false" customHeight="true" outlineLevel="0" collapsed="false">
      <c r="A169" s="140"/>
      <c r="B169" s="140"/>
      <c r="C169" s="140"/>
      <c r="D169" s="140"/>
      <c r="F169" s="140"/>
      <c r="G169" s="140"/>
      <c r="H169" s="140"/>
      <c r="I169" s="140"/>
      <c r="J169" s="140"/>
      <c r="K169" s="140"/>
      <c r="L169" s="140"/>
      <c r="M169" s="140"/>
      <c r="N169" s="140"/>
    </row>
    <row r="170" customFormat="false" ht="15.75" hidden="false" customHeight="true" outlineLevel="0" collapsed="false">
      <c r="A170" s="140"/>
      <c r="B170" s="140"/>
      <c r="C170" s="140"/>
      <c r="D170" s="140"/>
      <c r="F170" s="140"/>
      <c r="G170" s="140"/>
      <c r="H170" s="140"/>
      <c r="I170" s="140"/>
      <c r="J170" s="140"/>
      <c r="K170" s="140"/>
      <c r="L170" s="140"/>
      <c r="M170" s="140"/>
      <c r="N170" s="140"/>
    </row>
    <row r="171" customFormat="false" ht="15.75" hidden="false" customHeight="true" outlineLevel="0" collapsed="false">
      <c r="A171" s="140"/>
      <c r="B171" s="140"/>
      <c r="C171" s="140"/>
      <c r="D171" s="140"/>
      <c r="F171" s="140"/>
      <c r="G171" s="140"/>
      <c r="H171" s="140"/>
      <c r="I171" s="140"/>
      <c r="J171" s="140"/>
      <c r="K171" s="140"/>
      <c r="L171" s="140"/>
      <c r="M171" s="140"/>
      <c r="N171" s="140"/>
    </row>
    <row r="172" customFormat="false" ht="15.75" hidden="false" customHeight="true" outlineLevel="0" collapsed="false">
      <c r="A172" s="140"/>
      <c r="B172" s="140"/>
      <c r="C172" s="140"/>
      <c r="D172" s="140"/>
      <c r="F172" s="140"/>
      <c r="G172" s="140"/>
      <c r="H172" s="140"/>
      <c r="I172" s="140"/>
      <c r="J172" s="140"/>
      <c r="K172" s="140"/>
      <c r="L172" s="140"/>
      <c r="M172" s="140"/>
      <c r="N172" s="140"/>
    </row>
    <row r="173" customFormat="false" ht="15.75" hidden="false" customHeight="true" outlineLevel="0" collapsed="false">
      <c r="A173" s="140"/>
      <c r="B173" s="140"/>
      <c r="C173" s="140"/>
      <c r="D173" s="140"/>
      <c r="F173" s="140"/>
      <c r="G173" s="140"/>
      <c r="H173" s="140"/>
      <c r="I173" s="140"/>
      <c r="J173" s="140"/>
      <c r="K173" s="140"/>
      <c r="L173" s="140"/>
      <c r="M173" s="140"/>
      <c r="N173" s="140"/>
    </row>
    <row r="174" customFormat="false" ht="15.75" hidden="false" customHeight="true" outlineLevel="0" collapsed="false">
      <c r="A174" s="140"/>
      <c r="B174" s="140"/>
      <c r="C174" s="140"/>
      <c r="D174" s="140"/>
      <c r="F174" s="140"/>
      <c r="G174" s="140"/>
      <c r="H174" s="140"/>
      <c r="I174" s="140"/>
      <c r="J174" s="140"/>
      <c r="K174" s="140"/>
      <c r="L174" s="140"/>
      <c r="M174" s="140"/>
      <c r="N174" s="140"/>
    </row>
    <row r="175" customFormat="false" ht="15.75" hidden="false" customHeight="true" outlineLevel="0" collapsed="false">
      <c r="A175" s="140"/>
      <c r="B175" s="140"/>
      <c r="C175" s="140"/>
      <c r="D175" s="140"/>
      <c r="F175" s="140"/>
      <c r="G175" s="140"/>
      <c r="H175" s="140"/>
      <c r="I175" s="140"/>
      <c r="J175" s="140"/>
      <c r="K175" s="140"/>
      <c r="L175" s="140"/>
      <c r="M175" s="140"/>
      <c r="N175" s="140"/>
    </row>
    <row r="176" customFormat="false" ht="15.75" hidden="false" customHeight="true" outlineLevel="0" collapsed="false">
      <c r="A176" s="140"/>
      <c r="B176" s="140"/>
      <c r="C176" s="140"/>
      <c r="D176" s="140"/>
      <c r="F176" s="140"/>
      <c r="G176" s="140"/>
      <c r="H176" s="140"/>
      <c r="I176" s="140"/>
      <c r="J176" s="140"/>
      <c r="K176" s="140"/>
      <c r="L176" s="140"/>
      <c r="M176" s="140"/>
      <c r="N176" s="140"/>
    </row>
    <row r="177" customFormat="false" ht="15.75" hidden="false" customHeight="true" outlineLevel="0" collapsed="false">
      <c r="A177" s="140"/>
      <c r="B177" s="140"/>
      <c r="C177" s="140"/>
      <c r="D177" s="140"/>
      <c r="F177" s="140"/>
      <c r="G177" s="140"/>
      <c r="H177" s="140"/>
      <c r="I177" s="140"/>
      <c r="J177" s="140"/>
      <c r="K177" s="140"/>
      <c r="L177" s="140"/>
      <c r="M177" s="140"/>
      <c r="N177" s="140"/>
    </row>
    <row r="178" customFormat="false" ht="15.75" hidden="false" customHeight="true" outlineLevel="0" collapsed="false">
      <c r="A178" s="140"/>
      <c r="B178" s="140"/>
      <c r="C178" s="140"/>
      <c r="D178" s="140"/>
      <c r="F178" s="140"/>
      <c r="G178" s="140"/>
      <c r="H178" s="140"/>
      <c r="I178" s="140"/>
      <c r="J178" s="140"/>
      <c r="K178" s="140"/>
      <c r="L178" s="140"/>
      <c r="M178" s="140"/>
      <c r="N178" s="140"/>
    </row>
    <row r="179" customFormat="false" ht="15.75" hidden="false" customHeight="true" outlineLevel="0" collapsed="false">
      <c r="A179" s="140"/>
      <c r="B179" s="140"/>
      <c r="C179" s="140"/>
      <c r="D179" s="140"/>
      <c r="F179" s="140"/>
      <c r="G179" s="140"/>
      <c r="H179" s="140"/>
      <c r="I179" s="140"/>
      <c r="J179" s="140"/>
      <c r="K179" s="140"/>
      <c r="L179" s="140"/>
      <c r="M179" s="140"/>
      <c r="N179" s="140"/>
    </row>
    <row r="180" customFormat="false" ht="15.75" hidden="false" customHeight="true" outlineLevel="0" collapsed="false">
      <c r="A180" s="140"/>
      <c r="B180" s="140"/>
      <c r="C180" s="140"/>
      <c r="D180" s="140"/>
      <c r="F180" s="140"/>
      <c r="G180" s="140"/>
      <c r="H180" s="140"/>
      <c r="I180" s="140"/>
      <c r="J180" s="140"/>
      <c r="K180" s="140"/>
      <c r="L180" s="140"/>
      <c r="M180" s="140"/>
      <c r="N180" s="140"/>
    </row>
    <row r="181" customFormat="false" ht="15.75" hidden="false" customHeight="true" outlineLevel="0" collapsed="false">
      <c r="A181" s="140"/>
      <c r="B181" s="140"/>
      <c r="C181" s="140"/>
      <c r="D181" s="140"/>
      <c r="F181" s="140"/>
      <c r="G181" s="140"/>
      <c r="H181" s="140"/>
      <c r="I181" s="140"/>
      <c r="J181" s="140"/>
      <c r="K181" s="140"/>
      <c r="L181" s="140"/>
      <c r="M181" s="140"/>
      <c r="N181" s="140"/>
    </row>
    <row r="182" customFormat="false" ht="15.75" hidden="false" customHeight="true" outlineLevel="0" collapsed="false">
      <c r="A182" s="140"/>
      <c r="B182" s="140"/>
      <c r="C182" s="140"/>
      <c r="D182" s="140"/>
      <c r="F182" s="140"/>
      <c r="G182" s="140"/>
      <c r="H182" s="140"/>
      <c r="I182" s="140"/>
      <c r="J182" s="140"/>
      <c r="K182" s="140"/>
      <c r="L182" s="140"/>
      <c r="M182" s="140"/>
      <c r="N182" s="140"/>
    </row>
    <row r="183" customFormat="false" ht="15.75" hidden="false" customHeight="true" outlineLevel="0" collapsed="false">
      <c r="A183" s="140"/>
      <c r="B183" s="140"/>
      <c r="C183" s="140"/>
      <c r="D183" s="140"/>
      <c r="F183" s="140"/>
      <c r="G183" s="140"/>
      <c r="H183" s="140"/>
      <c r="I183" s="140"/>
      <c r="J183" s="140"/>
      <c r="K183" s="140"/>
      <c r="L183" s="140"/>
      <c r="M183" s="140"/>
      <c r="N183" s="140"/>
    </row>
    <row r="184" customFormat="false" ht="15.75" hidden="false" customHeight="true" outlineLevel="0" collapsed="false">
      <c r="A184" s="140"/>
      <c r="B184" s="140"/>
      <c r="C184" s="140"/>
      <c r="D184" s="140"/>
      <c r="F184" s="140"/>
      <c r="G184" s="140"/>
      <c r="H184" s="140"/>
      <c r="I184" s="140"/>
      <c r="J184" s="140"/>
      <c r="K184" s="140"/>
      <c r="L184" s="140"/>
      <c r="M184" s="140"/>
      <c r="N184" s="140"/>
    </row>
    <row r="185" customFormat="false" ht="15.75" hidden="false" customHeight="true" outlineLevel="0" collapsed="false">
      <c r="A185" s="140"/>
      <c r="B185" s="140"/>
      <c r="C185" s="140"/>
      <c r="D185" s="140"/>
      <c r="F185" s="140"/>
      <c r="G185" s="140"/>
      <c r="H185" s="140"/>
      <c r="I185" s="140"/>
      <c r="J185" s="140"/>
      <c r="K185" s="140"/>
      <c r="L185" s="140"/>
      <c r="M185" s="140"/>
      <c r="N185" s="140"/>
    </row>
    <row r="186" customFormat="false" ht="15.75" hidden="false" customHeight="true" outlineLevel="0" collapsed="false">
      <c r="A186" s="140"/>
      <c r="B186" s="140"/>
      <c r="C186" s="140"/>
      <c r="D186" s="140"/>
      <c r="F186" s="140"/>
      <c r="G186" s="140"/>
      <c r="H186" s="140"/>
      <c r="I186" s="140"/>
      <c r="J186" s="140"/>
      <c r="K186" s="140"/>
      <c r="L186" s="140"/>
      <c r="M186" s="140"/>
      <c r="N186" s="140"/>
    </row>
    <row r="187" customFormat="false" ht="15.75" hidden="false" customHeight="true" outlineLevel="0" collapsed="false">
      <c r="A187" s="140"/>
      <c r="B187" s="140"/>
      <c r="C187" s="140"/>
      <c r="D187" s="140"/>
      <c r="F187" s="140"/>
      <c r="G187" s="140"/>
      <c r="H187" s="140"/>
      <c r="I187" s="140"/>
      <c r="J187" s="140"/>
      <c r="K187" s="140"/>
      <c r="L187" s="140"/>
      <c r="M187" s="140"/>
      <c r="N187" s="140"/>
    </row>
    <row r="188" customFormat="false" ht="15.75" hidden="false" customHeight="true" outlineLevel="0" collapsed="false">
      <c r="A188" s="140"/>
      <c r="B188" s="140"/>
      <c r="C188" s="140"/>
      <c r="D188" s="140"/>
      <c r="F188" s="140"/>
      <c r="G188" s="140"/>
      <c r="H188" s="140"/>
      <c r="I188" s="140"/>
      <c r="J188" s="140"/>
      <c r="K188" s="140"/>
      <c r="L188" s="140"/>
      <c r="M188" s="140"/>
      <c r="N188" s="140"/>
    </row>
    <row r="189" customFormat="false" ht="15.75" hidden="false" customHeight="true" outlineLevel="0" collapsed="false">
      <c r="A189" s="140"/>
      <c r="B189" s="140"/>
      <c r="C189" s="140"/>
      <c r="D189" s="140"/>
      <c r="F189" s="140"/>
      <c r="G189" s="140"/>
      <c r="H189" s="140"/>
      <c r="I189" s="140"/>
      <c r="J189" s="140"/>
      <c r="K189" s="140"/>
      <c r="L189" s="140"/>
      <c r="M189" s="140"/>
      <c r="N189" s="140"/>
    </row>
    <row r="190" customFormat="false" ht="15.75" hidden="false" customHeight="true" outlineLevel="0" collapsed="false">
      <c r="A190" s="140"/>
      <c r="B190" s="140"/>
      <c r="C190" s="140"/>
      <c r="D190" s="140"/>
      <c r="F190" s="140"/>
      <c r="G190" s="140"/>
      <c r="H190" s="140"/>
      <c r="I190" s="140"/>
      <c r="J190" s="140"/>
      <c r="K190" s="140"/>
      <c r="L190" s="140"/>
      <c r="M190" s="140"/>
      <c r="N190" s="140"/>
    </row>
    <row r="191" customFormat="false" ht="15.75" hidden="false" customHeight="true" outlineLevel="0" collapsed="false">
      <c r="A191" s="140"/>
      <c r="B191" s="140"/>
      <c r="C191" s="140"/>
      <c r="D191" s="140"/>
      <c r="F191" s="140"/>
      <c r="G191" s="140"/>
      <c r="H191" s="140"/>
      <c r="I191" s="140"/>
      <c r="J191" s="140"/>
      <c r="K191" s="140"/>
      <c r="L191" s="140"/>
      <c r="M191" s="140"/>
      <c r="N191" s="140"/>
    </row>
    <row r="192" customFormat="false" ht="15.75" hidden="false" customHeight="true" outlineLevel="0" collapsed="false">
      <c r="A192" s="140"/>
      <c r="B192" s="140"/>
      <c r="C192" s="140"/>
      <c r="D192" s="140"/>
      <c r="F192" s="140"/>
      <c r="G192" s="140"/>
      <c r="H192" s="140"/>
      <c r="I192" s="140"/>
      <c r="J192" s="140"/>
      <c r="K192" s="140"/>
      <c r="L192" s="140"/>
      <c r="M192" s="140"/>
      <c r="N192" s="140"/>
    </row>
    <row r="193" customFormat="false" ht="15.75" hidden="false" customHeight="true" outlineLevel="0" collapsed="false">
      <c r="A193" s="140"/>
      <c r="B193" s="140"/>
      <c r="C193" s="140"/>
      <c r="D193" s="140"/>
      <c r="F193" s="140"/>
      <c r="G193" s="140"/>
      <c r="H193" s="140"/>
      <c r="I193" s="140"/>
      <c r="J193" s="140"/>
      <c r="K193" s="140"/>
      <c r="L193" s="140"/>
      <c r="M193" s="140"/>
      <c r="N193" s="140"/>
    </row>
    <row r="194" customFormat="false" ht="15.75" hidden="false" customHeight="true" outlineLevel="0" collapsed="false">
      <c r="A194" s="140"/>
      <c r="B194" s="140"/>
      <c r="C194" s="140"/>
      <c r="D194" s="140"/>
      <c r="F194" s="140"/>
      <c r="G194" s="140"/>
      <c r="H194" s="140"/>
      <c r="I194" s="140"/>
      <c r="J194" s="140"/>
      <c r="K194" s="140"/>
      <c r="L194" s="140"/>
      <c r="M194" s="140"/>
      <c r="N194" s="140"/>
    </row>
    <row r="195" customFormat="false" ht="15.75" hidden="false" customHeight="true" outlineLevel="0" collapsed="false">
      <c r="A195" s="140"/>
      <c r="B195" s="140"/>
      <c r="C195" s="140"/>
      <c r="D195" s="140"/>
      <c r="F195" s="140"/>
      <c r="G195" s="140"/>
      <c r="H195" s="140"/>
      <c r="I195" s="140"/>
      <c r="J195" s="140"/>
      <c r="K195" s="140"/>
      <c r="L195" s="140"/>
      <c r="M195" s="140"/>
      <c r="N195" s="140"/>
    </row>
    <row r="196" customFormat="false" ht="15.75" hidden="false" customHeight="true" outlineLevel="0" collapsed="false">
      <c r="A196" s="140"/>
      <c r="B196" s="140"/>
      <c r="C196" s="140"/>
      <c r="D196" s="140"/>
      <c r="F196" s="140"/>
      <c r="G196" s="140"/>
      <c r="H196" s="140"/>
      <c r="I196" s="140"/>
      <c r="J196" s="140"/>
      <c r="K196" s="140"/>
      <c r="L196" s="140"/>
      <c r="M196" s="140"/>
      <c r="N196" s="140"/>
    </row>
    <row r="197" customFormat="false" ht="15.75" hidden="false" customHeight="true" outlineLevel="0" collapsed="false">
      <c r="A197" s="140"/>
      <c r="B197" s="140"/>
      <c r="C197" s="140"/>
      <c r="D197" s="140"/>
      <c r="F197" s="140"/>
      <c r="G197" s="140"/>
      <c r="H197" s="140"/>
      <c r="I197" s="140"/>
      <c r="J197" s="140"/>
      <c r="K197" s="140"/>
      <c r="L197" s="140"/>
      <c r="M197" s="140"/>
      <c r="N197" s="140"/>
    </row>
    <row r="198" customFormat="false" ht="15.75" hidden="false" customHeight="true" outlineLevel="0" collapsed="false">
      <c r="A198" s="140"/>
      <c r="B198" s="140"/>
      <c r="C198" s="140"/>
      <c r="D198" s="140"/>
      <c r="F198" s="140"/>
      <c r="G198" s="140"/>
      <c r="H198" s="140"/>
      <c r="I198" s="140"/>
      <c r="J198" s="140"/>
      <c r="K198" s="140"/>
      <c r="L198" s="140"/>
      <c r="M198" s="140"/>
      <c r="N198" s="140"/>
    </row>
    <row r="199" customFormat="false" ht="15.75" hidden="false" customHeight="true" outlineLevel="0" collapsed="false">
      <c r="A199" s="140"/>
      <c r="B199" s="140"/>
      <c r="C199" s="140"/>
      <c r="D199" s="140"/>
      <c r="F199" s="140"/>
      <c r="G199" s="140"/>
      <c r="H199" s="140"/>
      <c r="I199" s="140"/>
      <c r="J199" s="140"/>
      <c r="K199" s="140"/>
      <c r="L199" s="140"/>
      <c r="M199" s="140"/>
      <c r="N199" s="140"/>
    </row>
    <row r="200" customFormat="false" ht="15.75" hidden="false" customHeight="true" outlineLevel="0" collapsed="false">
      <c r="A200" s="140"/>
      <c r="B200" s="140"/>
      <c r="C200" s="140"/>
      <c r="D200" s="140"/>
      <c r="F200" s="140"/>
      <c r="G200" s="140"/>
      <c r="H200" s="140"/>
      <c r="I200" s="140"/>
      <c r="J200" s="140"/>
      <c r="K200" s="140"/>
      <c r="L200" s="140"/>
      <c r="M200" s="140"/>
      <c r="N200" s="140"/>
    </row>
    <row r="201" customFormat="false" ht="15.75" hidden="false" customHeight="true" outlineLevel="0" collapsed="false">
      <c r="A201" s="140"/>
      <c r="B201" s="140"/>
      <c r="C201" s="140"/>
      <c r="D201" s="140"/>
      <c r="F201" s="140"/>
      <c r="G201" s="140"/>
      <c r="H201" s="140"/>
      <c r="I201" s="140"/>
      <c r="J201" s="140"/>
      <c r="K201" s="140"/>
      <c r="L201" s="140"/>
      <c r="M201" s="140"/>
      <c r="N201" s="140"/>
    </row>
    <row r="202" customFormat="false" ht="15.75" hidden="false" customHeight="true" outlineLevel="0" collapsed="false">
      <c r="A202" s="140"/>
      <c r="B202" s="140"/>
      <c r="C202" s="140"/>
      <c r="D202" s="140"/>
      <c r="F202" s="140"/>
      <c r="G202" s="140"/>
      <c r="H202" s="140"/>
      <c r="I202" s="140"/>
      <c r="J202" s="140"/>
      <c r="K202" s="140"/>
      <c r="L202" s="140"/>
      <c r="M202" s="140"/>
      <c r="N202" s="140"/>
    </row>
    <row r="203" customFormat="false" ht="15.75" hidden="false" customHeight="true" outlineLevel="0" collapsed="false">
      <c r="A203" s="140"/>
      <c r="B203" s="140"/>
      <c r="C203" s="140"/>
      <c r="D203" s="140"/>
      <c r="F203" s="140"/>
      <c r="G203" s="140"/>
      <c r="H203" s="140"/>
      <c r="I203" s="140"/>
      <c r="J203" s="140"/>
      <c r="K203" s="140"/>
      <c r="L203" s="140"/>
      <c r="M203" s="140"/>
      <c r="N203" s="140"/>
    </row>
    <row r="204" customFormat="false" ht="15.75" hidden="false" customHeight="true" outlineLevel="0" collapsed="false">
      <c r="A204" s="140"/>
      <c r="B204" s="140"/>
      <c r="C204" s="140"/>
      <c r="D204" s="140"/>
      <c r="F204" s="140"/>
      <c r="G204" s="140"/>
      <c r="H204" s="140"/>
      <c r="I204" s="140"/>
      <c r="J204" s="140"/>
      <c r="K204" s="140"/>
      <c r="L204" s="140"/>
      <c r="M204" s="140"/>
      <c r="N204" s="140"/>
    </row>
    <row r="205" customFormat="false" ht="15.75" hidden="false" customHeight="true" outlineLevel="0" collapsed="false">
      <c r="A205" s="140"/>
      <c r="B205" s="140"/>
      <c r="C205" s="140"/>
      <c r="D205" s="140"/>
      <c r="F205" s="140"/>
      <c r="G205" s="140"/>
      <c r="H205" s="140"/>
      <c r="I205" s="140"/>
      <c r="J205" s="140"/>
      <c r="K205" s="140"/>
      <c r="L205" s="140"/>
      <c r="M205" s="140"/>
      <c r="N205" s="140"/>
    </row>
    <row r="206" customFormat="false" ht="15.75" hidden="false" customHeight="true" outlineLevel="0" collapsed="false">
      <c r="A206" s="140"/>
      <c r="B206" s="140"/>
      <c r="C206" s="140"/>
      <c r="D206" s="140"/>
      <c r="F206" s="140"/>
      <c r="G206" s="140"/>
      <c r="H206" s="140"/>
      <c r="I206" s="140"/>
      <c r="J206" s="140"/>
      <c r="K206" s="140"/>
      <c r="L206" s="140"/>
      <c r="M206" s="140"/>
      <c r="N206" s="140"/>
    </row>
    <row r="207" customFormat="false" ht="15.75" hidden="false" customHeight="true" outlineLevel="0" collapsed="false">
      <c r="A207" s="140"/>
      <c r="B207" s="140"/>
      <c r="C207" s="140"/>
      <c r="D207" s="140"/>
      <c r="F207" s="140"/>
      <c r="G207" s="140"/>
      <c r="H207" s="140"/>
      <c r="I207" s="140"/>
      <c r="J207" s="140"/>
      <c r="K207" s="140"/>
      <c r="L207" s="140"/>
      <c r="M207" s="140"/>
      <c r="N207" s="140"/>
    </row>
    <row r="208" customFormat="false" ht="15.75" hidden="false" customHeight="true" outlineLevel="0" collapsed="false">
      <c r="A208" s="140"/>
      <c r="B208" s="140"/>
      <c r="C208" s="140"/>
      <c r="D208" s="140"/>
      <c r="F208" s="140"/>
      <c r="G208" s="140"/>
      <c r="H208" s="140"/>
      <c r="I208" s="140"/>
      <c r="J208" s="140"/>
      <c r="K208" s="140"/>
      <c r="L208" s="140"/>
      <c r="M208" s="140"/>
      <c r="N208" s="140"/>
    </row>
    <row r="209" customFormat="false" ht="15.75" hidden="false" customHeight="true" outlineLevel="0" collapsed="false">
      <c r="A209" s="140"/>
      <c r="B209" s="140"/>
      <c r="C209" s="140"/>
      <c r="D209" s="140"/>
      <c r="F209" s="140"/>
      <c r="G209" s="140"/>
      <c r="H209" s="140"/>
      <c r="I209" s="140"/>
      <c r="J209" s="140"/>
      <c r="K209" s="140"/>
      <c r="L209" s="140"/>
      <c r="M209" s="140"/>
      <c r="N209" s="140"/>
    </row>
    <row r="210" customFormat="false" ht="15.75" hidden="false" customHeight="true" outlineLevel="0" collapsed="false">
      <c r="A210" s="140"/>
      <c r="B210" s="140"/>
      <c r="C210" s="140"/>
      <c r="D210" s="140"/>
      <c r="F210" s="140"/>
      <c r="G210" s="140"/>
      <c r="H210" s="140"/>
      <c r="I210" s="140"/>
      <c r="J210" s="140"/>
      <c r="K210" s="140"/>
      <c r="L210" s="140"/>
      <c r="M210" s="140"/>
      <c r="N210" s="140"/>
    </row>
    <row r="211" customFormat="false" ht="15.75" hidden="false" customHeight="true" outlineLevel="0" collapsed="false">
      <c r="A211" s="140"/>
      <c r="B211" s="140"/>
      <c r="C211" s="140"/>
      <c r="D211" s="140"/>
      <c r="F211" s="140"/>
      <c r="G211" s="140"/>
      <c r="H211" s="140"/>
      <c r="I211" s="140"/>
      <c r="J211" s="140"/>
      <c r="K211" s="140"/>
      <c r="L211" s="140"/>
      <c r="M211" s="140"/>
      <c r="N211" s="140"/>
    </row>
    <row r="212" customFormat="false" ht="15.75" hidden="false" customHeight="true" outlineLevel="0" collapsed="false">
      <c r="A212" s="140"/>
      <c r="B212" s="140"/>
      <c r="C212" s="140"/>
      <c r="D212" s="140"/>
      <c r="F212" s="140"/>
      <c r="G212" s="140"/>
      <c r="H212" s="140"/>
      <c r="I212" s="140"/>
      <c r="J212" s="140"/>
      <c r="K212" s="140"/>
      <c r="L212" s="140"/>
      <c r="M212" s="140"/>
      <c r="N212" s="140"/>
    </row>
    <row r="213" customFormat="false" ht="15.75" hidden="false" customHeight="true" outlineLevel="0" collapsed="false">
      <c r="A213" s="140"/>
      <c r="B213" s="140"/>
      <c r="C213" s="140"/>
      <c r="D213" s="140"/>
      <c r="F213" s="140"/>
      <c r="G213" s="140"/>
      <c r="H213" s="140"/>
      <c r="I213" s="140"/>
      <c r="J213" s="140"/>
      <c r="K213" s="140"/>
      <c r="L213" s="140"/>
      <c r="M213" s="140"/>
      <c r="N213" s="140"/>
    </row>
    <row r="214" customFormat="false" ht="15.75" hidden="false" customHeight="true" outlineLevel="0" collapsed="false">
      <c r="A214" s="140"/>
      <c r="B214" s="140"/>
      <c r="C214" s="140"/>
      <c r="D214" s="140"/>
      <c r="F214" s="140"/>
      <c r="G214" s="140"/>
      <c r="H214" s="140"/>
      <c r="I214" s="140"/>
      <c r="J214" s="140"/>
      <c r="K214" s="140"/>
      <c r="L214" s="140"/>
      <c r="M214" s="140"/>
      <c r="N214" s="140"/>
    </row>
    <row r="215" customFormat="false" ht="15.75" hidden="false" customHeight="true" outlineLevel="0" collapsed="false">
      <c r="A215" s="140"/>
      <c r="B215" s="140"/>
      <c r="C215" s="140"/>
      <c r="D215" s="140"/>
      <c r="F215" s="140"/>
      <c r="G215" s="140"/>
      <c r="H215" s="140"/>
      <c r="I215" s="140"/>
      <c r="J215" s="140"/>
      <c r="K215" s="140"/>
      <c r="L215" s="140"/>
      <c r="M215" s="140"/>
      <c r="N215" s="140"/>
    </row>
    <row r="216" customFormat="false" ht="15.75" hidden="false" customHeight="true" outlineLevel="0" collapsed="false">
      <c r="A216" s="140"/>
      <c r="B216" s="140"/>
      <c r="C216" s="140"/>
      <c r="D216" s="140"/>
      <c r="F216" s="140"/>
      <c r="G216" s="140"/>
      <c r="H216" s="140"/>
      <c r="I216" s="140"/>
      <c r="J216" s="140"/>
      <c r="K216" s="140"/>
      <c r="L216" s="140"/>
      <c r="M216" s="140"/>
      <c r="N216" s="140"/>
    </row>
    <row r="217" customFormat="false" ht="15.75" hidden="false" customHeight="true" outlineLevel="0" collapsed="false">
      <c r="A217" s="140"/>
      <c r="B217" s="140"/>
      <c r="C217" s="140"/>
      <c r="D217" s="140"/>
      <c r="F217" s="140"/>
      <c r="G217" s="140"/>
      <c r="H217" s="140"/>
      <c r="I217" s="140"/>
      <c r="J217" s="140"/>
      <c r="K217" s="140"/>
      <c r="L217" s="140"/>
      <c r="M217" s="140"/>
      <c r="N217" s="140"/>
    </row>
    <row r="218" customFormat="false" ht="15.75" hidden="false" customHeight="true" outlineLevel="0" collapsed="false">
      <c r="A218" s="140"/>
      <c r="B218" s="140"/>
      <c r="C218" s="140"/>
      <c r="D218" s="140"/>
      <c r="F218" s="140"/>
      <c r="G218" s="140"/>
      <c r="H218" s="140"/>
      <c r="I218" s="140"/>
      <c r="J218" s="140"/>
      <c r="K218" s="140"/>
      <c r="L218" s="140"/>
      <c r="M218" s="140"/>
      <c r="N218" s="140"/>
    </row>
    <row r="219" customFormat="false" ht="15.75" hidden="false" customHeight="true" outlineLevel="0" collapsed="false">
      <c r="A219" s="140"/>
      <c r="B219" s="140"/>
      <c r="C219" s="140"/>
      <c r="D219" s="140"/>
      <c r="F219" s="140"/>
      <c r="G219" s="140"/>
      <c r="H219" s="140"/>
      <c r="I219" s="140"/>
      <c r="J219" s="140"/>
      <c r="K219" s="140"/>
      <c r="L219" s="140"/>
      <c r="M219" s="140"/>
      <c r="N219" s="140"/>
    </row>
    <row r="220" customFormat="false" ht="15.75" hidden="false" customHeight="true" outlineLevel="0" collapsed="false">
      <c r="A220" s="140"/>
      <c r="B220" s="140"/>
      <c r="C220" s="140"/>
      <c r="D220" s="140"/>
      <c r="F220" s="140"/>
      <c r="G220" s="140"/>
      <c r="H220" s="140"/>
      <c r="I220" s="140"/>
      <c r="J220" s="140"/>
      <c r="K220" s="140"/>
      <c r="L220" s="140"/>
      <c r="M220" s="140"/>
      <c r="N220" s="140"/>
    </row>
    <row r="221" customFormat="false" ht="15.75" hidden="false" customHeight="true" outlineLevel="0" collapsed="false">
      <c r="A221" s="140"/>
      <c r="B221" s="140"/>
      <c r="C221" s="140"/>
      <c r="D221" s="140"/>
      <c r="F221" s="140"/>
      <c r="G221" s="140"/>
      <c r="H221" s="140"/>
      <c r="I221" s="140"/>
      <c r="J221" s="140"/>
      <c r="K221" s="140"/>
      <c r="L221" s="140"/>
      <c r="M221" s="140"/>
      <c r="N221" s="140"/>
    </row>
    <row r="222" customFormat="false" ht="15.75" hidden="false" customHeight="true" outlineLevel="0" collapsed="false">
      <c r="A222" s="140"/>
      <c r="B222" s="140"/>
      <c r="C222" s="140"/>
      <c r="D222" s="140"/>
      <c r="F222" s="140"/>
      <c r="G222" s="140"/>
      <c r="H222" s="140"/>
      <c r="I222" s="140"/>
      <c r="J222" s="140"/>
      <c r="K222" s="140"/>
      <c r="L222" s="140"/>
      <c r="M222" s="140"/>
      <c r="N222" s="140"/>
    </row>
    <row r="223" customFormat="false" ht="15.75" hidden="false" customHeight="true" outlineLevel="0" collapsed="false">
      <c r="A223" s="140"/>
      <c r="B223" s="140"/>
      <c r="C223" s="140"/>
      <c r="D223" s="140"/>
      <c r="F223" s="140"/>
      <c r="G223" s="140"/>
      <c r="H223" s="140"/>
      <c r="I223" s="140"/>
      <c r="J223" s="140"/>
      <c r="K223" s="140"/>
      <c r="L223" s="140"/>
      <c r="M223" s="140"/>
      <c r="N223" s="140"/>
    </row>
    <row r="224" customFormat="false" ht="15.75" hidden="false" customHeight="true" outlineLevel="0" collapsed="false">
      <c r="A224" s="140"/>
      <c r="B224" s="140"/>
      <c r="C224" s="140"/>
      <c r="D224" s="140"/>
      <c r="F224" s="140"/>
      <c r="G224" s="140"/>
      <c r="H224" s="140"/>
      <c r="I224" s="140"/>
      <c r="J224" s="140"/>
      <c r="K224" s="140"/>
      <c r="L224" s="140"/>
      <c r="M224" s="140"/>
      <c r="N224" s="140"/>
    </row>
    <row r="225" customFormat="false" ht="15.75" hidden="false" customHeight="true" outlineLevel="0" collapsed="false">
      <c r="A225" s="140"/>
      <c r="B225" s="140"/>
      <c r="C225" s="140"/>
      <c r="D225" s="140"/>
      <c r="F225" s="140"/>
      <c r="G225" s="140"/>
      <c r="H225" s="140"/>
      <c r="I225" s="140"/>
      <c r="J225" s="140"/>
      <c r="K225" s="140"/>
      <c r="L225" s="140"/>
      <c r="M225" s="140"/>
      <c r="N225" s="140"/>
    </row>
    <row r="226" customFormat="false" ht="15.75" hidden="false" customHeight="true" outlineLevel="0" collapsed="false">
      <c r="A226" s="140"/>
      <c r="B226" s="140"/>
      <c r="C226" s="140"/>
      <c r="D226" s="140"/>
      <c r="F226" s="140"/>
      <c r="G226" s="140"/>
      <c r="H226" s="140"/>
      <c r="I226" s="140"/>
      <c r="J226" s="140"/>
      <c r="K226" s="140"/>
      <c r="L226" s="140"/>
      <c r="M226" s="140"/>
      <c r="N226" s="140"/>
    </row>
    <row r="227" customFormat="false" ht="15.75" hidden="false" customHeight="true" outlineLevel="0" collapsed="false">
      <c r="A227" s="140"/>
      <c r="B227" s="140"/>
      <c r="C227" s="140"/>
      <c r="D227" s="140"/>
      <c r="F227" s="140"/>
      <c r="G227" s="140"/>
      <c r="H227" s="140"/>
      <c r="I227" s="140"/>
      <c r="J227" s="140"/>
      <c r="K227" s="140"/>
      <c r="L227" s="140"/>
      <c r="M227" s="140"/>
      <c r="N227" s="140"/>
    </row>
    <row r="228" customFormat="false" ht="15.75" hidden="false" customHeight="true" outlineLevel="0" collapsed="false">
      <c r="A228" s="140"/>
      <c r="B228" s="140"/>
      <c r="C228" s="140"/>
      <c r="D228" s="140"/>
      <c r="F228" s="140"/>
      <c r="G228" s="140"/>
      <c r="H228" s="140"/>
      <c r="I228" s="140"/>
      <c r="J228" s="140"/>
      <c r="K228" s="140"/>
      <c r="L228" s="140"/>
      <c r="M228" s="140"/>
      <c r="N228" s="140"/>
    </row>
    <row r="229" customFormat="false" ht="15.75" hidden="false" customHeight="true" outlineLevel="0" collapsed="false">
      <c r="A229" s="140"/>
      <c r="B229" s="140"/>
      <c r="C229" s="140"/>
      <c r="D229" s="140"/>
      <c r="F229" s="140"/>
      <c r="G229" s="140"/>
      <c r="H229" s="140"/>
      <c r="I229" s="140"/>
      <c r="J229" s="140"/>
      <c r="K229" s="140"/>
      <c r="L229" s="140"/>
      <c r="M229" s="140"/>
      <c r="N229" s="140"/>
    </row>
    <row r="230" customFormat="false" ht="15.75" hidden="false" customHeight="true" outlineLevel="0" collapsed="false">
      <c r="A230" s="140"/>
      <c r="B230" s="140"/>
      <c r="C230" s="140"/>
      <c r="D230" s="140"/>
      <c r="F230" s="140"/>
      <c r="G230" s="140"/>
      <c r="H230" s="140"/>
      <c r="I230" s="140"/>
      <c r="J230" s="140"/>
      <c r="K230" s="140"/>
      <c r="L230" s="140"/>
      <c r="M230" s="140"/>
      <c r="N230" s="140"/>
    </row>
    <row r="231" customFormat="false" ht="15.75" hidden="false" customHeight="true" outlineLevel="0" collapsed="false">
      <c r="A231" s="140"/>
      <c r="B231" s="140"/>
      <c r="C231" s="140"/>
      <c r="D231" s="140"/>
      <c r="F231" s="140"/>
      <c r="G231" s="140"/>
      <c r="H231" s="140"/>
      <c r="I231" s="140"/>
      <c r="J231" s="140"/>
      <c r="K231" s="140"/>
      <c r="L231" s="140"/>
      <c r="M231" s="140"/>
      <c r="N231" s="140"/>
    </row>
    <row r="232" customFormat="false" ht="15.75" hidden="false" customHeight="true" outlineLevel="0" collapsed="false">
      <c r="A232" s="140"/>
      <c r="B232" s="140"/>
      <c r="C232" s="140"/>
      <c r="D232" s="140"/>
      <c r="F232" s="140"/>
      <c r="G232" s="140"/>
      <c r="H232" s="140"/>
      <c r="I232" s="140"/>
      <c r="J232" s="140"/>
      <c r="K232" s="140"/>
      <c r="L232" s="140"/>
      <c r="M232" s="140"/>
      <c r="N232" s="140"/>
    </row>
    <row r="233" customFormat="false" ht="15.75" hidden="false" customHeight="true" outlineLevel="0" collapsed="false">
      <c r="A233" s="140"/>
      <c r="B233" s="140"/>
      <c r="C233" s="140"/>
      <c r="D233" s="140"/>
      <c r="F233" s="140"/>
      <c r="G233" s="140"/>
      <c r="H233" s="140"/>
      <c r="I233" s="140"/>
      <c r="J233" s="140"/>
      <c r="K233" s="140"/>
      <c r="L233" s="140"/>
      <c r="M233" s="140"/>
      <c r="N233" s="140"/>
    </row>
    <row r="234" customFormat="false" ht="15.75" hidden="false" customHeight="true" outlineLevel="0" collapsed="false">
      <c r="A234" s="140"/>
      <c r="B234" s="140"/>
      <c r="C234" s="140"/>
      <c r="D234" s="140"/>
      <c r="F234" s="140"/>
      <c r="G234" s="140"/>
      <c r="H234" s="140"/>
      <c r="I234" s="140"/>
      <c r="J234" s="140"/>
      <c r="K234" s="140"/>
      <c r="L234" s="140"/>
      <c r="M234" s="140"/>
      <c r="N234" s="140"/>
    </row>
    <row r="235" customFormat="false" ht="15.75" hidden="false" customHeight="true" outlineLevel="0" collapsed="false">
      <c r="A235" s="140"/>
      <c r="B235" s="140"/>
      <c r="C235" s="140"/>
      <c r="D235" s="140"/>
      <c r="F235" s="140"/>
      <c r="G235" s="140"/>
      <c r="H235" s="140"/>
      <c r="I235" s="140"/>
      <c r="J235" s="140"/>
      <c r="K235" s="140"/>
      <c r="L235" s="140"/>
      <c r="M235" s="140"/>
      <c r="N235" s="140"/>
    </row>
    <row r="236" customFormat="false" ht="15.75" hidden="false" customHeight="true" outlineLevel="0" collapsed="false">
      <c r="A236" s="140"/>
      <c r="B236" s="140"/>
      <c r="C236" s="140"/>
      <c r="D236" s="140"/>
      <c r="F236" s="140"/>
      <c r="G236" s="140"/>
      <c r="H236" s="140"/>
      <c r="I236" s="140"/>
      <c r="J236" s="140"/>
      <c r="K236" s="140"/>
      <c r="L236" s="140"/>
      <c r="M236" s="140"/>
      <c r="N236" s="140"/>
    </row>
    <row r="237" customFormat="false" ht="15.75" hidden="false" customHeight="true" outlineLevel="0" collapsed="false">
      <c r="A237" s="140"/>
      <c r="B237" s="140"/>
      <c r="C237" s="140"/>
      <c r="D237" s="140"/>
      <c r="F237" s="140"/>
      <c r="G237" s="140"/>
      <c r="H237" s="140"/>
      <c r="I237" s="140"/>
      <c r="J237" s="140"/>
      <c r="K237" s="140"/>
      <c r="L237" s="140"/>
      <c r="M237" s="140"/>
      <c r="N237" s="140"/>
    </row>
    <row r="238" customFormat="false" ht="15.75" hidden="false" customHeight="true" outlineLevel="0" collapsed="false">
      <c r="A238" s="140"/>
      <c r="B238" s="140"/>
      <c r="C238" s="140"/>
      <c r="D238" s="140"/>
      <c r="F238" s="140"/>
      <c r="G238" s="140"/>
      <c r="H238" s="140"/>
      <c r="I238" s="140"/>
      <c r="J238" s="140"/>
      <c r="K238" s="140"/>
      <c r="L238" s="140"/>
      <c r="M238" s="140"/>
      <c r="N238" s="140"/>
    </row>
    <row r="239" customFormat="false" ht="15.75" hidden="false" customHeight="true" outlineLevel="0" collapsed="false">
      <c r="A239" s="140"/>
      <c r="B239" s="140"/>
      <c r="C239" s="140"/>
      <c r="D239" s="140"/>
      <c r="F239" s="140"/>
      <c r="G239" s="140"/>
      <c r="H239" s="140"/>
      <c r="I239" s="140"/>
      <c r="J239" s="140"/>
      <c r="K239" s="140"/>
      <c r="L239" s="140"/>
      <c r="M239" s="140"/>
      <c r="N239" s="140"/>
    </row>
    <row r="240" customFormat="false" ht="15.75" hidden="false" customHeight="true" outlineLevel="0" collapsed="false">
      <c r="A240" s="140"/>
      <c r="B240" s="140"/>
      <c r="C240" s="140"/>
      <c r="D240" s="140"/>
      <c r="F240" s="140"/>
      <c r="G240" s="140"/>
      <c r="H240" s="140"/>
      <c r="I240" s="140"/>
      <c r="J240" s="140"/>
      <c r="K240" s="140"/>
      <c r="L240" s="140"/>
      <c r="M240" s="140"/>
      <c r="N240" s="140"/>
    </row>
    <row r="241" customFormat="false" ht="15.75" hidden="false" customHeight="true" outlineLevel="0" collapsed="false">
      <c r="A241" s="140"/>
      <c r="B241" s="140"/>
      <c r="C241" s="140"/>
      <c r="D241" s="140"/>
      <c r="F241" s="140"/>
      <c r="G241" s="140"/>
      <c r="H241" s="140"/>
      <c r="I241" s="140"/>
      <c r="J241" s="140"/>
      <c r="K241" s="140"/>
      <c r="L241" s="140"/>
      <c r="M241" s="140"/>
      <c r="N241" s="140"/>
    </row>
    <row r="242" customFormat="false" ht="15.75" hidden="false" customHeight="true" outlineLevel="0" collapsed="false">
      <c r="A242" s="140"/>
      <c r="B242" s="140"/>
      <c r="C242" s="140"/>
      <c r="D242" s="140"/>
      <c r="F242" s="140"/>
      <c r="G242" s="140"/>
      <c r="H242" s="140"/>
      <c r="I242" s="140"/>
      <c r="J242" s="140"/>
      <c r="K242" s="140"/>
      <c r="L242" s="140"/>
      <c r="M242" s="140"/>
      <c r="N242" s="140"/>
    </row>
    <row r="243" customFormat="false" ht="15.75" hidden="false" customHeight="true" outlineLevel="0" collapsed="false">
      <c r="A243" s="140"/>
      <c r="B243" s="140"/>
      <c r="C243" s="140"/>
      <c r="D243" s="140"/>
      <c r="F243" s="140"/>
      <c r="G243" s="140"/>
      <c r="H243" s="140"/>
      <c r="I243" s="140"/>
      <c r="J243" s="140"/>
      <c r="K243" s="140"/>
      <c r="L243" s="140"/>
      <c r="M243" s="140"/>
      <c r="N243" s="140"/>
    </row>
    <row r="244" customFormat="false" ht="15.75" hidden="false" customHeight="true" outlineLevel="0" collapsed="false">
      <c r="A244" s="140"/>
      <c r="B244" s="140"/>
      <c r="C244" s="140"/>
      <c r="D244" s="140"/>
      <c r="F244" s="140"/>
      <c r="G244" s="140"/>
      <c r="H244" s="140"/>
      <c r="I244" s="140"/>
      <c r="J244" s="140"/>
      <c r="K244" s="140"/>
      <c r="L244" s="140"/>
      <c r="M244" s="140"/>
      <c r="N244" s="140"/>
    </row>
    <row r="245" customFormat="false" ht="15.75" hidden="false" customHeight="true" outlineLevel="0" collapsed="false">
      <c r="A245" s="140"/>
      <c r="B245" s="140"/>
      <c r="C245" s="140"/>
      <c r="D245" s="140"/>
      <c r="F245" s="140"/>
      <c r="G245" s="140"/>
      <c r="H245" s="140"/>
      <c r="I245" s="140"/>
      <c r="J245" s="140"/>
      <c r="K245" s="140"/>
      <c r="L245" s="140"/>
      <c r="M245" s="140"/>
      <c r="N245" s="140"/>
    </row>
    <row r="246" customFormat="false" ht="15.75" hidden="false" customHeight="true" outlineLevel="0" collapsed="false">
      <c r="A246" s="140"/>
      <c r="B246" s="140"/>
      <c r="C246" s="140"/>
      <c r="D246" s="140"/>
      <c r="F246" s="140"/>
      <c r="G246" s="140"/>
      <c r="H246" s="140"/>
      <c r="I246" s="140"/>
      <c r="J246" s="140"/>
      <c r="K246" s="140"/>
      <c r="L246" s="140"/>
      <c r="M246" s="140"/>
      <c r="N246" s="140"/>
    </row>
    <row r="247" customFormat="false" ht="15.75" hidden="false" customHeight="true" outlineLevel="0" collapsed="false">
      <c r="A247" s="140"/>
      <c r="B247" s="140"/>
      <c r="C247" s="140"/>
      <c r="D247" s="140"/>
      <c r="F247" s="140"/>
      <c r="G247" s="140"/>
      <c r="H247" s="140"/>
      <c r="I247" s="140"/>
      <c r="J247" s="140"/>
      <c r="K247" s="140"/>
      <c r="L247" s="140"/>
      <c r="M247" s="140"/>
      <c r="N247" s="140"/>
    </row>
    <row r="248" customFormat="false" ht="15.75" hidden="false" customHeight="true" outlineLevel="0" collapsed="false">
      <c r="A248" s="140"/>
      <c r="B248" s="140"/>
      <c r="C248" s="140"/>
      <c r="D248" s="140"/>
      <c r="F248" s="140"/>
      <c r="G248" s="140"/>
      <c r="H248" s="140"/>
      <c r="I248" s="140"/>
      <c r="J248" s="140"/>
      <c r="K248" s="140"/>
      <c r="L248" s="140"/>
      <c r="M248" s="140"/>
      <c r="N248" s="140"/>
    </row>
    <row r="249" customFormat="false" ht="15.75" hidden="false" customHeight="true" outlineLevel="0" collapsed="false">
      <c r="A249" s="140"/>
      <c r="B249" s="140"/>
      <c r="C249" s="140"/>
      <c r="D249" s="140"/>
      <c r="F249" s="140"/>
      <c r="G249" s="140"/>
      <c r="H249" s="140"/>
      <c r="I249" s="140"/>
      <c r="J249" s="140"/>
      <c r="K249" s="140"/>
      <c r="L249" s="140"/>
      <c r="M249" s="140"/>
      <c r="N249" s="140"/>
    </row>
    <row r="250" customFormat="false" ht="15.75" hidden="false" customHeight="true" outlineLevel="0" collapsed="false">
      <c r="A250" s="140"/>
      <c r="B250" s="140"/>
      <c r="C250" s="140"/>
      <c r="D250" s="140"/>
      <c r="F250" s="140"/>
      <c r="G250" s="140"/>
      <c r="H250" s="140"/>
      <c r="I250" s="140"/>
      <c r="J250" s="140"/>
      <c r="K250" s="140"/>
      <c r="L250" s="140"/>
      <c r="M250" s="140"/>
      <c r="N250" s="140"/>
    </row>
    <row r="251" customFormat="false" ht="15.75" hidden="false" customHeight="true" outlineLevel="0" collapsed="false">
      <c r="A251" s="140"/>
      <c r="B251" s="140"/>
      <c r="C251" s="140"/>
      <c r="D251" s="140"/>
      <c r="F251" s="140"/>
      <c r="G251" s="140"/>
      <c r="H251" s="140"/>
      <c r="I251" s="140"/>
      <c r="J251" s="140"/>
      <c r="K251" s="140"/>
      <c r="L251" s="140"/>
      <c r="M251" s="140"/>
      <c r="N251" s="140"/>
    </row>
    <row r="252" customFormat="false" ht="15.75" hidden="false" customHeight="true" outlineLevel="0" collapsed="false">
      <c r="A252" s="140"/>
      <c r="B252" s="140"/>
      <c r="C252" s="140"/>
      <c r="D252" s="140"/>
      <c r="F252" s="140"/>
      <c r="G252" s="140"/>
      <c r="H252" s="140"/>
      <c r="I252" s="140"/>
      <c r="J252" s="140"/>
      <c r="K252" s="140"/>
      <c r="L252" s="140"/>
      <c r="M252" s="140"/>
      <c r="N252" s="140"/>
    </row>
    <row r="253" customFormat="false" ht="15.75" hidden="false" customHeight="true" outlineLevel="0" collapsed="false">
      <c r="A253" s="140"/>
      <c r="B253" s="140"/>
      <c r="C253" s="140"/>
      <c r="D253" s="140"/>
      <c r="F253" s="140"/>
      <c r="G253" s="140"/>
      <c r="H253" s="140"/>
      <c r="I253" s="140"/>
      <c r="J253" s="140"/>
      <c r="K253" s="140"/>
      <c r="L253" s="140"/>
      <c r="M253" s="140"/>
      <c r="N253" s="140"/>
    </row>
    <row r="254" customFormat="false" ht="15.75" hidden="false" customHeight="true" outlineLevel="0" collapsed="false">
      <c r="A254" s="140"/>
      <c r="B254" s="140"/>
      <c r="C254" s="140"/>
      <c r="D254" s="140"/>
      <c r="F254" s="140"/>
      <c r="G254" s="140"/>
      <c r="H254" s="140"/>
      <c r="I254" s="140"/>
      <c r="J254" s="140"/>
      <c r="K254" s="140"/>
      <c r="L254" s="140"/>
      <c r="M254" s="140"/>
      <c r="N254" s="140"/>
    </row>
    <row r="255" customFormat="false" ht="15.75" hidden="false" customHeight="true" outlineLevel="0" collapsed="false">
      <c r="A255" s="140"/>
      <c r="B255" s="140"/>
      <c r="C255" s="140"/>
      <c r="D255" s="140"/>
      <c r="F255" s="140"/>
      <c r="G255" s="140"/>
      <c r="H255" s="140"/>
      <c r="I255" s="140"/>
      <c r="J255" s="140"/>
      <c r="K255" s="140"/>
      <c r="L255" s="140"/>
      <c r="M255" s="140"/>
      <c r="N255" s="140"/>
    </row>
    <row r="256" customFormat="false" ht="15.75" hidden="false" customHeight="true" outlineLevel="0" collapsed="false">
      <c r="A256" s="140"/>
      <c r="B256" s="140"/>
      <c r="C256" s="140"/>
      <c r="D256" s="140"/>
      <c r="F256" s="140"/>
      <c r="G256" s="140"/>
      <c r="H256" s="140"/>
      <c r="I256" s="140"/>
      <c r="J256" s="140"/>
      <c r="K256" s="140"/>
      <c r="L256" s="140"/>
      <c r="M256" s="140"/>
      <c r="N256" s="140"/>
    </row>
    <row r="257" customFormat="false" ht="15.75" hidden="false" customHeight="true" outlineLevel="0" collapsed="false">
      <c r="A257" s="140"/>
      <c r="B257" s="140"/>
      <c r="C257" s="140"/>
      <c r="D257" s="140"/>
      <c r="F257" s="140"/>
      <c r="G257" s="140"/>
      <c r="H257" s="140"/>
      <c r="I257" s="140"/>
      <c r="J257" s="140"/>
      <c r="K257" s="140"/>
      <c r="L257" s="140"/>
      <c r="M257" s="140"/>
      <c r="N257" s="140"/>
    </row>
    <row r="258" customFormat="false" ht="15.75" hidden="false" customHeight="true" outlineLevel="0" collapsed="false">
      <c r="A258" s="140"/>
      <c r="B258" s="140"/>
      <c r="C258" s="140"/>
      <c r="D258" s="140"/>
      <c r="F258" s="140"/>
      <c r="G258" s="140"/>
      <c r="H258" s="140"/>
      <c r="I258" s="140"/>
      <c r="J258" s="140"/>
      <c r="K258" s="140"/>
      <c r="L258" s="140"/>
      <c r="M258" s="140"/>
      <c r="N258" s="140"/>
    </row>
    <row r="259" customFormat="false" ht="15.75" hidden="false" customHeight="true" outlineLevel="0" collapsed="false">
      <c r="A259" s="140"/>
      <c r="B259" s="140"/>
      <c r="C259" s="140"/>
      <c r="D259" s="140"/>
      <c r="F259" s="140"/>
      <c r="G259" s="140"/>
      <c r="H259" s="140"/>
      <c r="I259" s="140"/>
      <c r="J259" s="140"/>
      <c r="K259" s="140"/>
      <c r="L259" s="140"/>
      <c r="M259" s="140"/>
      <c r="N259" s="140"/>
    </row>
    <row r="260" customFormat="false" ht="15.75" hidden="false" customHeight="true" outlineLevel="0" collapsed="false">
      <c r="A260" s="140"/>
      <c r="B260" s="140"/>
      <c r="C260" s="140"/>
      <c r="D260" s="140"/>
      <c r="F260" s="140"/>
      <c r="G260" s="140"/>
      <c r="H260" s="140"/>
      <c r="I260" s="140"/>
      <c r="J260" s="140"/>
      <c r="K260" s="140"/>
      <c r="L260" s="140"/>
      <c r="M260" s="140"/>
      <c r="N260" s="140"/>
    </row>
    <row r="261" customFormat="false" ht="15.75" hidden="false" customHeight="true" outlineLevel="0" collapsed="false">
      <c r="A261" s="140"/>
      <c r="B261" s="140"/>
      <c r="C261" s="140"/>
      <c r="D261" s="140"/>
      <c r="F261" s="140"/>
      <c r="G261" s="140"/>
      <c r="H261" s="140"/>
      <c r="I261" s="140"/>
      <c r="J261" s="140"/>
      <c r="K261" s="140"/>
      <c r="L261" s="140"/>
      <c r="M261" s="140"/>
      <c r="N261" s="140"/>
    </row>
    <row r="262" customFormat="false" ht="15.75" hidden="false" customHeight="true" outlineLevel="0" collapsed="false">
      <c r="A262" s="140"/>
      <c r="B262" s="140"/>
      <c r="C262" s="140"/>
      <c r="D262" s="140"/>
      <c r="F262" s="140"/>
      <c r="G262" s="140"/>
      <c r="H262" s="140"/>
      <c r="I262" s="140"/>
      <c r="J262" s="140"/>
      <c r="K262" s="140"/>
      <c r="L262" s="140"/>
      <c r="M262" s="140"/>
      <c r="N262" s="140"/>
    </row>
    <row r="263" customFormat="false" ht="15.75" hidden="false" customHeight="true" outlineLevel="0" collapsed="false">
      <c r="A263" s="140"/>
      <c r="B263" s="140"/>
      <c r="C263" s="140"/>
      <c r="D263" s="140"/>
      <c r="F263" s="140"/>
      <c r="G263" s="140"/>
      <c r="H263" s="140"/>
      <c r="I263" s="140"/>
      <c r="J263" s="140"/>
      <c r="K263" s="140"/>
      <c r="L263" s="140"/>
      <c r="M263" s="140"/>
      <c r="N263" s="140"/>
    </row>
    <row r="264" customFormat="false" ht="15.75" hidden="false" customHeight="true" outlineLevel="0" collapsed="false">
      <c r="A264" s="140"/>
      <c r="B264" s="140"/>
      <c r="C264" s="140"/>
      <c r="D264" s="140"/>
      <c r="F264" s="140"/>
      <c r="G264" s="140"/>
      <c r="H264" s="140"/>
      <c r="I264" s="140"/>
      <c r="J264" s="140"/>
      <c r="K264" s="140"/>
      <c r="L264" s="140"/>
      <c r="M264" s="140"/>
      <c r="N264" s="140"/>
    </row>
    <row r="265" customFormat="false" ht="15.75" hidden="false" customHeight="true" outlineLevel="0" collapsed="false">
      <c r="A265" s="140"/>
      <c r="B265" s="140"/>
      <c r="C265" s="140"/>
      <c r="D265" s="140"/>
      <c r="F265" s="140"/>
      <c r="G265" s="140"/>
      <c r="H265" s="140"/>
      <c r="I265" s="140"/>
      <c r="J265" s="140"/>
      <c r="K265" s="140"/>
      <c r="L265" s="140"/>
      <c r="M265" s="140"/>
      <c r="N265" s="140"/>
    </row>
    <row r="266" customFormat="false" ht="15.75" hidden="false" customHeight="true" outlineLevel="0" collapsed="false">
      <c r="A266" s="140"/>
      <c r="B266" s="140"/>
      <c r="C266" s="140"/>
      <c r="D266" s="140"/>
      <c r="F266" s="140"/>
      <c r="G266" s="140"/>
      <c r="H266" s="140"/>
      <c r="I266" s="140"/>
      <c r="J266" s="140"/>
      <c r="K266" s="140"/>
      <c r="L266" s="140"/>
      <c r="M266" s="140"/>
      <c r="N266" s="140"/>
    </row>
    <row r="267" customFormat="false" ht="15.75" hidden="false" customHeight="true" outlineLevel="0" collapsed="false">
      <c r="A267" s="140"/>
      <c r="B267" s="140"/>
      <c r="C267" s="140"/>
      <c r="D267" s="140"/>
      <c r="F267" s="140"/>
      <c r="G267" s="140"/>
      <c r="H267" s="140"/>
      <c r="I267" s="140"/>
      <c r="J267" s="140"/>
      <c r="K267" s="140"/>
      <c r="L267" s="140"/>
      <c r="M267" s="140"/>
      <c r="N267" s="140"/>
    </row>
    <row r="268" customFormat="false" ht="15.75" hidden="false" customHeight="true" outlineLevel="0" collapsed="false">
      <c r="A268" s="140"/>
      <c r="B268" s="140"/>
      <c r="C268" s="140"/>
      <c r="D268" s="140"/>
      <c r="F268" s="140"/>
      <c r="G268" s="140"/>
      <c r="H268" s="140"/>
      <c r="I268" s="140"/>
      <c r="J268" s="140"/>
      <c r="K268" s="140"/>
      <c r="L268" s="140"/>
      <c r="M268" s="140"/>
      <c r="N268" s="140"/>
    </row>
    <row r="269" customFormat="false" ht="15.75" hidden="false" customHeight="true" outlineLevel="0" collapsed="false">
      <c r="A269" s="140"/>
      <c r="B269" s="140"/>
      <c r="C269" s="140"/>
      <c r="D269" s="140"/>
      <c r="F269" s="140"/>
      <c r="G269" s="140"/>
      <c r="H269" s="140"/>
      <c r="I269" s="140"/>
      <c r="J269" s="140"/>
      <c r="K269" s="140"/>
      <c r="L269" s="140"/>
      <c r="M269" s="140"/>
      <c r="N269" s="140"/>
    </row>
    <row r="270" customFormat="false" ht="15.75" hidden="false" customHeight="true" outlineLevel="0" collapsed="false">
      <c r="A270" s="140"/>
      <c r="B270" s="140"/>
      <c r="C270" s="140"/>
      <c r="D270" s="140"/>
      <c r="F270" s="140"/>
      <c r="G270" s="140"/>
      <c r="H270" s="140"/>
      <c r="I270" s="140"/>
      <c r="J270" s="140"/>
      <c r="K270" s="140"/>
      <c r="L270" s="140"/>
      <c r="M270" s="140"/>
      <c r="N270" s="140"/>
    </row>
    <row r="271" customFormat="false" ht="15.75" hidden="false" customHeight="true" outlineLevel="0" collapsed="false">
      <c r="A271" s="140"/>
      <c r="B271" s="140"/>
      <c r="C271" s="140"/>
      <c r="D271" s="140"/>
      <c r="F271" s="140"/>
      <c r="G271" s="140"/>
      <c r="H271" s="140"/>
      <c r="I271" s="140"/>
      <c r="J271" s="140"/>
      <c r="K271" s="140"/>
      <c r="L271" s="140"/>
      <c r="M271" s="140"/>
      <c r="N271" s="140"/>
    </row>
    <row r="272" customFormat="false" ht="15.75" hidden="false" customHeight="true" outlineLevel="0" collapsed="false">
      <c r="A272" s="140"/>
      <c r="B272" s="140"/>
      <c r="C272" s="140"/>
      <c r="D272" s="140"/>
      <c r="F272" s="140"/>
      <c r="G272" s="140"/>
      <c r="H272" s="140"/>
      <c r="I272" s="140"/>
      <c r="J272" s="140"/>
      <c r="K272" s="140"/>
      <c r="L272" s="140"/>
      <c r="M272" s="140"/>
      <c r="N272" s="140"/>
    </row>
    <row r="273" customFormat="false" ht="15.75" hidden="false" customHeight="true" outlineLevel="0" collapsed="false">
      <c r="A273" s="140"/>
      <c r="B273" s="140"/>
      <c r="C273" s="140"/>
      <c r="D273" s="140"/>
      <c r="F273" s="140"/>
      <c r="G273" s="140"/>
      <c r="H273" s="140"/>
      <c r="I273" s="140"/>
      <c r="J273" s="140"/>
      <c r="K273" s="140"/>
      <c r="L273" s="140"/>
      <c r="M273" s="140"/>
      <c r="N273" s="140"/>
    </row>
    <row r="274" customFormat="false" ht="15.75" hidden="false" customHeight="true" outlineLevel="0" collapsed="false">
      <c r="A274" s="140"/>
      <c r="B274" s="140"/>
      <c r="C274" s="140"/>
      <c r="D274" s="140"/>
      <c r="F274" s="140"/>
      <c r="G274" s="140"/>
      <c r="H274" s="140"/>
      <c r="I274" s="140"/>
      <c r="J274" s="140"/>
      <c r="K274" s="140"/>
      <c r="L274" s="140"/>
      <c r="M274" s="140"/>
      <c r="N274" s="140"/>
    </row>
    <row r="275" customFormat="false" ht="15.75" hidden="false" customHeight="true" outlineLevel="0" collapsed="false">
      <c r="A275" s="140"/>
      <c r="B275" s="140"/>
      <c r="C275" s="140"/>
      <c r="D275" s="140"/>
      <c r="F275" s="140"/>
      <c r="G275" s="140"/>
      <c r="H275" s="140"/>
      <c r="I275" s="140"/>
      <c r="J275" s="140"/>
      <c r="K275" s="140"/>
      <c r="L275" s="140"/>
      <c r="M275" s="140"/>
      <c r="N275" s="140"/>
    </row>
    <row r="276" customFormat="false" ht="15.75" hidden="false" customHeight="true" outlineLevel="0" collapsed="false">
      <c r="A276" s="140"/>
      <c r="B276" s="140"/>
      <c r="C276" s="140"/>
      <c r="D276" s="140"/>
      <c r="F276" s="140"/>
      <c r="G276" s="140"/>
      <c r="H276" s="140"/>
      <c r="I276" s="140"/>
      <c r="J276" s="140"/>
      <c r="K276" s="140"/>
      <c r="L276" s="140"/>
      <c r="M276" s="140"/>
      <c r="N276" s="140"/>
    </row>
    <row r="277" customFormat="false" ht="15.75" hidden="false" customHeight="true" outlineLevel="0" collapsed="false">
      <c r="A277" s="140"/>
      <c r="B277" s="140"/>
      <c r="C277" s="140"/>
      <c r="D277" s="140"/>
      <c r="F277" s="140"/>
      <c r="G277" s="140"/>
      <c r="H277" s="140"/>
      <c r="I277" s="140"/>
      <c r="J277" s="140"/>
      <c r="K277" s="140"/>
      <c r="L277" s="140"/>
      <c r="M277" s="140"/>
      <c r="N277" s="140"/>
    </row>
    <row r="278" customFormat="false" ht="15.75" hidden="false" customHeight="true" outlineLevel="0" collapsed="false">
      <c r="A278" s="140"/>
      <c r="B278" s="140"/>
      <c r="C278" s="140"/>
      <c r="D278" s="140"/>
      <c r="F278" s="140"/>
      <c r="G278" s="140"/>
      <c r="H278" s="140"/>
      <c r="I278" s="140"/>
      <c r="J278" s="140"/>
      <c r="K278" s="140"/>
      <c r="L278" s="140"/>
      <c r="M278" s="140"/>
      <c r="N278" s="140"/>
    </row>
    <row r="279" customFormat="false" ht="15.75" hidden="false" customHeight="true" outlineLevel="0" collapsed="false">
      <c r="A279" s="140"/>
      <c r="B279" s="140"/>
      <c r="C279" s="140"/>
      <c r="D279" s="140"/>
      <c r="F279" s="140"/>
      <c r="G279" s="140"/>
      <c r="H279" s="140"/>
      <c r="I279" s="140"/>
      <c r="J279" s="140"/>
      <c r="K279" s="140"/>
      <c r="L279" s="140"/>
      <c r="M279" s="140"/>
      <c r="N279" s="140"/>
    </row>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87"/>
    <pageSetUpPr fitToPage="false"/>
  </sheetPr>
  <dimension ref="A1:S985"/>
  <sheetViews>
    <sheetView showFormulas="false" showGridLines="false" showRowColHeaders="true" showZeros="true" rightToLeft="false" tabSelected="false" showOutlineSymbols="true" defaultGridColor="true" view="normal" topLeftCell="A1" colorId="64" zoomScale="98" zoomScaleNormal="98" zoomScalePageLayoutView="100" workbookViewId="0">
      <pane xSplit="0" ySplit="3" topLeftCell="A13" activePane="bottomLeft" state="frozen"/>
      <selection pane="topLeft" activeCell="A1" activeCellId="0" sqref="A1"/>
      <selection pane="bottomLeft" activeCell="D29" activeCellId="0" sqref="D29"/>
    </sheetView>
  </sheetViews>
  <sheetFormatPr defaultColWidth="11.18359375" defaultRowHeight="15" zeroHeight="false" outlineLevelRow="0" outlineLevelCol="0"/>
  <cols>
    <col collapsed="false" customWidth="true" hidden="false" outlineLevel="0" max="1" min="1" style="152" width="32.36"/>
    <col collapsed="false" customWidth="true" hidden="false" outlineLevel="0" max="2" min="2" style="0" width="16.54"/>
    <col collapsed="false" customWidth="true" hidden="false" outlineLevel="0" max="3" min="3" style="0" width="28.63"/>
    <col collapsed="false" customWidth="true" hidden="false" outlineLevel="0" max="6" min="4" style="153" width="15.09"/>
    <col collapsed="false" customWidth="true" hidden="false" outlineLevel="0" max="7" min="7" style="154" width="15.09"/>
    <col collapsed="false" customWidth="true" hidden="true" outlineLevel="0" max="8" min="8" style="153" width="12.27"/>
    <col collapsed="false" customWidth="true" hidden="true" outlineLevel="0" max="12" min="9" style="153" width="13.45"/>
    <col collapsed="false" customWidth="true" hidden="true" outlineLevel="0" max="14" min="13" style="153" width="10.54"/>
    <col collapsed="false" customWidth="true" hidden="true" outlineLevel="0" max="15" min="15" style="153" width="14"/>
    <col collapsed="false" customWidth="true" hidden="true" outlineLevel="0" max="16" min="16" style="153" width="6.91"/>
    <col collapsed="false" customWidth="true" hidden="true" outlineLevel="0" max="19" min="17" style="0" width="13.73"/>
    <col collapsed="false" customWidth="true" hidden="true" outlineLevel="0" max="20" min="20" style="0" width="13"/>
    <col collapsed="false" customWidth="true" hidden="true" outlineLevel="0" max="26" min="21" style="0" width="11.45"/>
    <col collapsed="false" customWidth="false" hidden="true" outlineLevel="0" max="16384" min="27" style="0" width="11.18"/>
  </cols>
  <sheetData>
    <row r="1" customFormat="false" ht="27" hidden="false" customHeight="true" outlineLevel="0" collapsed="false">
      <c r="A1" s="155"/>
      <c r="B1" s="68" t="s">
        <v>112</v>
      </c>
      <c r="C1" s="70"/>
      <c r="D1" s="70"/>
      <c r="E1" s="70"/>
      <c r="F1" s="70"/>
      <c r="G1" s="156"/>
      <c r="H1" s="72"/>
      <c r="I1" s="72"/>
      <c r="J1" s="72"/>
      <c r="K1" s="72"/>
      <c r="L1" s="72"/>
      <c r="M1" s="72"/>
      <c r="N1" s="157"/>
      <c r="O1" s="158"/>
      <c r="P1" s="159"/>
    </row>
    <row r="2" customFormat="false" ht="15.75" hidden="false" customHeight="true" outlineLevel="0" collapsed="false">
      <c r="D2" s="160"/>
      <c r="E2" s="161"/>
      <c r="F2" s="161"/>
      <c r="G2" s="78" t="s">
        <v>41</v>
      </c>
    </row>
    <row r="3" s="75" customFormat="true" ht="15.75" hidden="false" customHeight="true" outlineLevel="0" collapsed="false">
      <c r="A3" s="162"/>
      <c r="B3" s="163"/>
      <c r="C3" s="163"/>
      <c r="D3" s="164" t="n">
        <f aca="false">'Hướng dẫn'!J6-3</f>
        <v>2023</v>
      </c>
      <c r="E3" s="164"/>
      <c r="F3" s="164" t="n">
        <f aca="false">D3+1</f>
        <v>2024</v>
      </c>
      <c r="G3" s="164" t="n">
        <f aca="false">F3+1</f>
        <v>2025</v>
      </c>
      <c r="H3" s="164" t="n">
        <f aca="false">G3+1</f>
        <v>2026</v>
      </c>
      <c r="I3" s="164" t="n">
        <f aca="false">H3+1</f>
        <v>2027</v>
      </c>
      <c r="J3" s="164" t="n">
        <f aca="false">I3+1</f>
        <v>2028</v>
      </c>
      <c r="K3" s="164" t="n">
        <f aca="false">J3+1</f>
        <v>2029</v>
      </c>
      <c r="L3" s="164" t="n">
        <f aca="false">K3+1</f>
        <v>2030</v>
      </c>
      <c r="M3" s="165" t="s">
        <v>113</v>
      </c>
      <c r="N3" s="166"/>
      <c r="O3" s="166"/>
      <c r="P3" s="166"/>
      <c r="Q3" s="162"/>
    </row>
    <row r="4" s="75" customFormat="true" ht="15.75" hidden="false" customHeight="true" outlineLevel="0" collapsed="false">
      <c r="A4" s="167" t="s">
        <v>114</v>
      </c>
      <c r="B4" s="168"/>
      <c r="C4" s="168"/>
      <c r="D4" s="169" t="s">
        <v>115</v>
      </c>
      <c r="E4" s="169" t="s">
        <v>116</v>
      </c>
      <c r="F4" s="97"/>
      <c r="G4" s="96"/>
      <c r="H4" s="97"/>
      <c r="I4" s="97"/>
      <c r="J4" s="97"/>
      <c r="K4" s="97"/>
      <c r="L4" s="97"/>
      <c r="M4" s="97"/>
      <c r="N4" s="97"/>
      <c r="O4" s="97"/>
      <c r="P4" s="97"/>
    </row>
    <row r="5" s="75" customFormat="true" ht="15.75" hidden="false" customHeight="true" outlineLevel="0" collapsed="false">
      <c r="A5" s="167"/>
      <c r="B5" s="168" t="s">
        <v>117</v>
      </c>
      <c r="C5" s="168"/>
      <c r="D5" s="96"/>
      <c r="E5" s="96"/>
      <c r="F5" s="96"/>
      <c r="G5" s="96"/>
      <c r="H5" s="97"/>
      <c r="I5" s="97"/>
      <c r="J5" s="97"/>
      <c r="K5" s="97"/>
      <c r="L5" s="97"/>
      <c r="M5" s="97"/>
      <c r="N5" s="97"/>
      <c r="O5" s="97"/>
      <c r="P5" s="97"/>
    </row>
    <row r="6" s="75" customFormat="true" ht="15.75" hidden="false" customHeight="true" outlineLevel="0" collapsed="false">
      <c r="A6" s="167"/>
      <c r="B6" s="168"/>
      <c r="C6" s="168" t="s">
        <v>118</v>
      </c>
      <c r="D6" s="88" t="n">
        <v>910000</v>
      </c>
      <c r="E6" s="96" t="n">
        <v>43988.8000000008</v>
      </c>
      <c r="F6" s="96" t="n">
        <v>1735532.55</v>
      </c>
      <c r="G6" s="96" t="n">
        <v>2933481.76549999</v>
      </c>
      <c r="H6" s="110" t="n">
        <f aca="false">'Cash Flow Statement'!F36</f>
        <v>35546329.4140094</v>
      </c>
      <c r="I6" s="110" t="n">
        <f aca="false">'Cash Flow Statement'!G36</f>
        <v>22631263.7120003</v>
      </c>
      <c r="J6" s="110" t="n">
        <f aca="false">'Cash Flow Statement'!H36</f>
        <v>16331815.9734387</v>
      </c>
      <c r="K6" s="110" t="n">
        <f aca="false">'Cash Flow Statement'!I36</f>
        <v>11367772.1161802</v>
      </c>
      <c r="L6" s="110" t="n">
        <f aca="false">'Cash Flow Statement'!J36</f>
        <v>11935047.6839518</v>
      </c>
      <c r="M6" s="97"/>
      <c r="N6" s="97"/>
      <c r="O6" s="97"/>
      <c r="P6" s="97"/>
    </row>
    <row r="7" s="75" customFormat="true" ht="15.75" hidden="false" customHeight="true" outlineLevel="0" collapsed="false">
      <c r="A7" s="167"/>
      <c r="B7" s="168"/>
      <c r="C7" s="167" t="s">
        <v>119</v>
      </c>
      <c r="D7" s="170" t="n">
        <v>910000</v>
      </c>
      <c r="E7" s="170" t="n">
        <v>43988.8000000008</v>
      </c>
      <c r="F7" s="170" t="n">
        <v>1735532.55</v>
      </c>
      <c r="G7" s="170" t="n">
        <v>2933481.76549999</v>
      </c>
      <c r="H7" s="171" t="n">
        <f aca="false">SUBTOTAL(9,H6)</f>
        <v>35546329.4140094</v>
      </c>
      <c r="I7" s="171" t="n">
        <f aca="false">SUBTOTAL(9,I6)</f>
        <v>22631263.7120003</v>
      </c>
      <c r="J7" s="171" t="n">
        <f aca="false">SUBTOTAL(9,J6)</f>
        <v>16331815.9734387</v>
      </c>
      <c r="K7" s="171" t="n">
        <f aca="false">SUBTOTAL(9,K6)</f>
        <v>11367772.1161802</v>
      </c>
      <c r="L7" s="171" t="n">
        <f aca="false">SUBTOTAL(9,L6)</f>
        <v>11935047.6839518</v>
      </c>
      <c r="M7" s="135"/>
      <c r="N7" s="135"/>
      <c r="O7" s="135"/>
      <c r="P7" s="135"/>
    </row>
    <row r="8" s="75" customFormat="true" ht="15.75" hidden="false" customHeight="true" outlineLevel="0" collapsed="false">
      <c r="A8" s="167"/>
      <c r="B8" s="168" t="s">
        <v>120</v>
      </c>
      <c r="C8" s="168"/>
      <c r="D8" s="96"/>
      <c r="E8" s="96"/>
      <c r="F8" s="96"/>
      <c r="G8" s="96"/>
      <c r="H8" s="97"/>
      <c r="I8" s="97"/>
      <c r="J8" s="97"/>
      <c r="K8" s="97"/>
      <c r="L8" s="97"/>
      <c r="M8" s="97"/>
      <c r="N8" s="97"/>
      <c r="O8" s="97"/>
      <c r="P8" s="97"/>
    </row>
    <row r="9" s="75" customFormat="true" ht="15.75" hidden="false" customHeight="true" outlineLevel="0" collapsed="false">
      <c r="A9" s="167"/>
      <c r="B9" s="168"/>
      <c r="C9" s="168" t="s">
        <v>120</v>
      </c>
      <c r="D9" s="88" t="n">
        <v>1785000</v>
      </c>
      <c r="E9" s="88" t="n">
        <v>2499000</v>
      </c>
      <c r="F9" s="88" t="n">
        <v>2998800</v>
      </c>
      <c r="G9" s="88" t="n">
        <v>3748500</v>
      </c>
      <c r="H9" s="90" t="n">
        <f aca="false">Drivers!F105</f>
        <v>4745934.04040822</v>
      </c>
      <c r="I9" s="90" t="n">
        <f aca="false">Drivers!G105</f>
        <v>5994105.10168572</v>
      </c>
      <c r="J9" s="90" t="n">
        <f aca="false">Drivers!H105</f>
        <v>9322716.28962655</v>
      </c>
      <c r="K9" s="90" t="n">
        <f aca="false">Drivers!I105</f>
        <v>11064149.3125862</v>
      </c>
      <c r="L9" s="90" t="n">
        <f aca="false">Drivers!J105</f>
        <v>12787439.4759941</v>
      </c>
      <c r="M9" s="91"/>
      <c r="N9" s="91"/>
      <c r="O9" s="91"/>
      <c r="P9" s="91"/>
    </row>
    <row r="10" s="75" customFormat="true" ht="15.75" hidden="false" customHeight="true" outlineLevel="0" collapsed="false">
      <c r="A10" s="167"/>
      <c r="B10" s="168"/>
      <c r="C10" s="167" t="s">
        <v>121</v>
      </c>
      <c r="D10" s="170" t="n">
        <v>1785000</v>
      </c>
      <c r="E10" s="170" t="n">
        <v>2499000</v>
      </c>
      <c r="F10" s="170" t="n">
        <v>2998800</v>
      </c>
      <c r="G10" s="170" t="n">
        <v>3748500</v>
      </c>
      <c r="H10" s="171" t="n">
        <f aca="false">SUBTOTAL(9, H9)</f>
        <v>4745934.04040822</v>
      </c>
      <c r="I10" s="171" t="n">
        <f aca="false">SUBTOTAL(9, I9)</f>
        <v>5994105.10168572</v>
      </c>
      <c r="J10" s="171" t="n">
        <f aca="false">SUBTOTAL(9, J9)</f>
        <v>9322716.28962655</v>
      </c>
      <c r="K10" s="171" t="n">
        <f aca="false">SUBTOTAL(9, K9)</f>
        <v>11064149.3125862</v>
      </c>
      <c r="L10" s="171" t="n">
        <f aca="false">SUBTOTAL(9, L9)</f>
        <v>12787439.4759941</v>
      </c>
      <c r="M10" s="135"/>
      <c r="N10" s="135"/>
      <c r="O10" s="135"/>
      <c r="P10" s="135"/>
    </row>
    <row r="11" s="75" customFormat="true" ht="15.75" hidden="false" customHeight="true" outlineLevel="0" collapsed="false">
      <c r="A11" s="167"/>
      <c r="B11" s="168" t="s">
        <v>122</v>
      </c>
      <c r="C11" s="168"/>
      <c r="D11" s="96"/>
      <c r="E11" s="96"/>
      <c r="F11" s="96"/>
      <c r="G11" s="96"/>
      <c r="H11" s="97"/>
      <c r="I11" s="97"/>
      <c r="J11" s="97"/>
      <c r="K11" s="97"/>
      <c r="L11" s="97"/>
      <c r="M11" s="97"/>
      <c r="N11" s="97"/>
      <c r="O11" s="97"/>
      <c r="P11" s="97"/>
      <c r="Q11" s="73"/>
    </row>
    <row r="12" s="75" customFormat="true" ht="15.75" hidden="false" customHeight="true" outlineLevel="0" collapsed="false">
      <c r="A12" s="167"/>
      <c r="B12" s="168"/>
      <c r="C12" s="168" t="s">
        <v>123</v>
      </c>
      <c r="D12" s="88" t="n">
        <v>1050000</v>
      </c>
      <c r="E12" s="88" t="n">
        <v>1260000</v>
      </c>
      <c r="F12" s="88" t="n">
        <v>1537200</v>
      </c>
      <c r="G12" s="88" t="n">
        <v>1767780</v>
      </c>
      <c r="H12" s="89" t="n">
        <f aca="false">Drivers!F107</f>
        <v>3140078.64608022</v>
      </c>
      <c r="I12" s="89" t="n">
        <f aca="false">Drivers!G107</f>
        <v>4806283.95020536</v>
      </c>
      <c r="J12" s="89" t="n">
        <f aca="false">Drivers!H107</f>
        <v>7864228.18603618</v>
      </c>
      <c r="K12" s="89" t="n">
        <f aca="false">Drivers!I107</f>
        <v>11638712.267544</v>
      </c>
      <c r="L12" s="89" t="n">
        <f aca="false">Drivers!J107</f>
        <v>13998719.0175129</v>
      </c>
      <c r="M12" s="94"/>
      <c r="N12" s="94"/>
      <c r="O12" s="94"/>
      <c r="P12" s="94"/>
    </row>
    <row r="13" s="75" customFormat="true" ht="15.75" hidden="false" customHeight="true" outlineLevel="0" collapsed="false">
      <c r="A13" s="167"/>
      <c r="B13" s="168"/>
      <c r="C13" s="167" t="s">
        <v>124</v>
      </c>
      <c r="D13" s="170" t="n">
        <v>1050000</v>
      </c>
      <c r="E13" s="170" t="n">
        <v>1260000</v>
      </c>
      <c r="F13" s="170" t="n">
        <v>1537200</v>
      </c>
      <c r="G13" s="170" t="n">
        <v>1767780</v>
      </c>
      <c r="H13" s="171" t="n">
        <f aca="false">SUBTOTAL(9, H12)</f>
        <v>3140078.64608022</v>
      </c>
      <c r="I13" s="171" t="n">
        <f aca="false">SUBTOTAL(9, I12)</f>
        <v>4806283.95020536</v>
      </c>
      <c r="J13" s="171" t="n">
        <f aca="false">SUBTOTAL(9, J12)</f>
        <v>7864228.18603618</v>
      </c>
      <c r="K13" s="171" t="n">
        <f aca="false">SUBTOTAL(9, K12)</f>
        <v>11638712.267544</v>
      </c>
      <c r="L13" s="171" t="n">
        <f aca="false">SUBTOTAL(9, L12)</f>
        <v>13998719.0175129</v>
      </c>
      <c r="M13" s="135"/>
      <c r="N13" s="135"/>
      <c r="O13" s="135"/>
      <c r="P13" s="135"/>
    </row>
    <row r="14" s="75" customFormat="true" ht="15.75" hidden="false" customHeight="true" outlineLevel="0" collapsed="false">
      <c r="A14" s="167"/>
      <c r="B14" s="168" t="s">
        <v>125</v>
      </c>
      <c r="C14" s="168"/>
      <c r="D14" s="96"/>
      <c r="E14" s="96"/>
      <c r="F14" s="96"/>
      <c r="G14" s="96"/>
      <c r="H14" s="97"/>
      <c r="I14" s="97"/>
      <c r="J14" s="97"/>
      <c r="K14" s="97"/>
      <c r="L14" s="97"/>
      <c r="M14" s="97"/>
      <c r="N14" s="97"/>
      <c r="O14" s="97"/>
      <c r="P14" s="97"/>
    </row>
    <row r="15" s="75" customFormat="true" ht="15.75" hidden="true" customHeight="true" outlineLevel="0" collapsed="false">
      <c r="A15" s="167"/>
      <c r="B15" s="168"/>
      <c r="C15" s="168" t="s">
        <v>126</v>
      </c>
      <c r="D15" s="88" t="n">
        <v>0</v>
      </c>
      <c r="E15" s="88" t="n">
        <v>0</v>
      </c>
      <c r="F15" s="88" t="n">
        <v>0</v>
      </c>
      <c r="G15" s="88" t="n">
        <v>0</v>
      </c>
      <c r="H15" s="90" t="n">
        <v>0</v>
      </c>
      <c r="I15" s="90" t="n">
        <v>0</v>
      </c>
      <c r="J15" s="90" t="n">
        <v>0</v>
      </c>
      <c r="K15" s="90" t="n">
        <v>0</v>
      </c>
      <c r="L15" s="90" t="n">
        <v>0</v>
      </c>
      <c r="M15" s="91"/>
      <c r="N15" s="91"/>
      <c r="O15" s="91"/>
      <c r="P15" s="91"/>
    </row>
    <row r="16" s="75" customFormat="true" ht="15.75" hidden="false" customHeight="true" outlineLevel="0" collapsed="false">
      <c r="A16" s="167"/>
      <c r="B16" s="168"/>
      <c r="C16" s="168" t="s">
        <v>127</v>
      </c>
      <c r="D16" s="88" t="n">
        <v>890000</v>
      </c>
      <c r="E16" s="88" t="n">
        <v>1068000</v>
      </c>
      <c r="F16" s="88" t="n">
        <v>1495200</v>
      </c>
      <c r="G16" s="88" t="n">
        <v>1794240</v>
      </c>
      <c r="H16" s="89" t="n">
        <f aca="false">Drivers!F109*$G$16/$G$20</f>
        <v>2204363.71592291</v>
      </c>
      <c r="I16" s="89" t="n">
        <f aca="false">Drivers!G109*$G$16/$G$20</f>
        <v>2760590.42641924</v>
      </c>
      <c r="J16" s="89" t="n">
        <f aca="false">Drivers!H109*$G$16/$G$20</f>
        <v>3822064.3245571</v>
      </c>
      <c r="K16" s="89" t="n">
        <f aca="false">Drivers!I109*$G$16/$G$20</f>
        <v>4902289.00247463</v>
      </c>
      <c r="L16" s="89" t="n">
        <f aca="false">Drivers!J109*$G$16/$G$20</f>
        <v>5896336.70038031</v>
      </c>
      <c r="M16" s="94"/>
      <c r="N16" s="94"/>
      <c r="O16" s="94"/>
      <c r="P16" s="94"/>
    </row>
    <row r="17" s="75" customFormat="true" ht="15.75" hidden="true" customHeight="true" outlineLevel="0" collapsed="false">
      <c r="A17" s="167"/>
      <c r="B17" s="168"/>
      <c r="C17" s="168" t="s">
        <v>128</v>
      </c>
      <c r="D17" s="88" t="s">
        <v>129</v>
      </c>
      <c r="E17" s="88" t="s">
        <v>129</v>
      </c>
      <c r="F17" s="88" t="s">
        <v>129</v>
      </c>
      <c r="G17" s="88" t="s">
        <v>129</v>
      </c>
      <c r="H17" s="90" t="n">
        <v>0</v>
      </c>
      <c r="I17" s="90" t="n">
        <v>0</v>
      </c>
      <c r="J17" s="90" t="n">
        <v>0</v>
      </c>
      <c r="K17" s="90" t="n">
        <v>0</v>
      </c>
      <c r="L17" s="90" t="n">
        <v>0</v>
      </c>
      <c r="M17" s="91"/>
      <c r="N17" s="91"/>
      <c r="O17" s="91"/>
      <c r="P17" s="91"/>
    </row>
    <row r="18" s="75" customFormat="true" ht="15.75" hidden="true" customHeight="true" outlineLevel="0" collapsed="false">
      <c r="A18" s="167"/>
      <c r="B18" s="168"/>
      <c r="C18" s="168" t="s">
        <v>130</v>
      </c>
      <c r="D18" s="88" t="s">
        <v>129</v>
      </c>
      <c r="E18" s="88" t="s">
        <v>129</v>
      </c>
      <c r="F18" s="88" t="s">
        <v>129</v>
      </c>
      <c r="G18" s="88" t="s">
        <v>129</v>
      </c>
      <c r="H18" s="90" t="n">
        <v>0</v>
      </c>
      <c r="I18" s="90" t="n">
        <v>0</v>
      </c>
      <c r="J18" s="90" t="n">
        <v>0</v>
      </c>
      <c r="K18" s="90" t="n">
        <v>0</v>
      </c>
      <c r="L18" s="90" t="n">
        <v>0</v>
      </c>
      <c r="M18" s="91"/>
      <c r="N18" s="91"/>
      <c r="O18" s="91"/>
      <c r="P18" s="91"/>
    </row>
    <row r="19" s="75" customFormat="true" ht="15.75" hidden="false" customHeight="true" outlineLevel="0" collapsed="false">
      <c r="A19" s="167"/>
      <c r="B19" s="168"/>
      <c r="C19" s="168" t="s">
        <v>125</v>
      </c>
      <c r="D19" s="88" t="n">
        <v>150000</v>
      </c>
      <c r="E19" s="88" t="n">
        <v>165000</v>
      </c>
      <c r="F19" s="88" t="n">
        <v>214500</v>
      </c>
      <c r="G19" s="88" t="n">
        <v>278850</v>
      </c>
      <c r="H19" s="90" t="n">
        <f aca="false">Drivers!F109*$G$19/$G$20</f>
        <v>342588.963675486</v>
      </c>
      <c r="I19" s="90" t="n">
        <f aca="false">Drivers!G109*$G$19/$G$20</f>
        <v>429034.376898857</v>
      </c>
      <c r="J19" s="90" t="n">
        <f aca="false">Drivers!H109*$G$19/$G$20</f>
        <v>594002.272217065</v>
      </c>
      <c r="K19" s="90" t="n">
        <f aca="false">Drivers!I109*$G$19/$G$20</f>
        <v>761884.301063431</v>
      </c>
      <c r="L19" s="90" t="n">
        <f aca="false">Drivers!J109*$G$19/$G$20</f>
        <v>916373.221475972</v>
      </c>
      <c r="M19" s="91"/>
      <c r="N19" s="91"/>
      <c r="O19" s="91"/>
      <c r="P19" s="91"/>
    </row>
    <row r="20" s="75" customFormat="true" ht="24.75" hidden="false" customHeight="true" outlineLevel="0" collapsed="false">
      <c r="A20" s="167"/>
      <c r="B20" s="168"/>
      <c r="C20" s="172" t="s">
        <v>131</v>
      </c>
      <c r="D20" s="170" t="n">
        <v>1040000</v>
      </c>
      <c r="E20" s="170" t="n">
        <v>1233000</v>
      </c>
      <c r="F20" s="170" t="n">
        <v>1709700</v>
      </c>
      <c r="G20" s="170" t="n">
        <v>2073090</v>
      </c>
      <c r="H20" s="171" t="n">
        <f aca="false">SUBTOTAL(9,H15:H19)</f>
        <v>2546952.6795984</v>
      </c>
      <c r="I20" s="171" t="n">
        <f aca="false">SUBTOTAL(9,I15:I19)</f>
        <v>3189624.8033181</v>
      </c>
      <c r="J20" s="171" t="n">
        <f aca="false">SUBTOTAL(9,J15:J19)</f>
        <v>4416066.59677417</v>
      </c>
      <c r="K20" s="171" t="n">
        <f aca="false">SUBTOTAL(9,K15:K19)</f>
        <v>5664173.30353806</v>
      </c>
      <c r="L20" s="171" t="n">
        <f aca="false">SUBTOTAL(9,L15:L19)</f>
        <v>6812709.92185628</v>
      </c>
      <c r="M20" s="135"/>
      <c r="N20" s="135"/>
      <c r="O20" s="135"/>
      <c r="P20" s="135"/>
    </row>
    <row r="21" s="75" customFormat="true" ht="15.75" hidden="false" customHeight="true" outlineLevel="0" collapsed="false">
      <c r="A21" s="167"/>
      <c r="B21" s="168"/>
      <c r="C21" s="168"/>
      <c r="D21" s="96"/>
      <c r="E21" s="96"/>
      <c r="F21" s="96"/>
      <c r="G21" s="96"/>
      <c r="H21" s="97"/>
      <c r="I21" s="97"/>
      <c r="J21" s="97"/>
      <c r="K21" s="97"/>
      <c r="L21" s="97"/>
      <c r="M21" s="97"/>
      <c r="N21" s="97"/>
      <c r="O21" s="97"/>
      <c r="P21" s="97"/>
    </row>
    <row r="22" s="107" customFormat="true" ht="15.75" hidden="false" customHeight="true" outlineLevel="0" collapsed="false">
      <c r="A22" s="167"/>
      <c r="B22" s="167" t="s">
        <v>132</v>
      </c>
      <c r="C22" s="167"/>
      <c r="D22" s="173" t="n">
        <v>4785000</v>
      </c>
      <c r="E22" s="173" t="n">
        <v>5035988.8</v>
      </c>
      <c r="F22" s="173" t="n">
        <v>7981232.55</v>
      </c>
      <c r="G22" s="173" t="n">
        <v>10522851.7655</v>
      </c>
      <c r="H22" s="101" t="n">
        <f aca="false">SUBTOTAL(9,H5:H21)</f>
        <v>45979294.7800963</v>
      </c>
      <c r="I22" s="101" t="n">
        <f aca="false">SUBTOTAL(9,I5:I21)</f>
        <v>36621277.5672095</v>
      </c>
      <c r="J22" s="101" t="n">
        <f aca="false">SUBTOTAL(9,J5:J21)</f>
        <v>37934827.0458756</v>
      </c>
      <c r="K22" s="101" t="n">
        <f aca="false">SUBTOTAL(9,K5:K21)</f>
        <v>39734806.9998484</v>
      </c>
      <c r="L22" s="101" t="n">
        <f aca="false">SUBTOTAL(9,L5:L21)</f>
        <v>45533916.0993151</v>
      </c>
      <c r="M22" s="102"/>
      <c r="N22" s="102"/>
      <c r="O22" s="102"/>
      <c r="P22" s="102"/>
    </row>
    <row r="23" s="75" customFormat="true" ht="15.75" hidden="false" customHeight="true" outlineLevel="0" collapsed="false">
      <c r="A23" s="107"/>
      <c r="C23" s="174"/>
      <c r="D23" s="175" t="n">
        <v>0</v>
      </c>
      <c r="E23" s="175" t="n">
        <v>0</v>
      </c>
      <c r="F23" s="175" t="n">
        <v>0</v>
      </c>
      <c r="G23" s="175" t="n">
        <v>0</v>
      </c>
      <c r="H23" s="147"/>
      <c r="I23" s="147"/>
      <c r="J23" s="147"/>
      <c r="K23" s="147"/>
      <c r="L23" s="147"/>
      <c r="M23" s="147"/>
      <c r="N23" s="147"/>
      <c r="O23" s="147"/>
      <c r="P23" s="147"/>
    </row>
    <row r="24" s="75" customFormat="true" ht="15.75" hidden="false" customHeight="true" outlineLevel="0" collapsed="false">
      <c r="A24" s="167" t="s">
        <v>133</v>
      </c>
      <c r="B24" s="168"/>
      <c r="C24" s="168"/>
      <c r="D24" s="96"/>
      <c r="E24" s="96"/>
      <c r="F24" s="96"/>
      <c r="G24" s="96"/>
      <c r="H24" s="97"/>
      <c r="I24" s="97"/>
      <c r="J24" s="97"/>
      <c r="K24" s="97"/>
      <c r="L24" s="97"/>
      <c r="M24" s="97"/>
      <c r="N24" s="97"/>
      <c r="O24" s="97"/>
      <c r="P24" s="97"/>
    </row>
    <row r="25" s="75" customFormat="true" ht="15.75" hidden="false" customHeight="true" outlineLevel="0" collapsed="false">
      <c r="A25" s="167"/>
      <c r="B25" s="168" t="s">
        <v>134</v>
      </c>
      <c r="C25" s="168"/>
      <c r="D25" s="96"/>
      <c r="E25" s="96"/>
      <c r="F25" s="96"/>
      <c r="G25" s="96"/>
      <c r="H25" s="97"/>
      <c r="I25" s="97"/>
      <c r="J25" s="97"/>
      <c r="K25" s="97"/>
      <c r="L25" s="97"/>
      <c r="M25" s="97"/>
      <c r="N25" s="97"/>
      <c r="O25" s="97"/>
      <c r="P25" s="97"/>
    </row>
    <row r="26" s="75" customFormat="true" ht="15.75" hidden="false" customHeight="true" outlineLevel="0" collapsed="false">
      <c r="A26" s="167"/>
      <c r="B26" s="168"/>
      <c r="C26" s="168" t="s">
        <v>135</v>
      </c>
      <c r="D26" s="96" t="n">
        <v>2850000</v>
      </c>
      <c r="E26" s="96" t="n">
        <v>4282200</v>
      </c>
      <c r="F26" s="96" t="n">
        <v>6657480</v>
      </c>
      <c r="G26" s="96" t="n">
        <v>9789432</v>
      </c>
      <c r="H26" s="110" t="n">
        <f aca="false">G26+'Income Statement'!E71</f>
        <v>13531526.4</v>
      </c>
      <c r="I26" s="110" t="n">
        <f aca="false">H26+'Income Statement'!F71</f>
        <v>18801792.407759</v>
      </c>
      <c r="J26" s="110" t="n">
        <f aca="false">I26+'Income Statement'!G71</f>
        <v>30291826.7819884</v>
      </c>
      <c r="K26" s="110" t="n">
        <f aca="false">J26+'Income Statement'!H71</f>
        <v>43371645.1310564</v>
      </c>
      <c r="L26" s="110" t="n">
        <f aca="false">K26+'Income Statement'!I71</f>
        <v>58150715.4711859</v>
      </c>
      <c r="M26" s="97"/>
      <c r="N26" s="97"/>
      <c r="O26" s="97"/>
      <c r="P26" s="97"/>
    </row>
    <row r="27" s="75" customFormat="true" ht="15.75" hidden="true" customHeight="true" outlineLevel="0" collapsed="false">
      <c r="A27" s="167"/>
      <c r="B27" s="168"/>
      <c r="C27" s="168" t="s">
        <v>136</v>
      </c>
      <c r="D27" s="96" t="n">
        <v>0</v>
      </c>
      <c r="E27" s="96" t="n">
        <v>0</v>
      </c>
      <c r="F27" s="96" t="n">
        <v>0</v>
      </c>
      <c r="G27" s="96" t="n">
        <v>0</v>
      </c>
      <c r="H27" s="110" t="n">
        <f aca="false">G27+'Income Statement'!E72</f>
        <v>0</v>
      </c>
      <c r="I27" s="110" t="n">
        <f aca="false">H27+'Income Statement'!F72</f>
        <v>0</v>
      </c>
      <c r="J27" s="110" t="n">
        <f aca="false">I27+'Income Statement'!G72</f>
        <v>0</v>
      </c>
      <c r="K27" s="110" t="n">
        <f aca="false">J27+'Income Statement'!H72</f>
        <v>0</v>
      </c>
      <c r="L27" s="110" t="n">
        <f aca="false">K27+'Income Statement'!I72</f>
        <v>0</v>
      </c>
      <c r="M27" s="97"/>
      <c r="N27" s="97"/>
      <c r="O27" s="97"/>
      <c r="P27" s="97"/>
    </row>
    <row r="28" s="75" customFormat="true" ht="15.75" hidden="false" customHeight="true" outlineLevel="0" collapsed="false">
      <c r="A28" s="167"/>
      <c r="B28" s="168" t="s">
        <v>133</v>
      </c>
      <c r="C28" s="168"/>
      <c r="D28" s="96"/>
      <c r="E28" s="96"/>
      <c r="F28" s="96"/>
      <c r="G28" s="96"/>
      <c r="H28" s="97"/>
      <c r="I28" s="97"/>
      <c r="J28" s="97"/>
      <c r="K28" s="97"/>
      <c r="L28" s="97"/>
      <c r="M28" s="97"/>
      <c r="N28" s="97"/>
      <c r="O28" s="97"/>
      <c r="P28" s="97"/>
    </row>
    <row r="29" s="75" customFormat="true" ht="15.75" hidden="false" customHeight="true" outlineLevel="0" collapsed="false">
      <c r="A29" s="167"/>
      <c r="B29" s="168"/>
      <c r="C29" s="168" t="s">
        <v>137</v>
      </c>
      <c r="D29" s="88" t="n">
        <v>985000</v>
      </c>
      <c r="E29" s="88" t="n">
        <v>985000</v>
      </c>
      <c r="F29" s="88" t="n">
        <v>1020000</v>
      </c>
      <c r="G29" s="88" t="n">
        <v>1020000</v>
      </c>
      <c r="H29" s="90" t="n">
        <f aca="false">G29</f>
        <v>1020000</v>
      </c>
      <c r="I29" s="90" t="n">
        <f aca="false">H29</f>
        <v>1020000</v>
      </c>
      <c r="J29" s="90" t="n">
        <f aca="false">I29</f>
        <v>1020000</v>
      </c>
      <c r="K29" s="90" t="n">
        <f aca="false">J29</f>
        <v>1020000</v>
      </c>
      <c r="L29" s="90" t="n">
        <f aca="false">K29</f>
        <v>1020000</v>
      </c>
      <c r="M29" s="91"/>
      <c r="N29" s="91"/>
      <c r="O29" s="91"/>
      <c r="P29" s="91"/>
    </row>
    <row r="30" s="75" customFormat="true" ht="15.75" hidden="false" customHeight="true" outlineLevel="0" collapsed="false">
      <c r="A30" s="167"/>
      <c r="B30" s="168"/>
      <c r="C30" s="168" t="s">
        <v>138</v>
      </c>
      <c r="D30" s="88" t="n">
        <v>10220000</v>
      </c>
      <c r="E30" s="88" t="n">
        <v>13797000</v>
      </c>
      <c r="F30" s="88" t="n">
        <v>19315800</v>
      </c>
      <c r="G30" s="88" t="n">
        <v>21633696</v>
      </c>
      <c r="H30" s="89" t="n">
        <f aca="false">G30+Drivers!F95</f>
        <v>34368459.397992</v>
      </c>
      <c r="I30" s="89" t="n">
        <f aca="false">H30+Drivers!G95</f>
        <v>86199862.4519111</v>
      </c>
      <c r="J30" s="89" t="n">
        <f aca="false">I30+Drivers!H95</f>
        <v>99448062.2422336</v>
      </c>
      <c r="K30" s="89" t="n">
        <f aca="false">J30+Drivers!I95</f>
        <v>113608495.501079</v>
      </c>
      <c r="L30" s="89" t="n">
        <f aca="false">K30+Drivers!J95</f>
        <v>130640270.305719</v>
      </c>
      <c r="M30" s="94"/>
      <c r="N30" s="94"/>
      <c r="O30" s="94"/>
      <c r="P30" s="94"/>
    </row>
    <row r="31" s="75" customFormat="true" ht="15.75" hidden="false" customHeight="true" outlineLevel="0" collapsed="false">
      <c r="A31" s="167"/>
      <c r="B31" s="168"/>
      <c r="C31" s="168" t="s">
        <v>139</v>
      </c>
      <c r="D31" s="88" t="n">
        <v>3580000</v>
      </c>
      <c r="E31" s="88" t="n">
        <v>5012000</v>
      </c>
      <c r="F31" s="88" t="n">
        <v>5763800</v>
      </c>
      <c r="G31" s="88" t="n">
        <v>8530424</v>
      </c>
      <c r="H31" s="89" t="n">
        <f aca="false">G31</f>
        <v>8530424</v>
      </c>
      <c r="I31" s="89" t="n">
        <f aca="false">H31</f>
        <v>8530424</v>
      </c>
      <c r="J31" s="89" t="n">
        <f aca="false">I31</f>
        <v>8530424</v>
      </c>
      <c r="K31" s="89" t="n">
        <f aca="false">J31</f>
        <v>8530424</v>
      </c>
      <c r="L31" s="89" t="n">
        <f aca="false">K31</f>
        <v>8530424</v>
      </c>
      <c r="M31" s="94"/>
      <c r="N31" s="94"/>
      <c r="O31" s="94"/>
      <c r="P31" s="94"/>
    </row>
    <row r="32" s="75" customFormat="true" ht="15.75" hidden="false" customHeight="true" outlineLevel="0" collapsed="false">
      <c r="A32" s="167"/>
      <c r="B32" s="167" t="s">
        <v>140</v>
      </c>
      <c r="C32" s="168"/>
      <c r="D32" s="170" t="n">
        <v>11935000</v>
      </c>
      <c r="E32" s="170" t="n">
        <v>15511800</v>
      </c>
      <c r="F32" s="170" t="n">
        <v>19442120</v>
      </c>
      <c r="G32" s="170" t="n">
        <v>21394688</v>
      </c>
      <c r="H32" s="171" t="n">
        <f aca="false">SUM(H29:H31)-H26-H27</f>
        <v>30387356.997992</v>
      </c>
      <c r="I32" s="171" t="n">
        <f aca="false">SUM(I29:I31)-I26-I27</f>
        <v>76948494.0441521</v>
      </c>
      <c r="J32" s="171" t="n">
        <f aca="false">SUM(J29:J31)-J26-J27</f>
        <v>78706659.4602453</v>
      </c>
      <c r="K32" s="171" t="n">
        <f aca="false">SUM(K29:K31)-K26-K27</f>
        <v>79787274.3700223</v>
      </c>
      <c r="L32" s="171" t="n">
        <f aca="false">SUM(L29:L31)-L26-L27</f>
        <v>82039978.8345336</v>
      </c>
      <c r="M32" s="135"/>
      <c r="N32" s="135"/>
      <c r="O32" s="135"/>
      <c r="P32" s="135"/>
    </row>
    <row r="33" s="75" customFormat="true" ht="15.75" hidden="false" customHeight="true" outlineLevel="0" collapsed="false">
      <c r="A33" s="107"/>
      <c r="D33" s="96"/>
      <c r="E33" s="96"/>
      <c r="F33" s="96"/>
      <c r="G33" s="96"/>
      <c r="H33" s="97"/>
      <c r="I33" s="97"/>
      <c r="J33" s="97"/>
      <c r="K33" s="97"/>
      <c r="L33" s="97"/>
      <c r="M33" s="97"/>
      <c r="N33" s="97"/>
      <c r="O33" s="97"/>
      <c r="P33" s="97"/>
    </row>
    <row r="34" s="75" customFormat="true" ht="15.75" hidden="false" customHeight="true" outlineLevel="0" collapsed="false">
      <c r="A34" s="176" t="s">
        <v>141</v>
      </c>
      <c r="B34" s="177"/>
      <c r="C34" s="177"/>
      <c r="D34" s="178" t="n">
        <v>16720000</v>
      </c>
      <c r="E34" s="178" t="n">
        <v>20547788.8</v>
      </c>
      <c r="F34" s="178" t="n">
        <v>27423352.55</v>
      </c>
      <c r="G34" s="178" t="n">
        <v>31917539.7655</v>
      </c>
      <c r="H34" s="179" t="n">
        <f aca="false">H22+H32</f>
        <v>76366651.7780883</v>
      </c>
      <c r="I34" s="179" t="n">
        <f aca="false">I22+I32</f>
        <v>113569771.611362</v>
      </c>
      <c r="J34" s="179" t="n">
        <f aca="false">J22+J32</f>
        <v>116641486.506121</v>
      </c>
      <c r="K34" s="179" t="n">
        <f aca="false">K22+K32</f>
        <v>119522081.369871</v>
      </c>
      <c r="L34" s="179" t="n">
        <f aca="false">L22+L32</f>
        <v>127573894.933849</v>
      </c>
      <c r="M34" s="180"/>
      <c r="N34" s="180"/>
      <c r="O34" s="180"/>
      <c r="P34" s="180"/>
      <c r="Q34" s="107"/>
    </row>
    <row r="35" s="75" customFormat="true" ht="15.75" hidden="false" customHeight="true" outlineLevel="0" collapsed="false">
      <c r="A35" s="107"/>
      <c r="C35" s="174"/>
      <c r="D35" s="175" t="n">
        <v>0</v>
      </c>
      <c r="E35" s="175" t="n">
        <v>0</v>
      </c>
      <c r="F35" s="175" t="n">
        <v>0</v>
      </c>
      <c r="G35" s="175" t="n">
        <v>0</v>
      </c>
      <c r="H35" s="147"/>
      <c r="I35" s="147"/>
      <c r="J35" s="147"/>
      <c r="K35" s="147"/>
      <c r="L35" s="147"/>
      <c r="M35" s="147"/>
      <c r="N35" s="147"/>
      <c r="O35" s="147"/>
      <c r="P35" s="147"/>
    </row>
    <row r="36" s="75" customFormat="true" ht="15.75" hidden="false" customHeight="true" outlineLevel="0" collapsed="false">
      <c r="A36" s="181"/>
      <c r="B36" s="182"/>
      <c r="C36" s="183"/>
      <c r="D36" s="184"/>
      <c r="E36" s="184"/>
      <c r="F36" s="184"/>
      <c r="G36" s="184"/>
      <c r="H36" s="185"/>
      <c r="I36" s="185"/>
      <c r="J36" s="185"/>
      <c r="K36" s="185"/>
      <c r="L36" s="185"/>
      <c r="M36" s="147"/>
      <c r="N36" s="147"/>
      <c r="O36" s="147"/>
      <c r="P36" s="147"/>
    </row>
    <row r="37" s="75" customFormat="true" ht="15.75" hidden="false" customHeight="true" outlineLevel="0" collapsed="false">
      <c r="A37" s="167" t="s">
        <v>142</v>
      </c>
      <c r="B37" s="168"/>
      <c r="C37" s="168"/>
      <c r="D37" s="96"/>
      <c r="E37" s="96"/>
      <c r="F37" s="96"/>
      <c r="G37" s="96"/>
      <c r="H37" s="97"/>
      <c r="I37" s="97"/>
      <c r="J37" s="97"/>
      <c r="K37" s="97"/>
      <c r="L37" s="97"/>
      <c r="M37" s="97"/>
      <c r="N37" s="97"/>
      <c r="O37" s="97"/>
      <c r="P37" s="97"/>
    </row>
    <row r="38" s="75" customFormat="true" ht="15.75" hidden="false" customHeight="true" outlineLevel="0" collapsed="false">
      <c r="A38" s="167" t="s">
        <v>143</v>
      </c>
      <c r="B38" s="168"/>
      <c r="C38" s="168"/>
      <c r="D38" s="96"/>
      <c r="E38" s="96"/>
      <c r="F38" s="96"/>
      <c r="G38" s="96"/>
      <c r="H38" s="97"/>
      <c r="I38" s="97"/>
      <c r="J38" s="97"/>
      <c r="K38" s="97"/>
      <c r="L38" s="97"/>
      <c r="M38" s="97"/>
      <c r="N38" s="97"/>
      <c r="O38" s="97"/>
      <c r="P38" s="97"/>
    </row>
    <row r="39" s="75" customFormat="true" ht="15.75" hidden="false" customHeight="true" outlineLevel="0" collapsed="false">
      <c r="A39" s="167"/>
      <c r="B39" s="168" t="s">
        <v>144</v>
      </c>
      <c r="C39" s="168"/>
      <c r="D39" s="96"/>
      <c r="E39" s="96"/>
      <c r="F39" s="96"/>
      <c r="G39" s="96"/>
      <c r="H39" s="97"/>
      <c r="I39" s="97"/>
      <c r="J39" s="97"/>
      <c r="K39" s="97"/>
      <c r="L39" s="97"/>
      <c r="M39" s="97"/>
      <c r="N39" s="97"/>
      <c r="O39" s="97"/>
      <c r="P39" s="97"/>
    </row>
    <row r="40" s="75" customFormat="true" ht="15.75" hidden="false" customHeight="true" outlineLevel="0" collapsed="false">
      <c r="A40" s="167"/>
      <c r="B40" s="168"/>
      <c r="C40" s="168" t="s">
        <v>145</v>
      </c>
      <c r="D40" s="88" t="n">
        <v>120000</v>
      </c>
      <c r="E40" s="88" t="n">
        <v>156000</v>
      </c>
      <c r="F40" s="88" t="n">
        <v>202800</v>
      </c>
      <c r="G40" s="88" t="n">
        <v>263640</v>
      </c>
      <c r="H40" s="90" t="n">
        <f aca="false">Drivers!F111</f>
        <v>474593.404040822</v>
      </c>
      <c r="I40" s="90" t="n">
        <f aca="false">Drivers!G111</f>
        <v>719292.612202287</v>
      </c>
      <c r="J40" s="90" t="n">
        <f aca="false">Drivers!H111</f>
        <v>1331816.61280379</v>
      </c>
      <c r="K40" s="90" t="n">
        <f aca="false">Drivers!I111</f>
        <v>1659622.39688793</v>
      </c>
      <c r="L40" s="90" t="n">
        <f aca="false">Drivers!J111</f>
        <v>2019069.39094643</v>
      </c>
      <c r="M40" s="91"/>
      <c r="N40" s="91"/>
      <c r="O40" s="91"/>
      <c r="P40" s="91"/>
    </row>
    <row r="41" s="75" customFormat="true" ht="15.75" hidden="false" customHeight="true" outlineLevel="0" collapsed="false">
      <c r="A41" s="167"/>
      <c r="B41" s="168"/>
      <c r="C41" s="167" t="s">
        <v>146</v>
      </c>
      <c r="D41" s="170" t="n">
        <v>120000</v>
      </c>
      <c r="E41" s="170" t="n">
        <v>156000</v>
      </c>
      <c r="F41" s="170" t="n">
        <v>202800</v>
      </c>
      <c r="G41" s="170" t="n">
        <v>263640</v>
      </c>
      <c r="H41" s="171" t="n">
        <f aca="false">SUBTOTAL(9, H40)</f>
        <v>474593.404040822</v>
      </c>
      <c r="I41" s="171" t="n">
        <f aca="false">SUBTOTAL(9, I40)</f>
        <v>719292.612202287</v>
      </c>
      <c r="J41" s="171" t="n">
        <f aca="false">SUBTOTAL(9, J40)</f>
        <v>1331816.61280379</v>
      </c>
      <c r="K41" s="171" t="n">
        <f aca="false">SUBTOTAL(9, K40)</f>
        <v>1659622.39688793</v>
      </c>
      <c r="L41" s="171" t="n">
        <f aca="false">SUBTOTAL(9, L40)</f>
        <v>2019069.39094643</v>
      </c>
      <c r="M41" s="135"/>
      <c r="N41" s="135"/>
      <c r="O41" s="135"/>
      <c r="P41" s="135"/>
    </row>
    <row r="42" s="75" customFormat="true" ht="15.75" hidden="true" customHeight="true" outlineLevel="0" collapsed="false">
      <c r="A42" s="107"/>
      <c r="B42" s="75" t="s">
        <v>147</v>
      </c>
      <c r="D42" s="96"/>
      <c r="E42" s="96"/>
      <c r="F42" s="96"/>
      <c r="G42" s="96"/>
      <c r="H42" s="97"/>
      <c r="I42" s="97"/>
      <c r="J42" s="97"/>
      <c r="K42" s="97"/>
      <c r="L42" s="97"/>
      <c r="M42" s="97"/>
      <c r="N42" s="97"/>
      <c r="O42" s="97"/>
      <c r="P42" s="97"/>
    </row>
    <row r="43" s="75" customFormat="true" ht="12" hidden="true" customHeight="true" outlineLevel="0" collapsed="false">
      <c r="A43" s="107"/>
      <c r="C43" s="75" t="s">
        <v>148</v>
      </c>
      <c r="D43" s="88" t="n">
        <v>0</v>
      </c>
      <c r="E43" s="88" t="n">
        <v>0</v>
      </c>
      <c r="F43" s="88" t="n">
        <v>0</v>
      </c>
      <c r="G43" s="88" t="n">
        <v>0</v>
      </c>
      <c r="H43" s="89" t="n">
        <v>0</v>
      </c>
      <c r="I43" s="89" t="n">
        <v>0</v>
      </c>
      <c r="J43" s="89" t="n">
        <v>0</v>
      </c>
      <c r="K43" s="89" t="n">
        <v>0</v>
      </c>
      <c r="L43" s="89" t="n">
        <v>0</v>
      </c>
      <c r="M43" s="94"/>
      <c r="N43" s="94"/>
      <c r="O43" s="94"/>
      <c r="P43" s="94"/>
    </row>
    <row r="44" s="75" customFormat="true" ht="12" hidden="true" customHeight="true" outlineLevel="0" collapsed="false">
      <c r="A44" s="107"/>
      <c r="C44" s="75" t="s">
        <v>149</v>
      </c>
      <c r="D44" s="88" t="n">
        <v>0</v>
      </c>
      <c r="E44" s="88" t="n">
        <v>0</v>
      </c>
      <c r="F44" s="88" t="n">
        <v>0</v>
      </c>
      <c r="G44" s="88" t="n">
        <v>0</v>
      </c>
      <c r="H44" s="89" t="n">
        <v>0</v>
      </c>
      <c r="I44" s="89" t="n">
        <v>0</v>
      </c>
      <c r="J44" s="89" t="n">
        <v>0</v>
      </c>
      <c r="K44" s="89" t="n">
        <v>0</v>
      </c>
      <c r="L44" s="89" t="n">
        <v>0</v>
      </c>
      <c r="M44" s="94"/>
      <c r="N44" s="94"/>
      <c r="O44" s="94"/>
      <c r="P44" s="94"/>
    </row>
    <row r="45" s="75" customFormat="true" ht="12" hidden="true" customHeight="true" outlineLevel="0" collapsed="false">
      <c r="A45" s="107"/>
      <c r="C45" s="107" t="s">
        <v>150</v>
      </c>
      <c r="D45" s="170" t="n">
        <v>0</v>
      </c>
      <c r="E45" s="170" t="n">
        <v>0</v>
      </c>
      <c r="F45" s="170" t="n">
        <v>0</v>
      </c>
      <c r="G45" s="170" t="n">
        <v>0</v>
      </c>
      <c r="H45" s="171" t="n">
        <f aca="false">SUBTOTAL(9,H43:H44)</f>
        <v>0</v>
      </c>
      <c r="I45" s="171" t="n">
        <f aca="false">SUBTOTAL(9,I43:I44)</f>
        <v>0</v>
      </c>
      <c r="J45" s="171" t="n">
        <f aca="false">SUBTOTAL(9,J43:J44)</f>
        <v>0</v>
      </c>
      <c r="K45" s="171" t="n">
        <f aca="false">SUBTOTAL(9,K43:K44)</f>
        <v>0</v>
      </c>
      <c r="L45" s="171" t="n">
        <f aca="false">SUBTOTAL(9,L43:L44)</f>
        <v>0</v>
      </c>
      <c r="M45" s="135"/>
      <c r="N45" s="135"/>
      <c r="O45" s="135"/>
      <c r="P45" s="135"/>
    </row>
    <row r="46" s="75" customFormat="true" ht="15.75" hidden="false" customHeight="true" outlineLevel="0" collapsed="false">
      <c r="A46" s="107"/>
      <c r="B46" s="168" t="s">
        <v>151</v>
      </c>
      <c r="C46" s="168"/>
      <c r="D46" s="96"/>
      <c r="E46" s="96"/>
      <c r="F46" s="96"/>
      <c r="G46" s="96"/>
      <c r="H46" s="97"/>
      <c r="I46" s="97"/>
      <c r="J46" s="97"/>
      <c r="K46" s="97"/>
      <c r="L46" s="97"/>
      <c r="M46" s="97"/>
      <c r="N46" s="97"/>
      <c r="O46" s="97"/>
      <c r="P46" s="97"/>
    </row>
    <row r="47" s="75" customFormat="true" ht="15.75" hidden="false" customHeight="true" outlineLevel="0" collapsed="false">
      <c r="A47" s="107"/>
      <c r="B47" s="168"/>
      <c r="C47" s="168" t="s">
        <v>152</v>
      </c>
      <c r="D47" s="88" t="n">
        <v>100000</v>
      </c>
      <c r="E47" s="88" t="n">
        <v>90000</v>
      </c>
      <c r="F47" s="88" t="n">
        <v>108000</v>
      </c>
      <c r="G47" s="88" t="n">
        <v>102600</v>
      </c>
      <c r="H47" s="90" t="n">
        <f aca="false">Drivers!F121</f>
        <v>102600</v>
      </c>
      <c r="I47" s="90" t="n">
        <f aca="false">Drivers!G121</f>
        <v>102600</v>
      </c>
      <c r="J47" s="90" t="n">
        <f aca="false">Drivers!H121</f>
        <v>102600</v>
      </c>
      <c r="K47" s="90" t="n">
        <f aca="false">Drivers!I121</f>
        <v>102600</v>
      </c>
      <c r="L47" s="90" t="n">
        <f aca="false">Drivers!J121</f>
        <v>102600</v>
      </c>
      <c r="M47" s="91"/>
      <c r="N47" s="91"/>
      <c r="O47" s="91"/>
      <c r="P47" s="91"/>
    </row>
    <row r="48" s="75" customFormat="true" ht="15.75" hidden="false" customHeight="true" outlineLevel="0" collapsed="false">
      <c r="A48" s="107"/>
      <c r="C48" s="167" t="s">
        <v>153</v>
      </c>
      <c r="D48" s="170" t="n">
        <v>100000</v>
      </c>
      <c r="E48" s="170" t="n">
        <v>90000</v>
      </c>
      <c r="F48" s="170" t="n">
        <v>108000</v>
      </c>
      <c r="G48" s="170" t="n">
        <v>102600</v>
      </c>
      <c r="H48" s="171" t="n">
        <f aca="false">SUBTOTAL(9,H47:H47)</f>
        <v>102600</v>
      </c>
      <c r="I48" s="171" t="n">
        <f aca="false">SUBTOTAL(9,I47:I47)</f>
        <v>102600</v>
      </c>
      <c r="J48" s="171" t="n">
        <f aca="false">SUBTOTAL(9,J47:J47)</f>
        <v>102600</v>
      </c>
      <c r="K48" s="171" t="n">
        <f aca="false">SUBTOTAL(9,K47:K47)</f>
        <v>102600</v>
      </c>
      <c r="L48" s="171" t="n">
        <f aca="false">SUBTOTAL(9,L47:L47)</f>
        <v>102600</v>
      </c>
      <c r="M48" s="135"/>
      <c r="N48" s="135"/>
      <c r="O48" s="135"/>
      <c r="P48" s="135"/>
    </row>
    <row r="49" s="75" customFormat="true" ht="15.75" hidden="true" customHeight="true" outlineLevel="0" collapsed="false">
      <c r="A49" s="107"/>
      <c r="B49" s="75" t="s">
        <v>154</v>
      </c>
      <c r="D49" s="96"/>
      <c r="E49" s="96"/>
      <c r="F49" s="96"/>
      <c r="G49" s="96"/>
      <c r="H49" s="97"/>
      <c r="I49" s="97"/>
      <c r="J49" s="97"/>
      <c r="K49" s="97"/>
      <c r="L49" s="97"/>
      <c r="M49" s="97"/>
      <c r="N49" s="97"/>
      <c r="O49" s="97"/>
      <c r="P49" s="97"/>
    </row>
    <row r="50" s="75" customFormat="true" ht="15.75" hidden="true" customHeight="true" outlineLevel="0" collapsed="false">
      <c r="A50" s="107"/>
      <c r="C50" s="75" t="s">
        <v>155</v>
      </c>
      <c r="D50" s="88" t="n">
        <v>0</v>
      </c>
      <c r="E50" s="88" t="n">
        <v>0</v>
      </c>
      <c r="F50" s="88" t="n">
        <v>0</v>
      </c>
      <c r="G50" s="88" t="n">
        <v>0</v>
      </c>
      <c r="H50" s="90" t="n">
        <v>0</v>
      </c>
      <c r="I50" s="90" t="n">
        <v>0</v>
      </c>
      <c r="J50" s="90" t="n">
        <v>0</v>
      </c>
      <c r="K50" s="90" t="n">
        <v>0</v>
      </c>
      <c r="L50" s="90" t="n">
        <v>0</v>
      </c>
      <c r="M50" s="91"/>
      <c r="N50" s="91"/>
      <c r="O50" s="91"/>
      <c r="P50" s="91"/>
    </row>
    <row r="51" s="75" customFormat="true" ht="15.75" hidden="true" customHeight="true" outlineLevel="0" collapsed="false">
      <c r="A51" s="107"/>
      <c r="C51" s="107" t="s">
        <v>156</v>
      </c>
      <c r="D51" s="170" t="n">
        <v>0</v>
      </c>
      <c r="E51" s="170" t="n">
        <v>0</v>
      </c>
      <c r="F51" s="170" t="n">
        <v>0</v>
      </c>
      <c r="G51" s="170" t="n">
        <v>0</v>
      </c>
      <c r="H51" s="171" t="n">
        <f aca="false">SUBTOTAL(9, H50)</f>
        <v>0</v>
      </c>
      <c r="I51" s="171" t="n">
        <f aca="false">SUBTOTAL(9, I50)</f>
        <v>0</v>
      </c>
      <c r="J51" s="171" t="n">
        <f aca="false">SUBTOTAL(9, J50)</f>
        <v>0</v>
      </c>
      <c r="K51" s="171" t="n">
        <f aca="false">SUBTOTAL(9, K50)</f>
        <v>0</v>
      </c>
      <c r="L51" s="171" t="n">
        <f aca="false">SUBTOTAL(9, L50)</f>
        <v>0</v>
      </c>
      <c r="M51" s="135"/>
      <c r="N51" s="135"/>
      <c r="O51" s="135"/>
      <c r="P51" s="135"/>
    </row>
    <row r="52" s="75" customFormat="true" ht="15.75" hidden="false" customHeight="true" outlineLevel="0" collapsed="false">
      <c r="A52" s="107"/>
      <c r="B52" s="168" t="s">
        <v>157</v>
      </c>
      <c r="D52" s="96"/>
      <c r="E52" s="96"/>
      <c r="F52" s="96"/>
      <c r="G52" s="96"/>
      <c r="H52" s="97"/>
      <c r="I52" s="97"/>
      <c r="J52" s="97"/>
      <c r="K52" s="97"/>
      <c r="L52" s="97"/>
      <c r="M52" s="97"/>
      <c r="N52" s="97"/>
      <c r="O52" s="97"/>
      <c r="P52" s="97"/>
    </row>
    <row r="53" s="75" customFormat="true" ht="15.75" hidden="true" customHeight="true" outlineLevel="0" collapsed="false">
      <c r="A53" s="107"/>
      <c r="C53" s="75" t="s">
        <v>158</v>
      </c>
      <c r="D53" s="88" t="n">
        <v>0</v>
      </c>
      <c r="E53" s="88" t="n">
        <v>0</v>
      </c>
      <c r="F53" s="88" t="n">
        <v>0</v>
      </c>
      <c r="G53" s="88" t="n">
        <v>0</v>
      </c>
      <c r="H53" s="90" t="n">
        <v>0</v>
      </c>
      <c r="I53" s="90" t="n">
        <v>0</v>
      </c>
      <c r="J53" s="90" t="n">
        <v>0</v>
      </c>
      <c r="K53" s="90" t="n">
        <v>0</v>
      </c>
      <c r="L53" s="90" t="n">
        <v>0</v>
      </c>
      <c r="M53" s="91"/>
      <c r="N53" s="91"/>
      <c r="O53" s="91"/>
      <c r="P53" s="91"/>
    </row>
    <row r="54" s="75" customFormat="true" ht="15.75" hidden="true" customHeight="true" outlineLevel="0" collapsed="false">
      <c r="A54" s="107"/>
      <c r="C54" s="75" t="s">
        <v>159</v>
      </c>
      <c r="D54" s="88" t="n">
        <v>0</v>
      </c>
      <c r="E54" s="88" t="n">
        <v>0</v>
      </c>
      <c r="F54" s="88" t="n">
        <v>0</v>
      </c>
      <c r="G54" s="88" t="n">
        <v>0</v>
      </c>
      <c r="H54" s="90" t="n">
        <v>0</v>
      </c>
      <c r="I54" s="90" t="n">
        <v>0</v>
      </c>
      <c r="J54" s="90" t="n">
        <v>0</v>
      </c>
      <c r="K54" s="90" t="n">
        <v>0</v>
      </c>
      <c r="L54" s="90" t="n">
        <v>0</v>
      </c>
      <c r="M54" s="91"/>
      <c r="N54" s="91"/>
      <c r="O54" s="91"/>
      <c r="P54" s="91"/>
    </row>
    <row r="55" s="75" customFormat="true" ht="15.75" hidden="false" customHeight="true" outlineLevel="0" collapsed="false">
      <c r="A55" s="107"/>
      <c r="C55" s="168" t="s">
        <v>157</v>
      </c>
      <c r="D55" s="88" t="n">
        <v>36000</v>
      </c>
      <c r="E55" s="88" t="n">
        <v>46800</v>
      </c>
      <c r="F55" s="88" t="n">
        <v>60840</v>
      </c>
      <c r="G55" s="88" t="n">
        <v>79092</v>
      </c>
      <c r="H55" s="90" t="n">
        <f aca="false">Drivers!F113</f>
        <v>127347.63397992</v>
      </c>
      <c r="I55" s="90" t="n">
        <f aca="false">Drivers!G113</f>
        <v>159481.240165905</v>
      </c>
      <c r="J55" s="90" t="n">
        <f aca="false">Drivers!H113</f>
        <v>220803.329838708</v>
      </c>
      <c r="K55" s="90" t="n">
        <f aca="false">Drivers!I113</f>
        <v>283208.665176903</v>
      </c>
      <c r="L55" s="90" t="n">
        <f aca="false">Drivers!J113</f>
        <v>340635.496092814</v>
      </c>
      <c r="M55" s="91"/>
      <c r="N55" s="91"/>
      <c r="O55" s="91"/>
      <c r="P55" s="91"/>
    </row>
    <row r="56" s="75" customFormat="true" ht="24.75" hidden="false" customHeight="true" outlineLevel="0" collapsed="false">
      <c r="A56" s="107"/>
      <c r="C56" s="172" t="s">
        <v>160</v>
      </c>
      <c r="D56" s="170" t="n">
        <v>36000</v>
      </c>
      <c r="E56" s="170" t="n">
        <v>46800</v>
      </c>
      <c r="F56" s="170" t="n">
        <v>60840</v>
      </c>
      <c r="G56" s="170" t="n">
        <v>79092</v>
      </c>
      <c r="H56" s="171" t="n">
        <f aca="false">SUBTOTAL(9,H53:H55)</f>
        <v>127347.63397992</v>
      </c>
      <c r="I56" s="171" t="n">
        <f aca="false">SUBTOTAL(9,I53:I55)</f>
        <v>159481.240165905</v>
      </c>
      <c r="J56" s="171" t="n">
        <f aca="false">SUBTOTAL(9,J53:J55)</f>
        <v>220803.329838708</v>
      </c>
      <c r="K56" s="171" t="n">
        <f aca="false">SUBTOTAL(9,K53:K55)</f>
        <v>283208.665176903</v>
      </c>
      <c r="L56" s="171" t="n">
        <f aca="false">SUBTOTAL(9,L53:L55)</f>
        <v>340635.496092814</v>
      </c>
      <c r="M56" s="135"/>
      <c r="N56" s="135"/>
      <c r="O56" s="135"/>
      <c r="P56" s="135"/>
    </row>
    <row r="57" s="75" customFormat="true" ht="15.75" hidden="false" customHeight="true" outlineLevel="0" collapsed="false">
      <c r="A57" s="107"/>
      <c r="D57" s="96"/>
      <c r="E57" s="96"/>
      <c r="F57" s="96"/>
      <c r="G57" s="96"/>
      <c r="H57" s="97"/>
      <c r="I57" s="97"/>
      <c r="J57" s="97"/>
      <c r="K57" s="97"/>
      <c r="L57" s="97"/>
      <c r="M57" s="97"/>
      <c r="N57" s="97"/>
      <c r="O57" s="97"/>
      <c r="P57" s="97"/>
    </row>
    <row r="58" s="107" customFormat="true" ht="15.75" hidden="false" customHeight="true" outlineLevel="0" collapsed="false">
      <c r="B58" s="167" t="s">
        <v>161</v>
      </c>
      <c r="D58" s="173" t="n">
        <v>256000</v>
      </c>
      <c r="E58" s="173" t="n">
        <v>292800</v>
      </c>
      <c r="F58" s="173" t="n">
        <v>371640</v>
      </c>
      <c r="G58" s="173" t="n">
        <v>445332</v>
      </c>
      <c r="H58" s="101" t="n">
        <f aca="false">SUBTOTAL(9,H40:H56)</f>
        <v>704541.038020742</v>
      </c>
      <c r="I58" s="101" t="n">
        <f aca="false">SUBTOTAL(9,I40:I56)</f>
        <v>981373.852368192</v>
      </c>
      <c r="J58" s="101" t="n">
        <f aca="false">SUBTOTAL(9,J40:J56)</f>
        <v>1655219.9426425</v>
      </c>
      <c r="K58" s="101" t="n">
        <f aca="false">SUBTOTAL(9,K40:K56)</f>
        <v>2045431.06206483</v>
      </c>
      <c r="L58" s="101" t="n">
        <f aca="false">SUBTOTAL(9,L40:L56)</f>
        <v>2462304.88703925</v>
      </c>
      <c r="M58" s="102"/>
      <c r="N58" s="102"/>
      <c r="O58" s="102"/>
      <c r="P58" s="102"/>
    </row>
    <row r="59" s="75" customFormat="true" ht="15.75" hidden="false" customHeight="true" outlineLevel="0" collapsed="false">
      <c r="A59" s="107"/>
      <c r="C59" s="174"/>
      <c r="D59" s="175" t="n">
        <v>0</v>
      </c>
      <c r="E59" s="175" t="n">
        <v>0</v>
      </c>
      <c r="F59" s="175" t="n">
        <v>0</v>
      </c>
      <c r="G59" s="175" t="n">
        <v>0</v>
      </c>
      <c r="H59" s="147"/>
      <c r="I59" s="147"/>
      <c r="J59" s="147"/>
      <c r="K59" s="147"/>
      <c r="L59" s="147"/>
      <c r="M59" s="147"/>
      <c r="N59" s="147"/>
      <c r="O59" s="147"/>
      <c r="P59" s="147"/>
    </row>
    <row r="60" s="75" customFormat="true" ht="15.75" hidden="false" customHeight="true" outlineLevel="0" collapsed="false">
      <c r="A60" s="167" t="s">
        <v>162</v>
      </c>
      <c r="B60" s="168"/>
      <c r="C60" s="168"/>
      <c r="D60" s="96"/>
      <c r="E60" s="96"/>
      <c r="F60" s="96"/>
      <c r="G60" s="96"/>
      <c r="H60" s="97"/>
      <c r="I60" s="97"/>
      <c r="J60" s="97"/>
      <c r="K60" s="97"/>
      <c r="L60" s="97"/>
      <c r="M60" s="97"/>
      <c r="N60" s="97"/>
      <c r="O60" s="97"/>
      <c r="P60" s="97"/>
    </row>
    <row r="61" s="75" customFormat="true" ht="15.75" hidden="false" customHeight="true" outlineLevel="0" collapsed="false">
      <c r="A61" s="167"/>
      <c r="B61" s="168"/>
      <c r="C61" s="168" t="s">
        <v>163</v>
      </c>
      <c r="D61" s="96" t="n">
        <v>1200000</v>
      </c>
      <c r="E61" s="96" t="n">
        <v>1200000</v>
      </c>
      <c r="F61" s="186" t="n">
        <v>1500000</v>
      </c>
      <c r="G61" s="96" t="n">
        <v>1500000</v>
      </c>
      <c r="H61" s="110" t="n">
        <f aca="false">Drivers!F127</f>
        <v>1500000</v>
      </c>
      <c r="I61" s="110" t="n">
        <f aca="false">Drivers!G127</f>
        <v>32598841.8323515</v>
      </c>
      <c r="J61" s="110" t="n">
        <f aca="false">Drivers!H127</f>
        <v>32598841.8323515</v>
      </c>
      <c r="K61" s="110" t="n">
        <f aca="false">Drivers!I127</f>
        <v>26379073.4658812</v>
      </c>
      <c r="L61" s="110" t="n">
        <f aca="false">Drivers!J127</f>
        <v>20159305.0994109</v>
      </c>
      <c r="M61" s="97"/>
      <c r="N61" s="97"/>
      <c r="O61" s="97"/>
      <c r="P61" s="97"/>
    </row>
    <row r="62" s="75" customFormat="true" ht="12" hidden="true" customHeight="true" outlineLevel="0" collapsed="false">
      <c r="A62" s="107"/>
      <c r="C62" s="75" t="s">
        <v>164</v>
      </c>
      <c r="D62" s="96" t="n">
        <v>0</v>
      </c>
      <c r="E62" s="96" t="n">
        <v>0</v>
      </c>
      <c r="F62" s="96" t="n">
        <v>0</v>
      </c>
      <c r="G62" s="96" t="n">
        <v>0</v>
      </c>
      <c r="H62" s="110" t="n">
        <v>0</v>
      </c>
      <c r="I62" s="110" t="n">
        <v>0</v>
      </c>
      <c r="J62" s="110" t="n">
        <v>0</v>
      </c>
      <c r="K62" s="110" t="n">
        <v>0</v>
      </c>
      <c r="L62" s="110" t="n">
        <v>0</v>
      </c>
      <c r="M62" s="97"/>
      <c r="N62" s="97"/>
      <c r="O62" s="97"/>
      <c r="P62" s="97"/>
    </row>
    <row r="63" s="75" customFormat="true" ht="15.75" hidden="false" customHeight="true" outlineLevel="0" collapsed="false">
      <c r="A63" s="107"/>
      <c r="B63" s="168"/>
      <c r="C63" s="168" t="s">
        <v>165</v>
      </c>
      <c r="D63" s="96" t="n">
        <v>0</v>
      </c>
      <c r="E63" s="96" t="n">
        <v>0</v>
      </c>
      <c r="F63" s="96" t="n">
        <v>0</v>
      </c>
      <c r="G63" s="96" t="n">
        <v>0</v>
      </c>
      <c r="H63" s="109" t="n">
        <v>0</v>
      </c>
      <c r="I63" s="109" t="n">
        <v>0</v>
      </c>
      <c r="J63" s="109" t="n">
        <v>0</v>
      </c>
      <c r="K63" s="109" t="n">
        <v>0</v>
      </c>
      <c r="L63" s="109" t="n">
        <v>0</v>
      </c>
      <c r="M63" s="96"/>
      <c r="N63" s="96"/>
      <c r="O63" s="96"/>
      <c r="P63" s="96"/>
    </row>
    <row r="64" s="107" customFormat="true" ht="15.75" hidden="false" customHeight="true" outlineLevel="0" collapsed="false">
      <c r="B64" s="167" t="s">
        <v>166</v>
      </c>
      <c r="C64" s="167"/>
      <c r="D64" s="173" t="n">
        <v>1200000</v>
      </c>
      <c r="E64" s="173" t="n">
        <v>1200000</v>
      </c>
      <c r="F64" s="173" t="n">
        <v>1500000</v>
      </c>
      <c r="G64" s="173" t="n">
        <v>1500000</v>
      </c>
      <c r="H64" s="101" t="n">
        <f aca="false">SUBTOTAL(9,H61:H63)</f>
        <v>1500000</v>
      </c>
      <c r="I64" s="101" t="n">
        <f aca="false">SUBTOTAL(9,I61:I63)</f>
        <v>32598841.8323515</v>
      </c>
      <c r="J64" s="101" t="n">
        <f aca="false">SUBTOTAL(9,J61:J63)</f>
        <v>32598841.8323515</v>
      </c>
      <c r="K64" s="101" t="n">
        <f aca="false">SUBTOTAL(9,K61:K63)</f>
        <v>26379073.4658812</v>
      </c>
      <c r="L64" s="101" t="n">
        <f aca="false">SUBTOTAL(9,L61:L63)</f>
        <v>20159305.0994109</v>
      </c>
      <c r="M64" s="102"/>
      <c r="N64" s="102"/>
      <c r="O64" s="102"/>
      <c r="P64" s="102"/>
    </row>
    <row r="65" s="75" customFormat="true" ht="15.75" hidden="false" customHeight="true" outlineLevel="0" collapsed="false">
      <c r="A65" s="107"/>
      <c r="D65" s="96"/>
      <c r="E65" s="96"/>
      <c r="F65" s="96"/>
      <c r="G65" s="96"/>
      <c r="H65" s="97"/>
      <c r="I65" s="97"/>
      <c r="J65" s="97"/>
      <c r="K65" s="97"/>
      <c r="L65" s="97"/>
      <c r="M65" s="97"/>
      <c r="N65" s="97"/>
      <c r="O65" s="97"/>
      <c r="P65" s="97"/>
    </row>
    <row r="66" s="188" customFormat="true" ht="15.75" hidden="false" customHeight="true" outlineLevel="0" collapsed="false">
      <c r="A66" s="187" t="s">
        <v>167</v>
      </c>
      <c r="D66" s="189" t="n">
        <v>1456000</v>
      </c>
      <c r="E66" s="189" t="n">
        <v>1492800</v>
      </c>
      <c r="F66" s="189" t="n">
        <v>1871640</v>
      </c>
      <c r="G66" s="189" t="n">
        <v>1945332</v>
      </c>
      <c r="H66" s="190" t="n">
        <f aca="false">H58+H64</f>
        <v>2204541.03802074</v>
      </c>
      <c r="I66" s="190" t="n">
        <f aca="false">I58+I64</f>
        <v>33580215.6847197</v>
      </c>
      <c r="J66" s="190" t="n">
        <f aca="false">J58+J64</f>
        <v>34254061.774994</v>
      </c>
      <c r="K66" s="190" t="n">
        <f aca="false">K58+K64</f>
        <v>28424504.527946</v>
      </c>
      <c r="L66" s="190" t="n">
        <f aca="false">L58+L64</f>
        <v>22621609.9864501</v>
      </c>
      <c r="M66" s="180"/>
      <c r="N66" s="180"/>
      <c r="O66" s="180"/>
      <c r="P66" s="180"/>
      <c r="Q66" s="107"/>
    </row>
    <row r="67" s="75" customFormat="true" ht="15.75" hidden="false" customHeight="true" outlineLevel="0" collapsed="false">
      <c r="A67" s="107"/>
      <c r="C67" s="174"/>
      <c r="D67" s="175" t="n">
        <v>0</v>
      </c>
      <c r="E67" s="175" t="n">
        <v>0</v>
      </c>
      <c r="F67" s="175" t="n">
        <v>0</v>
      </c>
      <c r="G67" s="175" t="n">
        <v>0</v>
      </c>
      <c r="H67" s="147"/>
      <c r="I67" s="147"/>
      <c r="J67" s="147"/>
      <c r="K67" s="147"/>
      <c r="L67" s="147"/>
      <c r="M67" s="147"/>
      <c r="N67" s="147"/>
      <c r="O67" s="147"/>
      <c r="P67" s="147"/>
    </row>
    <row r="68" s="75" customFormat="true" ht="15.75" hidden="false" customHeight="true" outlineLevel="0" collapsed="false">
      <c r="A68" s="167" t="s">
        <v>168</v>
      </c>
      <c r="D68" s="96"/>
      <c r="E68" s="96"/>
      <c r="F68" s="96"/>
      <c r="G68" s="96"/>
      <c r="H68" s="97"/>
      <c r="I68" s="97"/>
      <c r="J68" s="97"/>
      <c r="K68" s="97"/>
      <c r="L68" s="97"/>
      <c r="M68" s="97"/>
      <c r="N68" s="97"/>
      <c r="O68" s="97"/>
      <c r="P68" s="97"/>
    </row>
    <row r="69" s="75" customFormat="true" ht="12" hidden="true" customHeight="true" outlineLevel="0" collapsed="false">
      <c r="A69" s="107"/>
      <c r="C69" s="75" t="s">
        <v>169</v>
      </c>
      <c r="D69" s="88" t="n">
        <v>0</v>
      </c>
      <c r="E69" s="88" t="n">
        <v>0</v>
      </c>
      <c r="F69" s="88" t="n">
        <v>0</v>
      </c>
      <c r="G69" s="88" t="n">
        <v>0</v>
      </c>
      <c r="H69" s="90" t="n">
        <v>0</v>
      </c>
      <c r="I69" s="90" t="n">
        <v>0</v>
      </c>
      <c r="J69" s="90" t="n">
        <v>0</v>
      </c>
      <c r="K69" s="90" t="n">
        <v>0</v>
      </c>
      <c r="L69" s="90" t="n">
        <v>0</v>
      </c>
      <c r="M69" s="91"/>
      <c r="N69" s="91"/>
      <c r="O69" s="91"/>
      <c r="P69" s="91"/>
    </row>
    <row r="70" s="75" customFormat="true" ht="12" hidden="false" customHeight="true" outlineLevel="0" collapsed="false">
      <c r="A70" s="107"/>
      <c r="C70" s="168" t="s">
        <v>170</v>
      </c>
      <c r="D70" s="186" t="n">
        <v>17044000</v>
      </c>
      <c r="E70" s="186" t="n">
        <v>17044000</v>
      </c>
      <c r="F70" s="186" t="n">
        <v>25144000</v>
      </c>
      <c r="G70" s="186" t="n">
        <v>32144000</v>
      </c>
      <c r="H70" s="90" t="n">
        <f aca="false">G70+G72</f>
        <v>32144000</v>
      </c>
      <c r="I70" s="90" t="n">
        <f aca="false">H70+H72</f>
        <v>69754763.0979458</v>
      </c>
      <c r="J70" s="90" t="n">
        <f aca="false">I70+I72</f>
        <v>69754763.0979458</v>
      </c>
      <c r="K70" s="90" t="n">
        <f aca="false">J70+J72</f>
        <v>69754763.0979458</v>
      </c>
      <c r="L70" s="90" t="n">
        <f aca="false">K70+K72</f>
        <v>69754763.0979458</v>
      </c>
      <c r="M70" s="91"/>
      <c r="N70" s="91"/>
      <c r="O70" s="91"/>
      <c r="P70" s="91"/>
      <c r="Q70" s="191"/>
    </row>
    <row r="71" s="75" customFormat="true" ht="15.75" hidden="true" customHeight="true" outlineLevel="0" collapsed="false">
      <c r="A71" s="107"/>
      <c r="C71" s="75" t="s">
        <v>171</v>
      </c>
      <c r="D71" s="88" t="n">
        <v>0</v>
      </c>
      <c r="E71" s="88" t="n">
        <v>0</v>
      </c>
      <c r="F71" s="88" t="n">
        <v>0</v>
      </c>
      <c r="G71" s="88" t="n">
        <v>0</v>
      </c>
      <c r="H71" s="90" t="n">
        <v>0</v>
      </c>
      <c r="I71" s="90" t="n">
        <v>0</v>
      </c>
      <c r="J71" s="90" t="n">
        <v>0</v>
      </c>
      <c r="K71" s="90" t="n">
        <v>0</v>
      </c>
      <c r="L71" s="90" t="n">
        <v>0</v>
      </c>
      <c r="M71" s="91"/>
      <c r="N71" s="91"/>
      <c r="O71" s="91"/>
      <c r="P71" s="91"/>
    </row>
    <row r="72" s="75" customFormat="true" ht="12" hidden="false" customHeight="true" outlineLevel="0" collapsed="false">
      <c r="A72" s="107"/>
      <c r="C72" s="192" t="s">
        <v>172</v>
      </c>
      <c r="D72" s="193" t="n">
        <v>0</v>
      </c>
      <c r="E72" s="193" t="n">
        <v>8100000</v>
      </c>
      <c r="F72" s="186" t="n">
        <v>7000000</v>
      </c>
      <c r="G72" s="186" t="n">
        <v>0</v>
      </c>
      <c r="H72" s="89" t="n">
        <f aca="false">Drivers!F131</f>
        <v>37610763.0979458</v>
      </c>
      <c r="I72" s="89" t="n">
        <f aca="false">Drivers!G131</f>
        <v>0</v>
      </c>
      <c r="J72" s="89" t="n">
        <f aca="false">Drivers!H131</f>
        <v>0</v>
      </c>
      <c r="K72" s="89" t="n">
        <f aca="false">Drivers!I131</f>
        <v>0</v>
      </c>
      <c r="L72" s="89" t="n">
        <f aca="false">Drivers!J131</f>
        <v>0</v>
      </c>
      <c r="M72" s="94"/>
      <c r="N72" s="94"/>
      <c r="O72" s="94"/>
      <c r="P72" s="94"/>
      <c r="Q72" s="103"/>
      <c r="R72" s="103"/>
      <c r="S72" s="103"/>
    </row>
    <row r="73" s="75" customFormat="true" ht="15.75" hidden="true" customHeight="true" outlineLevel="0" collapsed="false">
      <c r="A73" s="107"/>
      <c r="C73" s="75" t="s">
        <v>173</v>
      </c>
      <c r="D73" s="88" t="n">
        <v>0</v>
      </c>
      <c r="E73" s="88" t="n">
        <v>0</v>
      </c>
      <c r="F73" s="88" t="n">
        <v>0</v>
      </c>
      <c r="G73" s="88" t="n">
        <v>0</v>
      </c>
      <c r="H73" s="90" t="n">
        <v>0</v>
      </c>
      <c r="I73" s="90" t="n">
        <v>0</v>
      </c>
      <c r="J73" s="90" t="n">
        <v>0</v>
      </c>
      <c r="K73" s="90" t="n">
        <v>0</v>
      </c>
      <c r="L73" s="90" t="n">
        <v>0</v>
      </c>
      <c r="M73" s="91"/>
      <c r="N73" s="91"/>
      <c r="O73" s="91"/>
      <c r="P73" s="91"/>
    </row>
    <row r="74" s="75" customFormat="true" ht="15.75" hidden="true" customHeight="true" outlineLevel="0" collapsed="false">
      <c r="A74" s="107"/>
      <c r="C74" s="75" t="s">
        <v>174</v>
      </c>
      <c r="D74" s="88" t="n">
        <v>0</v>
      </c>
      <c r="E74" s="88" t="n">
        <v>0</v>
      </c>
      <c r="F74" s="88" t="n">
        <v>0</v>
      </c>
      <c r="G74" s="88" t="n">
        <v>0</v>
      </c>
      <c r="H74" s="90" t="n">
        <v>0</v>
      </c>
      <c r="I74" s="90" t="n">
        <v>0</v>
      </c>
      <c r="J74" s="90" t="n">
        <v>0</v>
      </c>
      <c r="K74" s="90" t="n">
        <v>0</v>
      </c>
      <c r="L74" s="90" t="n">
        <v>0</v>
      </c>
      <c r="M74" s="91"/>
      <c r="N74" s="91"/>
      <c r="O74" s="91"/>
      <c r="P74" s="91"/>
    </row>
    <row r="75" s="75" customFormat="true" ht="15.75" hidden="false" customHeight="true" outlineLevel="0" collapsed="false">
      <c r="A75" s="107"/>
      <c r="C75" s="168" t="s">
        <v>175</v>
      </c>
      <c r="D75" s="186" t="n">
        <v>-1780000</v>
      </c>
      <c r="E75" s="96" t="n">
        <v>-6089011.2</v>
      </c>
      <c r="F75" s="96" t="n">
        <v>-6592287.45</v>
      </c>
      <c r="G75" s="96" t="n">
        <v>-2171792.2345</v>
      </c>
      <c r="H75" s="110" t="n">
        <f aca="false">'Income Statement'!E80+G75</f>
        <v>4407347.64212171</v>
      </c>
      <c r="I75" s="110" t="n">
        <f aca="false">'Income Statement'!F80+H75</f>
        <v>10234792.8286961</v>
      </c>
      <c r="J75" s="110" t="n">
        <f aca="false">'Income Statement'!G80+I75</f>
        <v>12632661.6331811</v>
      </c>
      <c r="K75" s="110" t="n">
        <f aca="false">'Income Statement'!H80+J75</f>
        <v>21342813.743979</v>
      </c>
      <c r="L75" s="110" t="n">
        <f aca="false">'Income Statement'!I80+K75</f>
        <v>35197521.8494527</v>
      </c>
      <c r="M75" s="97"/>
      <c r="N75" s="97"/>
      <c r="O75" s="97"/>
      <c r="P75" s="97"/>
    </row>
    <row r="76" s="75" customFormat="true" ht="15.75" hidden="false" customHeight="true" outlineLevel="0" collapsed="false">
      <c r="A76" s="187" t="s">
        <v>176</v>
      </c>
      <c r="B76" s="188"/>
      <c r="C76" s="194"/>
      <c r="D76" s="195" t="n">
        <v>15264000</v>
      </c>
      <c r="E76" s="195" t="n">
        <v>19054988.8</v>
      </c>
      <c r="F76" s="195" t="n">
        <v>25551712.55</v>
      </c>
      <c r="G76" s="195" t="n">
        <v>29972207.7655</v>
      </c>
      <c r="H76" s="101" t="n">
        <f aca="false">SUM(H69:H75)</f>
        <v>74162110.7400675</v>
      </c>
      <c r="I76" s="101" t="n">
        <f aca="false">SUM(I69:I75)</f>
        <v>79989555.9266419</v>
      </c>
      <c r="J76" s="101" t="n">
        <f aca="false">SUM(J69:J75)</f>
        <v>82387424.7311269</v>
      </c>
      <c r="K76" s="101" t="n">
        <f aca="false">SUM(K69:K75)</f>
        <v>91097576.8419248</v>
      </c>
      <c r="L76" s="101" t="n">
        <f aca="false">SUM(L69:L75)</f>
        <v>104952284.947399</v>
      </c>
      <c r="M76" s="102"/>
      <c r="N76" s="102"/>
      <c r="O76" s="102"/>
      <c r="P76" s="102"/>
    </row>
    <row r="77" s="75" customFormat="true" ht="15.75" hidden="false" customHeight="true" outlineLevel="0" collapsed="false">
      <c r="A77" s="167"/>
      <c r="B77" s="168"/>
      <c r="C77" s="168"/>
      <c r="D77" s="96"/>
      <c r="E77" s="96"/>
      <c r="F77" s="96"/>
      <c r="G77" s="96"/>
      <c r="H77" s="97"/>
      <c r="I77" s="97"/>
      <c r="J77" s="97"/>
      <c r="K77" s="97"/>
      <c r="L77" s="97"/>
      <c r="M77" s="97"/>
      <c r="N77" s="97"/>
      <c r="O77" s="97"/>
      <c r="P77" s="97"/>
    </row>
    <row r="78" s="75" customFormat="true" ht="15.75" hidden="false" customHeight="true" outlineLevel="0" collapsed="false">
      <c r="A78" s="196" t="s">
        <v>177</v>
      </c>
      <c r="B78" s="197"/>
      <c r="C78" s="197"/>
      <c r="D78" s="178" t="n">
        <v>16720000</v>
      </c>
      <c r="E78" s="178" t="n">
        <v>20547788.8</v>
      </c>
      <c r="F78" s="178" t="n">
        <v>27423352.55</v>
      </c>
      <c r="G78" s="178" t="n">
        <v>31917539.7655</v>
      </c>
      <c r="H78" s="179" t="n">
        <f aca="false">H66+H76</f>
        <v>76366651.7780883</v>
      </c>
      <c r="I78" s="179" t="n">
        <f aca="false">I66+I76</f>
        <v>113569771.611362</v>
      </c>
      <c r="J78" s="179" t="n">
        <f aca="false">J66+J76</f>
        <v>116641486.506121</v>
      </c>
      <c r="K78" s="179" t="n">
        <f aca="false">K66+K76</f>
        <v>119522081.369871</v>
      </c>
      <c r="L78" s="179" t="n">
        <f aca="false">L66+L76</f>
        <v>127573894.933849</v>
      </c>
      <c r="M78" s="180"/>
      <c r="N78" s="180"/>
      <c r="O78" s="180"/>
      <c r="P78" s="180"/>
    </row>
    <row r="79" s="75" customFormat="true" ht="15.75" hidden="false" customHeight="true" outlineLevel="0" collapsed="false">
      <c r="A79" s="107"/>
      <c r="C79" s="174"/>
      <c r="D79" s="175"/>
      <c r="E79" s="175"/>
      <c r="F79" s="175"/>
      <c r="G79" s="175"/>
      <c r="H79" s="147"/>
      <c r="I79" s="147"/>
      <c r="J79" s="147"/>
      <c r="K79" s="147"/>
      <c r="L79" s="147"/>
      <c r="M79" s="147"/>
      <c r="N79" s="147"/>
      <c r="O79" s="147"/>
      <c r="P79" s="147"/>
    </row>
    <row r="80" customFormat="false" ht="15.75" hidden="false" customHeight="true" outlineLevel="0" collapsed="false">
      <c r="A80" s="198"/>
      <c r="D80" s="199"/>
      <c r="E80" s="200" t="n">
        <f aca="false">ROUND(E34-E78,0)</f>
        <v>0</v>
      </c>
      <c r="F80" s="200" t="n">
        <f aca="false">ROUND(F34-F78,0)</f>
        <v>0</v>
      </c>
      <c r="G80" s="201" t="n">
        <f aca="false">ROUND(G34-G78,0)</f>
        <v>0</v>
      </c>
      <c r="H80" s="201" t="n">
        <f aca="false">ROUND(H34-H78,0)</f>
        <v>0</v>
      </c>
      <c r="I80" s="201" t="n">
        <f aca="false">ROUND(I34-I78,0)</f>
        <v>0</v>
      </c>
      <c r="J80" s="201" t="n">
        <f aca="false">ROUND(J34-J78,0)</f>
        <v>0</v>
      </c>
      <c r="K80" s="201" t="n">
        <f aca="false">ROUND(K34-K78,0)</f>
        <v>0</v>
      </c>
      <c r="L80" s="201" t="n">
        <f aca="false">ROUND(L34-L78,0)</f>
        <v>0</v>
      </c>
    </row>
    <row r="81" customFormat="false" ht="15.75" hidden="false" customHeight="true" outlineLevel="0" collapsed="false">
      <c r="D81" s="199"/>
      <c r="E81" s="154"/>
      <c r="F81" s="154"/>
    </row>
    <row r="82" customFormat="false" ht="15.75" hidden="false" customHeight="true" outlineLevel="0" collapsed="false">
      <c r="D82" s="199"/>
      <c r="E82" s="154"/>
      <c r="F82" s="154"/>
    </row>
    <row r="83" customFormat="false" ht="15.75" hidden="false" customHeight="true" outlineLevel="0" collapsed="false">
      <c r="D83" s="199"/>
      <c r="E83" s="154"/>
      <c r="F83" s="154"/>
    </row>
    <row r="84" customFormat="false" ht="15.75" hidden="false" customHeight="true" outlineLevel="0" collapsed="false">
      <c r="D84" s="154"/>
      <c r="E84" s="154"/>
      <c r="F84" s="154"/>
    </row>
    <row r="85" customFormat="false" ht="15.75" hidden="false" customHeight="true" outlineLevel="0" collapsed="false">
      <c r="D85" s="154"/>
      <c r="E85" s="154"/>
      <c r="F85" s="154"/>
    </row>
    <row r="86" customFormat="false" ht="15.75" hidden="false" customHeight="true" outlineLevel="0" collapsed="false">
      <c r="D86" s="154"/>
      <c r="E86" s="154"/>
      <c r="F86" s="154"/>
    </row>
    <row r="87" customFormat="false" ht="15.75" hidden="false" customHeight="true" outlineLevel="0" collapsed="false">
      <c r="D87" s="154"/>
      <c r="E87" s="154"/>
      <c r="F87" s="154"/>
    </row>
    <row r="88" customFormat="false" ht="15.75" hidden="false" customHeight="true" outlineLevel="0" collapsed="false">
      <c r="D88" s="154"/>
      <c r="E88" s="154"/>
      <c r="F88" s="154"/>
    </row>
    <row r="89" customFormat="false" ht="15.75" hidden="false" customHeight="true" outlineLevel="0" collapsed="false">
      <c r="D89" s="154"/>
      <c r="E89" s="154"/>
      <c r="F89" s="154"/>
    </row>
    <row r="90" customFormat="false" ht="15.75" hidden="false" customHeight="true" outlineLevel="0" collapsed="false">
      <c r="D90" s="154"/>
      <c r="E90" s="154"/>
      <c r="F90" s="154"/>
    </row>
    <row r="91" customFormat="false" ht="15.75" hidden="false" customHeight="true" outlineLevel="0" collapsed="false">
      <c r="D91" s="154"/>
      <c r="E91" s="154"/>
      <c r="F91" s="154"/>
    </row>
    <row r="92" customFormat="false" ht="15.75" hidden="false" customHeight="true" outlineLevel="0" collapsed="false">
      <c r="D92" s="154"/>
      <c r="E92" s="154"/>
      <c r="F92" s="154"/>
    </row>
    <row r="93" customFormat="false" ht="15.75" hidden="false" customHeight="true" outlineLevel="0" collapsed="false">
      <c r="D93" s="154"/>
      <c r="E93" s="154"/>
      <c r="F93" s="154"/>
    </row>
    <row r="94" customFormat="false" ht="15.75" hidden="false" customHeight="true" outlineLevel="0" collapsed="false">
      <c r="D94" s="154"/>
      <c r="E94" s="154"/>
      <c r="F94" s="154"/>
    </row>
    <row r="95" customFormat="false" ht="15.75" hidden="false" customHeight="true" outlineLevel="0" collapsed="false">
      <c r="D95" s="154"/>
      <c r="E95" s="154"/>
      <c r="F95" s="154"/>
    </row>
    <row r="96" customFormat="false" ht="15.75" hidden="false" customHeight="true" outlineLevel="0" collapsed="false">
      <c r="D96" s="154"/>
      <c r="E96" s="154"/>
      <c r="F96" s="154"/>
    </row>
    <row r="97" customFormat="false" ht="15.75" hidden="false" customHeight="true" outlineLevel="0" collapsed="false">
      <c r="D97" s="154"/>
      <c r="E97" s="154"/>
      <c r="F97" s="154"/>
    </row>
    <row r="98" customFormat="false" ht="15.75" hidden="false" customHeight="true" outlineLevel="0" collapsed="false">
      <c r="D98" s="154"/>
      <c r="E98" s="154"/>
      <c r="F98" s="154"/>
    </row>
    <row r="99" customFormat="false" ht="15.75" hidden="false" customHeight="true" outlineLevel="0" collapsed="false">
      <c r="D99" s="154"/>
      <c r="E99" s="154"/>
      <c r="F99" s="154"/>
    </row>
    <row r="100" customFormat="false" ht="15.75" hidden="false" customHeight="true" outlineLevel="0" collapsed="false">
      <c r="D100" s="154"/>
      <c r="E100" s="154"/>
      <c r="F100" s="154"/>
    </row>
    <row r="101" customFormat="false" ht="15.75" hidden="false" customHeight="true" outlineLevel="0" collapsed="false">
      <c r="D101" s="154"/>
      <c r="E101" s="154"/>
      <c r="F101" s="154"/>
    </row>
    <row r="102" customFormat="false" ht="15.75" hidden="false" customHeight="true" outlineLevel="0" collapsed="false">
      <c r="D102" s="154"/>
      <c r="E102" s="154"/>
      <c r="F102" s="154"/>
    </row>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sheetData>
  <mergeCells count="1">
    <mergeCell ref="D3:E3"/>
  </mergeCells>
  <conditionalFormatting sqref="D35:P35 D59:P59 D79:P79">
    <cfRule type="cellIs" priority="2" operator="notEqual" aboveAverage="0" equalAverage="0" bottom="0" percent="0" rank="0" text="" dxfId="0">
      <formula>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87"/>
    <pageSetUpPr fitToPage="false"/>
  </sheetPr>
  <dimension ref="A1:N994"/>
  <sheetViews>
    <sheetView showFormulas="false" showGridLines="false" showRowColHeaders="true" showZeros="true" rightToLeft="false" tabSelected="false" showOutlineSymbols="true" defaultGridColor="true" view="normal" topLeftCell="A1" colorId="64" zoomScale="93" zoomScaleNormal="93" zoomScalePageLayoutView="100" workbookViewId="0">
      <pane xSplit="0" ySplit="4" topLeftCell="A5" activePane="bottomLeft" state="frozen"/>
      <selection pane="topLeft" activeCell="A1" activeCellId="0" sqref="A1"/>
      <selection pane="bottomLeft" activeCell="C4" activeCellId="0" sqref="C4"/>
    </sheetView>
  </sheetViews>
  <sheetFormatPr defaultColWidth="11.18359375" defaultRowHeight="15" zeroHeight="false" outlineLevelRow="0" outlineLevelCol="0"/>
  <cols>
    <col collapsed="false" customWidth="true" hidden="false" outlineLevel="0" max="1" min="1" style="0" width="24.45"/>
    <col collapsed="false" customWidth="true" hidden="false" outlineLevel="0" max="2" min="2" style="0" width="33.18"/>
    <col collapsed="false" customWidth="true" hidden="false" outlineLevel="0" max="3" min="3" style="202" width="15.27"/>
    <col collapsed="false" customWidth="true" hidden="false" outlineLevel="0" max="5" min="4" style="202" width="17.27"/>
    <col collapsed="false" customWidth="true" hidden="true" outlineLevel="0" max="6" min="6" style="0" width="10.82"/>
    <col collapsed="false" customWidth="true" hidden="true" outlineLevel="0" max="13" min="7" style="0" width="9.45"/>
    <col collapsed="false" customWidth="true" hidden="true" outlineLevel="0" max="14" min="14" style="0" width="12.63"/>
    <col collapsed="false" customWidth="true" hidden="false" outlineLevel="0" max="26" min="15" style="0" width="11.45"/>
  </cols>
  <sheetData>
    <row r="1" customFormat="false" ht="25.5" hidden="false" customHeight="true" outlineLevel="0" collapsed="false">
      <c r="A1" s="203" t="s">
        <v>178</v>
      </c>
      <c r="B1" s="155"/>
      <c r="C1" s="156"/>
      <c r="D1" s="156"/>
      <c r="E1" s="156"/>
      <c r="F1" s="156"/>
      <c r="G1" s="72"/>
      <c r="H1" s="72"/>
      <c r="I1" s="72"/>
      <c r="J1" s="72"/>
      <c r="K1" s="72"/>
      <c r="L1" s="72"/>
      <c r="M1" s="72"/>
      <c r="N1" s="157"/>
    </row>
    <row r="2" customFormat="false" ht="15.75" hidden="false" customHeight="true" outlineLevel="0" collapsed="false"/>
    <row r="3" customFormat="false" ht="15.75" hidden="false" customHeight="true" outlineLevel="0" collapsed="false">
      <c r="E3" s="78" t="s">
        <v>41</v>
      </c>
    </row>
    <row r="4" s="75" customFormat="true" ht="15.75" hidden="false" customHeight="true" outlineLevel="0" collapsed="false">
      <c r="A4" s="204"/>
      <c r="B4" s="205"/>
      <c r="C4" s="206" t="n">
        <f aca="false">'Income Statement'!B4</f>
        <v>2023</v>
      </c>
      <c r="D4" s="206" t="n">
        <f aca="false">C4+1</f>
        <v>2024</v>
      </c>
      <c r="E4" s="206" t="n">
        <f aca="false">D4+1</f>
        <v>2025</v>
      </c>
      <c r="F4" s="206" t="n">
        <f aca="false">E4+1</f>
        <v>2026</v>
      </c>
      <c r="G4" s="206" t="n">
        <f aca="false">F4+1</f>
        <v>2027</v>
      </c>
      <c r="H4" s="206" t="n">
        <f aca="false">G4+1</f>
        <v>2028</v>
      </c>
      <c r="I4" s="206" t="n">
        <f aca="false">H4+1</f>
        <v>2029</v>
      </c>
      <c r="J4" s="206" t="n">
        <f aca="false">I4+1</f>
        <v>2030</v>
      </c>
      <c r="K4" s="207" t="s">
        <v>113</v>
      </c>
      <c r="L4" s="208"/>
      <c r="M4" s="208"/>
      <c r="N4" s="208"/>
    </row>
    <row r="5" s="75" customFormat="true" ht="15.75" hidden="false" customHeight="true" outlineLevel="0" collapsed="false">
      <c r="A5" s="75" t="s">
        <v>179</v>
      </c>
      <c r="C5" s="74"/>
      <c r="D5" s="74"/>
      <c r="E5" s="74"/>
    </row>
    <row r="6" s="75" customFormat="true" ht="15.75" hidden="false" customHeight="true" outlineLevel="0" collapsed="false">
      <c r="B6" s="75" t="s">
        <v>109</v>
      </c>
      <c r="C6" s="96" t="n">
        <v>-4309011.2</v>
      </c>
      <c r="D6" s="96" t="n">
        <v>-503276.25</v>
      </c>
      <c r="E6" s="96" t="n">
        <v>4420495.2155</v>
      </c>
      <c r="F6" s="110" t="n">
        <f aca="false">'Income Statement'!E80</f>
        <v>6579139.87662171</v>
      </c>
      <c r="G6" s="110" t="n">
        <f aca="false">'Income Statement'!F80</f>
        <v>5827445.18657437</v>
      </c>
      <c r="H6" s="110" t="n">
        <f aca="false">'Income Statement'!G80</f>
        <v>2397868.80448502</v>
      </c>
      <c r="I6" s="110" t="n">
        <f aca="false">'Income Statement'!H80</f>
        <v>8710152.11079786</v>
      </c>
      <c r="J6" s="110" t="n">
        <f aca="false">'Income Statement'!I80</f>
        <v>13854708.1054738</v>
      </c>
      <c r="K6" s="97"/>
      <c r="L6" s="97"/>
      <c r="M6" s="97"/>
      <c r="N6" s="97"/>
    </row>
    <row r="7" s="75" customFormat="true" ht="15.75" hidden="false" customHeight="true" outlineLevel="0" collapsed="false">
      <c r="C7" s="96"/>
      <c r="D7" s="96"/>
      <c r="E7" s="96"/>
      <c r="F7" s="97"/>
      <c r="G7" s="97"/>
      <c r="H7" s="97"/>
      <c r="I7" s="97"/>
      <c r="J7" s="97"/>
      <c r="K7" s="97"/>
      <c r="L7" s="97"/>
      <c r="M7" s="97"/>
      <c r="N7" s="97"/>
    </row>
    <row r="8" s="75" customFormat="true" ht="15.75" hidden="false" customHeight="true" outlineLevel="0" collapsed="false">
      <c r="A8" s="209"/>
      <c r="B8" s="75" t="s">
        <v>180</v>
      </c>
      <c r="C8" s="96" t="n">
        <v>1432200</v>
      </c>
      <c r="D8" s="96" t="n">
        <v>2375280</v>
      </c>
      <c r="E8" s="96" t="n">
        <v>3131952</v>
      </c>
      <c r="F8" s="110" t="n">
        <f aca="false">'Income Statement'!E71</f>
        <v>3742094.4</v>
      </c>
      <c r="G8" s="110" t="n">
        <f aca="false">'Income Statement'!F71</f>
        <v>5270266.00775904</v>
      </c>
      <c r="H8" s="110" t="n">
        <f aca="false">'Income Statement'!G71</f>
        <v>11490034.3742293</v>
      </c>
      <c r="I8" s="110" t="n">
        <f aca="false">'Income Statement'!H71</f>
        <v>13079818.349068</v>
      </c>
      <c r="J8" s="110" t="n">
        <f aca="false">'Income Statement'!I71</f>
        <v>14779070.3401295</v>
      </c>
      <c r="K8" s="97"/>
      <c r="L8" s="97"/>
      <c r="M8" s="97"/>
      <c r="N8" s="97"/>
    </row>
    <row r="9" s="75" customFormat="true" ht="15.75" hidden="false" customHeight="true" outlineLevel="0" collapsed="false">
      <c r="C9" s="96"/>
      <c r="D9" s="96"/>
      <c r="E9" s="96"/>
      <c r="F9" s="97"/>
      <c r="G9" s="97"/>
      <c r="H9" s="97"/>
      <c r="I9" s="97"/>
      <c r="J9" s="97"/>
      <c r="K9" s="97"/>
      <c r="L9" s="97"/>
      <c r="M9" s="97"/>
      <c r="N9" s="97"/>
    </row>
    <row r="10" s="75" customFormat="true" ht="15.75" hidden="false" customHeight="true" outlineLevel="0" collapsed="false">
      <c r="A10" s="75" t="s">
        <v>181</v>
      </c>
      <c r="C10" s="96"/>
      <c r="D10" s="96"/>
      <c r="E10" s="96"/>
      <c r="F10" s="97"/>
      <c r="G10" s="97"/>
      <c r="H10" s="97"/>
      <c r="I10" s="97"/>
      <c r="J10" s="97"/>
      <c r="K10" s="97"/>
      <c r="L10" s="97"/>
      <c r="M10" s="97"/>
      <c r="N10" s="97"/>
    </row>
    <row r="11" s="75" customFormat="true" ht="15.75" hidden="false" customHeight="true" outlineLevel="0" collapsed="false">
      <c r="A11" s="209"/>
      <c r="B11" s="75" t="s">
        <v>122</v>
      </c>
      <c r="C11" s="96" t="n">
        <v>-210000</v>
      </c>
      <c r="D11" s="96" t="n">
        <v>-277200</v>
      </c>
      <c r="E11" s="96" t="n">
        <v>-230580</v>
      </c>
      <c r="F11" s="110" t="n">
        <f aca="false">'Balance Sheet'!G12-'Balance Sheet'!H12</f>
        <v>-1372298.64608022</v>
      </c>
      <c r="G11" s="110" t="n">
        <f aca="false">'Balance Sheet'!H12-'Balance Sheet'!I12</f>
        <v>-1666205.30412514</v>
      </c>
      <c r="H11" s="110" t="n">
        <f aca="false">'Balance Sheet'!I12-'Balance Sheet'!J12</f>
        <v>-3057944.23583083</v>
      </c>
      <c r="I11" s="110" t="n">
        <f aca="false">'Balance Sheet'!J12-'Balance Sheet'!K12</f>
        <v>-3774484.08150777</v>
      </c>
      <c r="J11" s="110" t="n">
        <f aca="false">'Balance Sheet'!K12-'Balance Sheet'!L12</f>
        <v>-2360006.74996895</v>
      </c>
      <c r="K11" s="97"/>
      <c r="L11" s="97"/>
      <c r="M11" s="97"/>
      <c r="N11" s="97"/>
    </row>
    <row r="12" s="75" customFormat="true" ht="15.75" hidden="false" customHeight="true" outlineLevel="0" collapsed="false">
      <c r="A12" s="209"/>
      <c r="B12" s="75" t="s">
        <v>120</v>
      </c>
      <c r="C12" s="96" t="n">
        <v>-714000</v>
      </c>
      <c r="D12" s="96" t="n">
        <v>-499800</v>
      </c>
      <c r="E12" s="96" t="n">
        <v>-749700</v>
      </c>
      <c r="F12" s="110" t="n">
        <f aca="false">'Balance Sheet'!G10-'Balance Sheet'!H10</f>
        <v>-997434.040408219</v>
      </c>
      <c r="G12" s="110" t="n">
        <f aca="false">'Balance Sheet'!H10-'Balance Sheet'!I10</f>
        <v>-1248171.0612775</v>
      </c>
      <c r="H12" s="110" t="n">
        <f aca="false">'Balance Sheet'!I10-'Balance Sheet'!J10</f>
        <v>-3328611.18794083</v>
      </c>
      <c r="I12" s="110" t="n">
        <f aca="false">'Balance Sheet'!J10-'Balance Sheet'!K10</f>
        <v>-1741433.02295965</v>
      </c>
      <c r="J12" s="110" t="n">
        <f aca="false">'Balance Sheet'!K10-'Balance Sheet'!L10</f>
        <v>-1723290.16340788</v>
      </c>
      <c r="K12" s="97"/>
      <c r="L12" s="97"/>
      <c r="M12" s="97"/>
      <c r="N12" s="97"/>
    </row>
    <row r="13" s="75" customFormat="true" ht="15.75" hidden="false" customHeight="true" outlineLevel="0" collapsed="false">
      <c r="A13" s="209"/>
      <c r="B13" s="75" t="s">
        <v>125</v>
      </c>
      <c r="C13" s="96" t="n">
        <v>-193000</v>
      </c>
      <c r="D13" s="96" t="n">
        <v>-476700</v>
      </c>
      <c r="E13" s="96" t="n">
        <v>-363390</v>
      </c>
      <c r="F13" s="110" t="n">
        <f aca="false">'Balance Sheet'!G20-'Balance Sheet'!H20</f>
        <v>-473862.6795984</v>
      </c>
      <c r="G13" s="110" t="n">
        <f aca="false">'Balance Sheet'!H20-'Balance Sheet'!I20</f>
        <v>-642672.1237197</v>
      </c>
      <c r="H13" s="110" t="n">
        <f aca="false">'Balance Sheet'!I20-'Balance Sheet'!J20</f>
        <v>-1226441.79345607</v>
      </c>
      <c r="I13" s="110" t="n">
        <f aca="false">'Balance Sheet'!J20-'Balance Sheet'!K20</f>
        <v>-1248106.70676389</v>
      </c>
      <c r="J13" s="110" t="n">
        <f aca="false">'Balance Sheet'!K20-'Balance Sheet'!L20</f>
        <v>-1148536.61831822</v>
      </c>
      <c r="K13" s="97"/>
      <c r="L13" s="97"/>
      <c r="M13" s="97"/>
      <c r="N13" s="97"/>
    </row>
    <row r="14" s="75" customFormat="true" ht="15.75" hidden="false" customHeight="true" outlineLevel="0" collapsed="false">
      <c r="A14" s="75" t="s">
        <v>182</v>
      </c>
      <c r="C14" s="96"/>
      <c r="D14" s="96"/>
      <c r="E14" s="96"/>
      <c r="F14" s="97"/>
      <c r="G14" s="97"/>
      <c r="H14" s="97"/>
      <c r="I14" s="97"/>
      <c r="J14" s="97"/>
      <c r="K14" s="97"/>
      <c r="L14" s="97"/>
      <c r="M14" s="97"/>
      <c r="N14" s="97"/>
    </row>
    <row r="15" s="75" customFormat="true" ht="15.75" hidden="false" customHeight="true" outlineLevel="0" collapsed="false">
      <c r="A15" s="209"/>
      <c r="B15" s="75" t="s">
        <v>144</v>
      </c>
      <c r="C15" s="96" t="n">
        <v>36000</v>
      </c>
      <c r="D15" s="96" t="n">
        <v>46800</v>
      </c>
      <c r="E15" s="96" t="n">
        <v>60840</v>
      </c>
      <c r="F15" s="110" t="n">
        <f aca="false">'Balance Sheet'!H41-'Balance Sheet'!G41</f>
        <v>210953.404040822</v>
      </c>
      <c r="G15" s="110" t="n">
        <f aca="false">'Balance Sheet'!I41-'Balance Sheet'!H41</f>
        <v>244699.208161465</v>
      </c>
      <c r="H15" s="110" t="n">
        <f aca="false">'Balance Sheet'!J41-'Balance Sheet'!I41</f>
        <v>612524.000601506</v>
      </c>
      <c r="I15" s="110" t="n">
        <f aca="false">'Balance Sheet'!K41-'Balance Sheet'!J41</f>
        <v>327805.784084138</v>
      </c>
      <c r="J15" s="110" t="n">
        <f aca="false">'Balance Sheet'!L41-'Balance Sheet'!K41</f>
        <v>359446.994058503</v>
      </c>
      <c r="K15" s="97"/>
      <c r="L15" s="97"/>
      <c r="M15" s="97"/>
      <c r="N15" s="97"/>
    </row>
    <row r="16" s="75" customFormat="true" ht="15.75" hidden="false" customHeight="true" outlineLevel="0" collapsed="false">
      <c r="A16" s="209"/>
      <c r="B16" s="188" t="str">
        <f aca="false">'Balance Sheet'!B46</f>
        <v>Nợ vay ngắn hạn</v>
      </c>
      <c r="C16" s="96" t="n">
        <v>-10000</v>
      </c>
      <c r="D16" s="96" t="n">
        <v>18000</v>
      </c>
      <c r="E16" s="96" t="n">
        <v>-5400</v>
      </c>
      <c r="F16" s="110" t="n">
        <f aca="false">'Balance Sheet'!H48-'Balance Sheet'!G48</f>
        <v>0</v>
      </c>
      <c r="G16" s="110" t="n">
        <f aca="false">'Balance Sheet'!I48-'Balance Sheet'!H48</f>
        <v>0</v>
      </c>
      <c r="H16" s="110" t="n">
        <f aca="false">'Balance Sheet'!J48-'Balance Sheet'!I48</f>
        <v>0</v>
      </c>
      <c r="I16" s="110" t="n">
        <f aca="false">'Balance Sheet'!K48-'Balance Sheet'!J48</f>
        <v>0</v>
      </c>
      <c r="J16" s="110" t="n">
        <f aca="false">'Balance Sheet'!L48-'Balance Sheet'!K48</f>
        <v>0</v>
      </c>
      <c r="K16" s="97"/>
      <c r="L16" s="97"/>
      <c r="M16" s="97"/>
      <c r="N16" s="97"/>
    </row>
    <row r="17" s="75" customFormat="true" ht="15.75" hidden="false" customHeight="true" outlineLevel="0" collapsed="false">
      <c r="A17" s="209"/>
      <c r="B17" s="75" t="s">
        <v>183</v>
      </c>
      <c r="C17" s="96" t="n">
        <v>10800</v>
      </c>
      <c r="D17" s="96" t="n">
        <v>14040</v>
      </c>
      <c r="E17" s="96" t="n">
        <v>18252</v>
      </c>
      <c r="F17" s="110" t="n">
        <f aca="false">('Balance Sheet'!H56-'Balance Sheet'!G56)+('Balance Sheet'!H51-'Balance Sheet'!G51)</f>
        <v>48255.63397992</v>
      </c>
      <c r="G17" s="110" t="n">
        <f aca="false">('Balance Sheet'!I56-'Balance Sheet'!H56)+('Balance Sheet'!I51-'Balance Sheet'!H51)</f>
        <v>32133.606185985</v>
      </c>
      <c r="H17" s="110" t="n">
        <f aca="false">('Balance Sheet'!J56-'Balance Sheet'!I56)+('Balance Sheet'!J51-'Balance Sheet'!I51)</f>
        <v>61322.0896728033</v>
      </c>
      <c r="I17" s="110" t="n">
        <f aca="false">('Balance Sheet'!K56-'Balance Sheet'!J56)+('Balance Sheet'!K51-'Balance Sheet'!J51)</f>
        <v>62405.3353381946</v>
      </c>
      <c r="J17" s="110" t="n">
        <f aca="false">('Balance Sheet'!L56-'Balance Sheet'!K56)+('Balance Sheet'!L51-'Balance Sheet'!K51)</f>
        <v>57426.8309159111</v>
      </c>
      <c r="K17" s="97"/>
      <c r="L17" s="97"/>
      <c r="M17" s="97"/>
      <c r="N17" s="97"/>
    </row>
    <row r="18" s="75" customFormat="true" ht="15.75" hidden="false" customHeight="true" outlineLevel="0" collapsed="false">
      <c r="C18" s="96"/>
      <c r="D18" s="96"/>
      <c r="E18" s="96"/>
      <c r="F18" s="97"/>
      <c r="G18" s="97"/>
      <c r="H18" s="97"/>
      <c r="I18" s="97"/>
      <c r="J18" s="97"/>
      <c r="K18" s="97"/>
      <c r="L18" s="97"/>
      <c r="M18" s="97"/>
      <c r="N18" s="97"/>
    </row>
    <row r="19" s="107" customFormat="true" ht="15.75" hidden="false" customHeight="true" outlineLevel="0" collapsed="false">
      <c r="A19" s="181" t="s">
        <v>184</v>
      </c>
      <c r="B19" s="181"/>
      <c r="C19" s="210" t="n">
        <v>-3957011.2</v>
      </c>
      <c r="D19" s="210" t="n">
        <v>697143.75</v>
      </c>
      <c r="E19" s="210" t="n">
        <v>6282469.2155</v>
      </c>
      <c r="F19" s="211" t="n">
        <f aca="false">SUM(F6:F18)</f>
        <v>7736847.94855561</v>
      </c>
      <c r="G19" s="211" t="n">
        <f aca="false">SUM(G6:G18)</f>
        <v>7817495.51955852</v>
      </c>
      <c r="H19" s="211" t="n">
        <f aca="false">SUM(H6:H18)</f>
        <v>6948752.05176094</v>
      </c>
      <c r="I19" s="211" t="n">
        <f aca="false">SUM(I6:I18)</f>
        <v>15416157.7680569</v>
      </c>
      <c r="J19" s="211" t="n">
        <f aca="false">SUM(J6:J18)</f>
        <v>23818818.7388826</v>
      </c>
      <c r="K19" s="129"/>
      <c r="L19" s="129"/>
      <c r="M19" s="129"/>
      <c r="N19" s="129"/>
    </row>
    <row r="20" s="75" customFormat="true" ht="15.75" hidden="false" customHeight="true" outlineLevel="0" collapsed="false">
      <c r="C20" s="96"/>
      <c r="D20" s="96"/>
      <c r="E20" s="96"/>
      <c r="F20" s="97"/>
      <c r="G20" s="97"/>
      <c r="H20" s="97"/>
      <c r="I20" s="97"/>
      <c r="J20" s="97"/>
      <c r="K20" s="97"/>
      <c r="L20" s="97"/>
      <c r="M20" s="97"/>
      <c r="N20" s="97"/>
    </row>
    <row r="21" s="75" customFormat="true" ht="15.75" hidden="false" customHeight="true" outlineLevel="0" collapsed="false">
      <c r="A21" s="75" t="s">
        <v>185</v>
      </c>
      <c r="C21" s="96"/>
      <c r="D21" s="96"/>
      <c r="E21" s="96"/>
      <c r="F21" s="97"/>
      <c r="G21" s="97"/>
      <c r="H21" s="97"/>
      <c r="I21" s="97"/>
      <c r="J21" s="97"/>
      <c r="K21" s="97"/>
      <c r="L21" s="97"/>
      <c r="M21" s="97"/>
      <c r="N21" s="97"/>
    </row>
    <row r="22" s="75" customFormat="true" ht="15.75" hidden="false" customHeight="true" outlineLevel="0" collapsed="false">
      <c r="A22" s="209"/>
      <c r="B22" s="75" t="s">
        <v>186</v>
      </c>
      <c r="C22" s="96" t="n">
        <v>-5009000</v>
      </c>
      <c r="D22" s="96" t="n">
        <v>-6305600</v>
      </c>
      <c r="E22" s="96" t="n">
        <v>-5084520</v>
      </c>
      <c r="F22" s="110" t="n">
        <f aca="false">SUM('Balance Sheet'!G29:G31)-SUM('Balance Sheet'!H29:H31)</f>
        <v>-12734763.397992</v>
      </c>
      <c r="G22" s="110" t="n">
        <f aca="false">SUM('Balance Sheet'!H29:H31)-SUM('Balance Sheet'!I29:I31)</f>
        <v>-51831403.0539191</v>
      </c>
      <c r="H22" s="110" t="n">
        <f aca="false">SUM('Balance Sheet'!I29:I31)-SUM('Balance Sheet'!J29:J31)</f>
        <v>-13248199.7903225</v>
      </c>
      <c r="I22" s="110" t="n">
        <f aca="false">SUM('Balance Sheet'!J29:J31)-SUM('Balance Sheet'!K29:K31)</f>
        <v>-14160433.2588451</v>
      </c>
      <c r="J22" s="110" t="n">
        <f aca="false">SUM('Balance Sheet'!K29:K31)-SUM('Balance Sheet'!L29:L31)</f>
        <v>-17031774.8046407</v>
      </c>
      <c r="K22" s="97"/>
      <c r="L22" s="97"/>
      <c r="M22" s="97"/>
      <c r="N22" s="97"/>
    </row>
    <row r="23" s="75" customFormat="true" ht="15.75" hidden="false" customHeight="true" outlineLevel="0" collapsed="false">
      <c r="C23" s="96"/>
      <c r="D23" s="96"/>
      <c r="E23" s="96"/>
      <c r="F23" s="97"/>
      <c r="G23" s="97"/>
      <c r="H23" s="97"/>
      <c r="I23" s="97"/>
      <c r="J23" s="97"/>
      <c r="K23" s="97"/>
      <c r="L23" s="97"/>
      <c r="M23" s="97"/>
      <c r="N23" s="97"/>
    </row>
    <row r="24" s="107" customFormat="true" ht="15.75" hidden="false" customHeight="true" outlineLevel="0" collapsed="false">
      <c r="A24" s="181" t="s">
        <v>187</v>
      </c>
      <c r="B24" s="181"/>
      <c r="C24" s="210" t="n">
        <v>-5009000</v>
      </c>
      <c r="D24" s="210" t="n">
        <v>-6305600</v>
      </c>
      <c r="E24" s="210" t="n">
        <v>-5084520</v>
      </c>
      <c r="F24" s="211" t="n">
        <f aca="false">SUM(F22:F23)</f>
        <v>-12734763.397992</v>
      </c>
      <c r="G24" s="211" t="n">
        <f aca="false">SUM(G22:G23)</f>
        <v>-51831403.0539191</v>
      </c>
      <c r="H24" s="211" t="n">
        <f aca="false">SUM(H22:H23)</f>
        <v>-13248199.7903225</v>
      </c>
      <c r="I24" s="211" t="n">
        <f aca="false">SUM(I22:I23)</f>
        <v>-14160433.2588451</v>
      </c>
      <c r="J24" s="211" t="n">
        <f aca="false">SUM(J22:J23)</f>
        <v>-17031774.8046407</v>
      </c>
      <c r="K24" s="129"/>
      <c r="L24" s="129"/>
      <c r="M24" s="129"/>
      <c r="N24" s="129"/>
    </row>
    <row r="25" s="75" customFormat="true" ht="15.75" hidden="false" customHeight="true" outlineLevel="0" collapsed="false">
      <c r="C25" s="96"/>
      <c r="D25" s="96"/>
      <c r="E25" s="96"/>
      <c r="F25" s="97"/>
      <c r="G25" s="97"/>
      <c r="H25" s="97"/>
      <c r="I25" s="97"/>
      <c r="J25" s="97"/>
      <c r="K25" s="97"/>
      <c r="L25" s="97"/>
      <c r="M25" s="97"/>
      <c r="N25" s="97"/>
    </row>
    <row r="26" s="75" customFormat="true" ht="15.75" hidden="false" customHeight="true" outlineLevel="0" collapsed="false">
      <c r="A26" s="75" t="s">
        <v>188</v>
      </c>
      <c r="C26" s="96"/>
      <c r="D26" s="96"/>
      <c r="E26" s="96"/>
      <c r="F26" s="97"/>
      <c r="G26" s="97"/>
      <c r="H26" s="97"/>
      <c r="I26" s="97"/>
      <c r="J26" s="97"/>
      <c r="K26" s="97"/>
      <c r="L26" s="97"/>
      <c r="M26" s="97"/>
      <c r="N26" s="97"/>
    </row>
    <row r="27" s="75" customFormat="true" ht="15.75" hidden="false" customHeight="true" outlineLevel="0" collapsed="false">
      <c r="A27" s="209"/>
      <c r="B27" s="75" t="s">
        <v>189</v>
      </c>
      <c r="C27" s="96" t="n">
        <v>8100000</v>
      </c>
      <c r="D27" s="96" t="n">
        <v>7000000</v>
      </c>
      <c r="E27" s="96" t="n">
        <v>0</v>
      </c>
      <c r="F27" s="110" t="n">
        <f aca="false">'Balance Sheet'!H72</f>
        <v>37610763.0979458</v>
      </c>
      <c r="G27" s="110" t="n">
        <f aca="false">'Balance Sheet'!I72</f>
        <v>0</v>
      </c>
      <c r="H27" s="110" t="n">
        <f aca="false">'Balance Sheet'!J72</f>
        <v>0</v>
      </c>
      <c r="I27" s="110" t="n">
        <f aca="false">'Balance Sheet'!K72</f>
        <v>0</v>
      </c>
      <c r="J27" s="110" t="n">
        <f aca="false">'Balance Sheet'!L72</f>
        <v>0</v>
      </c>
      <c r="K27" s="97"/>
      <c r="L27" s="97"/>
      <c r="M27" s="97"/>
      <c r="N27" s="97"/>
    </row>
    <row r="28" s="75" customFormat="true" ht="15.75" hidden="false" customHeight="true" outlineLevel="0" collapsed="false">
      <c r="A28" s="209"/>
      <c r="B28" s="75" t="s">
        <v>190</v>
      </c>
      <c r="C28" s="96" t="n">
        <v>0</v>
      </c>
      <c r="D28" s="96" t="n">
        <v>300000</v>
      </c>
      <c r="E28" s="96" t="n">
        <v>0</v>
      </c>
      <c r="F28" s="109" t="n">
        <f aca="false">('Balance Sheet'!H61-'Balance Sheet'!G61)</f>
        <v>0</v>
      </c>
      <c r="G28" s="109" t="n">
        <f aca="false">('Balance Sheet'!I61-'Balance Sheet'!H61)</f>
        <v>31098841.8323515</v>
      </c>
      <c r="H28" s="109" t="n">
        <f aca="false">('Balance Sheet'!J61-'Balance Sheet'!I61)</f>
        <v>0</v>
      </c>
      <c r="I28" s="109" t="n">
        <f aca="false">('Balance Sheet'!K61-'Balance Sheet'!J61)</f>
        <v>-6219768.36647029</v>
      </c>
      <c r="J28" s="109" t="n">
        <f aca="false">('Balance Sheet'!L61-'Balance Sheet'!K61)</f>
        <v>-6219768.36647029</v>
      </c>
      <c r="K28" s="96"/>
      <c r="L28" s="96"/>
      <c r="M28" s="96"/>
      <c r="N28" s="96"/>
    </row>
    <row r="29" s="75" customFormat="true" ht="15.75" hidden="false" customHeight="true" outlineLevel="0" collapsed="false">
      <c r="C29" s="96"/>
      <c r="D29" s="96"/>
      <c r="E29" s="96"/>
      <c r="F29" s="97"/>
      <c r="G29" s="97"/>
      <c r="H29" s="97"/>
      <c r="I29" s="97"/>
      <c r="J29" s="97"/>
      <c r="K29" s="97"/>
      <c r="L29" s="97"/>
      <c r="M29" s="97"/>
      <c r="N29" s="97"/>
    </row>
    <row r="30" s="107" customFormat="true" ht="15.75" hidden="false" customHeight="true" outlineLevel="0" collapsed="false">
      <c r="A30" s="181" t="s">
        <v>191</v>
      </c>
      <c r="B30" s="181"/>
      <c r="C30" s="210" t="n">
        <v>8100000</v>
      </c>
      <c r="D30" s="210" t="n">
        <v>7300000</v>
      </c>
      <c r="E30" s="210" t="n">
        <v>0</v>
      </c>
      <c r="F30" s="211" t="n">
        <f aca="false">SUM(F27:F29)</f>
        <v>37610763.0979458</v>
      </c>
      <c r="G30" s="211" t="n">
        <f aca="false">SUM(G27:G29)</f>
        <v>31098841.8323515</v>
      </c>
      <c r="H30" s="211" t="n">
        <f aca="false">SUM(H27:H29)</f>
        <v>0</v>
      </c>
      <c r="I30" s="211" t="n">
        <f aca="false">SUM(I27:I29)</f>
        <v>-6219768.36647029</v>
      </c>
      <c r="J30" s="211" t="n">
        <f aca="false">SUM(J27:J29)</f>
        <v>-6219768.36647029</v>
      </c>
      <c r="K30" s="129"/>
      <c r="L30" s="129"/>
      <c r="M30" s="129"/>
      <c r="N30" s="129"/>
    </row>
    <row r="31" s="75" customFormat="true" ht="15.75" hidden="false" customHeight="true" outlineLevel="0" collapsed="false">
      <c r="C31" s="96"/>
      <c r="D31" s="96"/>
      <c r="E31" s="96"/>
      <c r="F31" s="97"/>
      <c r="G31" s="97"/>
      <c r="H31" s="97"/>
      <c r="I31" s="97"/>
      <c r="J31" s="97"/>
      <c r="K31" s="97"/>
      <c r="L31" s="97"/>
      <c r="M31" s="97"/>
      <c r="N31" s="97"/>
    </row>
    <row r="32" s="75" customFormat="true" ht="15.75" hidden="false" customHeight="true" outlineLevel="0" collapsed="false">
      <c r="A32" s="107" t="s">
        <v>192</v>
      </c>
      <c r="B32" s="212"/>
      <c r="C32" s="128" t="n">
        <v>910000</v>
      </c>
      <c r="D32" s="128" t="n">
        <v>43988.8000000008</v>
      </c>
      <c r="E32" s="128" t="n">
        <v>1735532.55</v>
      </c>
      <c r="F32" s="213" t="n">
        <f aca="false">E36</f>
        <v>2933481.76549999</v>
      </c>
      <c r="G32" s="213" t="n">
        <f aca="false">F36</f>
        <v>35546329.4140094</v>
      </c>
      <c r="H32" s="213" t="n">
        <f aca="false">G36</f>
        <v>22631263.7120003</v>
      </c>
      <c r="I32" s="213" t="n">
        <f aca="false">H36</f>
        <v>16331815.9734387</v>
      </c>
      <c r="J32" s="213" t="n">
        <f aca="false">I36</f>
        <v>11367772.1161802</v>
      </c>
      <c r="K32" s="129"/>
      <c r="L32" s="129"/>
      <c r="M32" s="129"/>
      <c r="N32" s="129"/>
    </row>
    <row r="33" s="75" customFormat="true" ht="15.75" hidden="false" customHeight="true" outlineLevel="0" collapsed="false">
      <c r="A33" s="107"/>
      <c r="B33" s="212"/>
      <c r="C33" s="128"/>
      <c r="D33" s="128"/>
      <c r="E33" s="128"/>
      <c r="F33" s="129"/>
      <c r="G33" s="129"/>
      <c r="H33" s="129"/>
      <c r="I33" s="129"/>
      <c r="J33" s="129"/>
      <c r="K33" s="129"/>
      <c r="L33" s="129"/>
      <c r="M33" s="129"/>
      <c r="N33" s="129"/>
    </row>
    <row r="34" s="75" customFormat="true" ht="15.75" hidden="false" customHeight="true" outlineLevel="0" collapsed="false">
      <c r="A34" s="107" t="s">
        <v>193</v>
      </c>
      <c r="B34" s="107"/>
      <c r="C34" s="128" t="n">
        <v>-866011.199999999</v>
      </c>
      <c r="D34" s="128" t="n">
        <v>1691543.75</v>
      </c>
      <c r="E34" s="128" t="n">
        <v>1197949.21549999</v>
      </c>
      <c r="F34" s="213" t="n">
        <f aca="false">F19+F24+F30</f>
        <v>32612847.6485094</v>
      </c>
      <c r="G34" s="213" t="n">
        <f aca="false">G19+G24+G30</f>
        <v>-12915065.7020091</v>
      </c>
      <c r="H34" s="213" t="n">
        <f aca="false">H19+H24+H30</f>
        <v>-6299447.73856156</v>
      </c>
      <c r="I34" s="213" t="n">
        <f aca="false">I19+I24+I30</f>
        <v>-4964043.85725851</v>
      </c>
      <c r="J34" s="213" t="n">
        <f aca="false">J19+J24+J30</f>
        <v>567275.567771617</v>
      </c>
      <c r="K34" s="129"/>
      <c r="L34" s="129"/>
      <c r="M34" s="129"/>
      <c r="N34" s="129"/>
    </row>
    <row r="35" s="75" customFormat="true" ht="15.75" hidden="false" customHeight="true" outlineLevel="0" collapsed="false">
      <c r="A35" s="107"/>
      <c r="B35" s="107"/>
      <c r="C35" s="128"/>
      <c r="D35" s="128"/>
      <c r="E35" s="128"/>
      <c r="F35" s="129"/>
      <c r="G35" s="129"/>
      <c r="H35" s="129"/>
      <c r="I35" s="129"/>
      <c r="J35" s="129"/>
      <c r="K35" s="129"/>
      <c r="L35" s="129"/>
      <c r="M35" s="129"/>
      <c r="N35" s="129"/>
    </row>
    <row r="36" s="75" customFormat="true" ht="16.5" hidden="false" customHeight="true" outlineLevel="0" collapsed="false">
      <c r="A36" s="181" t="s">
        <v>194</v>
      </c>
      <c r="B36" s="181"/>
      <c r="C36" s="210" t="n">
        <v>43988.8000000008</v>
      </c>
      <c r="D36" s="210" t="n">
        <v>1735532.55</v>
      </c>
      <c r="E36" s="210" t="n">
        <v>2933481.76549999</v>
      </c>
      <c r="F36" s="211" t="n">
        <f aca="false">F34+F32</f>
        <v>35546329.4140094</v>
      </c>
      <c r="G36" s="211" t="n">
        <f aca="false">G34+G32</f>
        <v>22631263.7120003</v>
      </c>
      <c r="H36" s="211" t="n">
        <f aca="false">H34+H32</f>
        <v>16331815.9734387</v>
      </c>
      <c r="I36" s="211" t="n">
        <f aca="false">I34+I32</f>
        <v>11367772.1161802</v>
      </c>
      <c r="J36" s="211" t="n">
        <f aca="false">J34+J32</f>
        <v>11935047.6839518</v>
      </c>
      <c r="K36" s="129"/>
      <c r="L36" s="129"/>
      <c r="M36" s="129"/>
      <c r="N36" s="129"/>
    </row>
    <row r="37" customFormat="false" ht="15.75" hidden="false" customHeight="true" outlineLevel="0" collapsed="false">
      <c r="C37" s="154"/>
      <c r="D37" s="154"/>
      <c r="E37" s="154"/>
      <c r="F37" s="153"/>
      <c r="G37" s="153"/>
      <c r="H37" s="153"/>
      <c r="I37" s="153"/>
      <c r="J37" s="153"/>
      <c r="K37" s="153"/>
      <c r="L37" s="153"/>
      <c r="M37" s="153"/>
      <c r="N37" s="153"/>
    </row>
    <row r="38" customFormat="false" ht="15.75" hidden="false" customHeight="true" outlineLevel="0" collapsed="false">
      <c r="C38" s="154"/>
      <c r="D38" s="199"/>
      <c r="E38" s="199"/>
      <c r="F38" s="214"/>
      <c r="G38" s="214"/>
      <c r="H38" s="214"/>
      <c r="I38" s="214"/>
      <c r="J38" s="214"/>
      <c r="K38" s="214"/>
      <c r="L38" s="214"/>
      <c r="M38" s="214"/>
      <c r="N38" s="214"/>
    </row>
    <row r="39" customFormat="false" ht="16.5" hidden="false" customHeight="true" outlineLevel="0" collapsed="false">
      <c r="C39" s="154"/>
      <c r="D39" s="154"/>
      <c r="E39" s="154"/>
      <c r="F39" s="153"/>
      <c r="G39" s="153"/>
      <c r="H39" s="153"/>
      <c r="I39" s="153"/>
      <c r="J39" s="153"/>
      <c r="K39" s="153"/>
      <c r="L39" s="153"/>
      <c r="M39" s="153"/>
      <c r="N39" s="153"/>
    </row>
    <row r="40" customFormat="false" ht="15.75" hidden="false" customHeight="true" outlineLevel="0" collapsed="false">
      <c r="C40" s="154"/>
      <c r="D40" s="154"/>
      <c r="E40" s="154"/>
      <c r="F40" s="153"/>
      <c r="G40" s="153"/>
      <c r="H40" s="153"/>
      <c r="I40" s="153"/>
      <c r="J40" s="153"/>
      <c r="K40" s="153"/>
      <c r="L40" s="153"/>
      <c r="M40" s="153"/>
      <c r="N40" s="153"/>
    </row>
    <row r="41" customFormat="false" ht="15.75" hidden="false" customHeight="true" outlineLevel="0" collapsed="false">
      <c r="C41" s="154"/>
      <c r="D41" s="199"/>
      <c r="E41" s="199"/>
      <c r="F41" s="214"/>
      <c r="G41" s="214"/>
      <c r="H41" s="214"/>
      <c r="I41" s="214"/>
      <c r="J41" s="214"/>
      <c r="K41" s="214"/>
      <c r="L41" s="214"/>
      <c r="M41" s="214"/>
      <c r="N41" s="214"/>
    </row>
    <row r="42" customFormat="false" ht="15.75" hidden="false" customHeight="true" outlineLevel="0" collapsed="false">
      <c r="C42" s="154"/>
      <c r="D42" s="154"/>
      <c r="E42" s="154"/>
      <c r="F42" s="153"/>
      <c r="G42" s="153"/>
      <c r="H42" s="153"/>
      <c r="I42" s="153"/>
      <c r="J42" s="153"/>
      <c r="K42" s="153"/>
      <c r="L42" s="153"/>
      <c r="M42" s="153"/>
      <c r="N42" s="153"/>
    </row>
    <row r="43" customFormat="false" ht="15.75" hidden="false" customHeight="true" outlineLevel="0" collapsed="false">
      <c r="C43" s="154"/>
      <c r="D43" s="154"/>
      <c r="E43" s="154"/>
      <c r="F43" s="153"/>
      <c r="G43" s="153"/>
      <c r="H43" s="153"/>
      <c r="I43" s="153"/>
      <c r="J43" s="153"/>
      <c r="K43" s="153"/>
      <c r="L43" s="153"/>
      <c r="M43" s="153"/>
      <c r="N43" s="153"/>
    </row>
    <row r="44" customFormat="false" ht="15.75" hidden="false" customHeight="true" outlineLevel="0" collapsed="false">
      <c r="C44" s="154"/>
      <c r="D44" s="154"/>
      <c r="E44" s="154"/>
      <c r="F44" s="153"/>
      <c r="G44" s="153"/>
      <c r="H44" s="153"/>
      <c r="I44" s="153"/>
      <c r="J44" s="153"/>
      <c r="K44" s="153"/>
      <c r="L44" s="153"/>
      <c r="M44" s="153"/>
      <c r="N44" s="153"/>
    </row>
    <row r="45" customFormat="false" ht="15.75" hidden="false" customHeight="true" outlineLevel="0" collapsed="false">
      <c r="C45" s="154"/>
      <c r="D45" s="154"/>
      <c r="E45" s="154"/>
      <c r="F45" s="153"/>
      <c r="G45" s="153"/>
      <c r="H45" s="153"/>
      <c r="I45" s="153"/>
      <c r="J45" s="153"/>
      <c r="K45" s="153"/>
      <c r="L45" s="153"/>
      <c r="M45" s="153"/>
      <c r="N45" s="153"/>
    </row>
    <row r="46" customFormat="false" ht="15.75" hidden="false" customHeight="true" outlineLevel="0" collapsed="false">
      <c r="C46" s="154"/>
      <c r="D46" s="154"/>
      <c r="E46" s="154"/>
      <c r="F46" s="153"/>
      <c r="G46" s="153"/>
      <c r="H46" s="153"/>
      <c r="I46" s="153"/>
      <c r="J46" s="153"/>
      <c r="K46" s="153"/>
      <c r="L46" s="153"/>
      <c r="M46" s="153"/>
      <c r="N46" s="153"/>
    </row>
    <row r="47" customFormat="false" ht="15.75" hidden="false" customHeight="true" outlineLevel="0" collapsed="false">
      <c r="C47" s="154"/>
      <c r="D47" s="154"/>
      <c r="E47" s="154"/>
      <c r="F47" s="153"/>
      <c r="G47" s="153"/>
      <c r="H47" s="153"/>
      <c r="I47" s="153"/>
      <c r="J47" s="153"/>
      <c r="K47" s="153"/>
      <c r="L47" s="153"/>
      <c r="M47" s="153"/>
      <c r="N47" s="153"/>
    </row>
    <row r="48" customFormat="false" ht="15.75" hidden="false" customHeight="true" outlineLevel="0" collapsed="false">
      <c r="C48" s="154"/>
      <c r="D48" s="199"/>
      <c r="E48" s="199"/>
      <c r="F48" s="214"/>
      <c r="G48" s="214"/>
      <c r="H48" s="214"/>
      <c r="I48" s="214"/>
      <c r="J48" s="214"/>
      <c r="K48" s="214"/>
      <c r="L48" s="214"/>
      <c r="M48" s="214"/>
      <c r="N48" s="214"/>
    </row>
    <row r="49" customFormat="false" ht="15.75" hidden="false" customHeight="true" outlineLevel="0" collapsed="false">
      <c r="C49" s="154"/>
      <c r="D49" s="199"/>
      <c r="E49" s="199"/>
      <c r="F49" s="214"/>
      <c r="G49" s="214"/>
      <c r="H49" s="214"/>
      <c r="I49" s="214"/>
      <c r="J49" s="214"/>
      <c r="K49" s="214"/>
      <c r="L49" s="214"/>
      <c r="M49" s="214"/>
      <c r="N49" s="214"/>
    </row>
    <row r="50" customFormat="false" ht="15.75" hidden="false" customHeight="true" outlineLevel="0" collapsed="false">
      <c r="C50" s="154"/>
      <c r="D50" s="215"/>
      <c r="E50" s="215"/>
      <c r="F50" s="216"/>
      <c r="G50" s="216"/>
      <c r="H50" s="216"/>
      <c r="I50" s="216"/>
      <c r="J50" s="216"/>
      <c r="K50" s="216"/>
      <c r="L50" s="216"/>
      <c r="M50" s="216"/>
      <c r="N50" s="216"/>
    </row>
    <row r="51" customFormat="false" ht="15.75" hidden="false" customHeight="true" outlineLevel="0" collapsed="false">
      <c r="C51" s="154"/>
      <c r="D51" s="154"/>
      <c r="E51" s="154"/>
      <c r="F51" s="153"/>
      <c r="G51" s="153"/>
      <c r="H51" s="153"/>
      <c r="I51" s="153"/>
      <c r="J51" s="153"/>
      <c r="K51" s="153"/>
      <c r="L51" s="153"/>
      <c r="M51" s="153"/>
      <c r="N51" s="153"/>
    </row>
    <row r="52" customFormat="false" ht="15.75" hidden="false" customHeight="true" outlineLevel="0" collapsed="false">
      <c r="C52" s="154"/>
      <c r="D52" s="154"/>
      <c r="E52" s="154"/>
      <c r="F52" s="153"/>
      <c r="G52" s="153"/>
      <c r="H52" s="153"/>
      <c r="I52" s="153"/>
      <c r="J52" s="153"/>
      <c r="K52" s="153"/>
      <c r="L52" s="153"/>
      <c r="M52" s="153"/>
      <c r="N52" s="153"/>
    </row>
    <row r="53" customFormat="false" ht="15.75" hidden="false" customHeight="true" outlineLevel="0" collapsed="false">
      <c r="C53" s="154"/>
      <c r="D53" s="154"/>
      <c r="E53" s="154"/>
      <c r="F53" s="153"/>
      <c r="G53" s="153"/>
      <c r="H53" s="153"/>
      <c r="I53" s="153"/>
      <c r="J53" s="153"/>
      <c r="K53" s="153"/>
      <c r="L53" s="153"/>
      <c r="M53" s="153"/>
      <c r="N53" s="153"/>
    </row>
    <row r="54" customFormat="false" ht="15.75" hidden="false" customHeight="true" outlineLevel="0" collapsed="false">
      <c r="C54" s="154"/>
      <c r="D54" s="154"/>
      <c r="E54" s="154"/>
      <c r="F54" s="153"/>
      <c r="G54" s="153"/>
      <c r="H54" s="153"/>
      <c r="I54" s="153"/>
      <c r="J54" s="153"/>
      <c r="K54" s="153"/>
      <c r="L54" s="153"/>
      <c r="M54" s="153"/>
      <c r="N54" s="153"/>
    </row>
    <row r="55" customFormat="false" ht="15.75" hidden="false" customHeight="true" outlineLevel="0" collapsed="false">
      <c r="C55" s="154"/>
      <c r="D55" s="154"/>
      <c r="E55" s="154"/>
      <c r="F55" s="153"/>
      <c r="G55" s="153"/>
      <c r="H55" s="153"/>
      <c r="I55" s="153"/>
      <c r="J55" s="153"/>
      <c r="K55" s="153"/>
      <c r="L55" s="153"/>
      <c r="M55" s="153"/>
      <c r="N55" s="153"/>
    </row>
    <row r="56" customFormat="false" ht="15.75" hidden="false" customHeight="true" outlineLevel="0" collapsed="false">
      <c r="C56" s="154"/>
      <c r="D56" s="199"/>
      <c r="E56" s="199"/>
      <c r="F56" s="214"/>
      <c r="G56" s="214"/>
      <c r="H56" s="214"/>
      <c r="I56" s="214"/>
      <c r="J56" s="214"/>
      <c r="K56" s="214"/>
      <c r="L56" s="214"/>
      <c r="M56" s="214"/>
      <c r="N56" s="214"/>
    </row>
    <row r="57" customFormat="false" ht="15.75" hidden="false" customHeight="true" outlineLevel="0" collapsed="false">
      <c r="C57" s="154"/>
      <c r="D57" s="154"/>
      <c r="E57" s="154"/>
      <c r="F57" s="153"/>
      <c r="G57" s="153"/>
      <c r="H57" s="153"/>
      <c r="I57" s="153"/>
      <c r="J57" s="153"/>
      <c r="K57" s="153"/>
      <c r="L57" s="153"/>
      <c r="M57" s="153"/>
      <c r="N57" s="153"/>
    </row>
    <row r="58" customFormat="false" ht="15.75" hidden="false" customHeight="true" outlineLevel="0" collapsed="false">
      <c r="C58" s="154"/>
      <c r="D58" s="215"/>
      <c r="E58" s="215"/>
      <c r="F58" s="216"/>
      <c r="G58" s="216"/>
      <c r="H58" s="216"/>
      <c r="I58" s="216"/>
      <c r="J58" s="216"/>
      <c r="K58" s="216"/>
      <c r="L58" s="216"/>
      <c r="M58" s="216"/>
      <c r="N58" s="216"/>
    </row>
    <row r="59" customFormat="false" ht="15.75" hidden="false" customHeight="true" outlineLevel="0" collapsed="false">
      <c r="C59" s="154"/>
      <c r="D59" s="154"/>
      <c r="E59" s="154"/>
      <c r="F59" s="153"/>
      <c r="G59" s="153"/>
      <c r="H59" s="153"/>
      <c r="I59" s="153"/>
      <c r="J59" s="153"/>
      <c r="K59" s="153"/>
      <c r="L59" s="153"/>
      <c r="M59" s="153"/>
      <c r="N59" s="153"/>
    </row>
    <row r="60" customFormat="false" ht="15.75" hidden="false" customHeight="true" outlineLevel="0" collapsed="false">
      <c r="C60" s="154"/>
      <c r="D60" s="154"/>
      <c r="E60" s="154"/>
      <c r="F60" s="153"/>
      <c r="G60" s="153"/>
      <c r="H60" s="153"/>
      <c r="I60" s="153"/>
      <c r="J60" s="153"/>
      <c r="K60" s="153"/>
      <c r="L60" s="153"/>
      <c r="M60" s="153"/>
      <c r="N60" s="153"/>
    </row>
    <row r="61" customFormat="false" ht="15.75" hidden="false" customHeight="true" outlineLevel="0" collapsed="false">
      <c r="C61" s="154"/>
      <c r="D61" s="154"/>
      <c r="E61" s="154"/>
      <c r="F61" s="153"/>
      <c r="G61" s="153"/>
      <c r="H61" s="153"/>
      <c r="I61" s="153"/>
      <c r="J61" s="153"/>
      <c r="K61" s="153"/>
      <c r="L61" s="153"/>
      <c r="M61" s="153"/>
      <c r="N61" s="153"/>
    </row>
    <row r="62" customFormat="false" ht="15.75" hidden="false" customHeight="true" outlineLevel="0" collapsed="false">
      <c r="C62" s="154"/>
      <c r="D62" s="154"/>
      <c r="E62" s="154"/>
      <c r="F62" s="153"/>
      <c r="G62" s="153"/>
      <c r="H62" s="153"/>
      <c r="I62" s="153"/>
      <c r="J62" s="153"/>
      <c r="K62" s="153"/>
      <c r="L62" s="153"/>
      <c r="M62" s="153"/>
      <c r="N62" s="153"/>
    </row>
    <row r="63" customFormat="false" ht="15.75" hidden="false" customHeight="true" outlineLevel="0" collapsed="false">
      <c r="C63" s="154"/>
      <c r="D63" s="154"/>
      <c r="E63" s="154"/>
      <c r="F63" s="153"/>
      <c r="G63" s="153"/>
      <c r="H63" s="153"/>
      <c r="I63" s="153"/>
      <c r="J63" s="153"/>
      <c r="K63" s="153"/>
      <c r="L63" s="153"/>
      <c r="M63" s="153"/>
      <c r="N63" s="153"/>
    </row>
    <row r="64" customFormat="false" ht="15.75" hidden="false" customHeight="true" outlineLevel="0" collapsed="false">
      <c r="C64" s="154"/>
      <c r="D64" s="154"/>
      <c r="E64" s="154"/>
      <c r="F64" s="153"/>
      <c r="G64" s="153"/>
      <c r="H64" s="153"/>
      <c r="I64" s="153"/>
      <c r="J64" s="153"/>
      <c r="K64" s="153"/>
      <c r="L64" s="153"/>
      <c r="M64" s="153"/>
      <c r="N64" s="153"/>
    </row>
    <row r="65" customFormat="false" ht="15.75" hidden="false" customHeight="true" outlineLevel="0" collapsed="false">
      <c r="C65" s="154"/>
      <c r="D65" s="154"/>
      <c r="E65" s="154"/>
      <c r="F65" s="153"/>
      <c r="G65" s="153"/>
      <c r="H65" s="153"/>
      <c r="I65" s="153"/>
      <c r="J65" s="153"/>
      <c r="K65" s="153"/>
      <c r="L65" s="153"/>
      <c r="M65" s="153"/>
      <c r="N65" s="153"/>
    </row>
    <row r="66" customFormat="false" ht="15.75" hidden="false" customHeight="true" outlineLevel="0" collapsed="false">
      <c r="C66" s="154"/>
      <c r="D66" s="154"/>
      <c r="E66" s="154"/>
      <c r="F66" s="153"/>
      <c r="G66" s="153"/>
      <c r="H66" s="153"/>
      <c r="I66" s="153"/>
      <c r="J66" s="153"/>
      <c r="K66" s="153"/>
      <c r="L66" s="153"/>
      <c r="M66" s="153"/>
      <c r="N66" s="153"/>
    </row>
    <row r="67" customFormat="false" ht="15.75" hidden="false" customHeight="true" outlineLevel="0" collapsed="false">
      <c r="C67" s="154"/>
      <c r="D67" s="154"/>
      <c r="E67" s="154"/>
      <c r="F67" s="153"/>
      <c r="G67" s="153"/>
      <c r="H67" s="153"/>
      <c r="I67" s="153"/>
      <c r="J67" s="153"/>
      <c r="K67" s="153"/>
      <c r="L67" s="153"/>
      <c r="M67" s="153"/>
      <c r="N67" s="153"/>
    </row>
    <row r="68" customFormat="false" ht="15.75" hidden="false" customHeight="true" outlineLevel="0" collapsed="false">
      <c r="C68" s="154"/>
      <c r="D68" s="215"/>
      <c r="E68" s="215"/>
      <c r="F68" s="216"/>
      <c r="G68" s="216"/>
      <c r="H68" s="216"/>
      <c r="I68" s="216"/>
      <c r="J68" s="216"/>
      <c r="K68" s="216"/>
      <c r="L68" s="216"/>
      <c r="M68" s="216"/>
      <c r="N68" s="216"/>
    </row>
    <row r="69" customFormat="false" ht="15.75" hidden="false" customHeight="true" outlineLevel="0" collapsed="false">
      <c r="C69" s="154"/>
      <c r="D69" s="154"/>
      <c r="E69" s="154"/>
      <c r="F69" s="153"/>
      <c r="G69" s="153"/>
      <c r="H69" s="153"/>
      <c r="I69" s="153"/>
      <c r="J69" s="153"/>
      <c r="K69" s="153"/>
      <c r="L69" s="153"/>
      <c r="M69" s="153"/>
      <c r="N69" s="153"/>
    </row>
    <row r="70" customFormat="false" ht="15.75" hidden="false" customHeight="true" outlineLevel="0" collapsed="false">
      <c r="C70" s="154"/>
      <c r="D70" s="215"/>
      <c r="E70" s="215"/>
      <c r="F70" s="216"/>
      <c r="G70" s="216"/>
      <c r="H70" s="216"/>
      <c r="I70" s="216"/>
      <c r="J70" s="216"/>
      <c r="K70" s="216"/>
      <c r="L70" s="216"/>
      <c r="M70" s="216"/>
      <c r="N70" s="216"/>
    </row>
    <row r="71" customFormat="false" ht="15.75" hidden="false" customHeight="true" outlineLevel="0" collapsed="false">
      <c r="C71" s="154"/>
      <c r="D71" s="154"/>
      <c r="E71" s="154"/>
      <c r="F71" s="153"/>
      <c r="G71" s="153"/>
      <c r="H71" s="153"/>
      <c r="I71" s="153"/>
      <c r="J71" s="153"/>
      <c r="K71" s="153"/>
      <c r="L71" s="153"/>
      <c r="M71" s="153"/>
      <c r="N71" s="153"/>
    </row>
    <row r="72" customFormat="false" ht="15.75" hidden="false" customHeight="true" outlineLevel="0" collapsed="false">
      <c r="C72" s="154"/>
      <c r="D72" s="154"/>
      <c r="E72" s="154"/>
      <c r="F72" s="153"/>
      <c r="G72" s="153"/>
      <c r="H72" s="153"/>
      <c r="I72" s="153"/>
      <c r="J72" s="153"/>
      <c r="K72" s="153"/>
      <c r="L72" s="153"/>
      <c r="M72" s="153"/>
      <c r="N72" s="153"/>
    </row>
    <row r="73" customFormat="false" ht="15.75" hidden="false" customHeight="true" outlineLevel="0" collapsed="false">
      <c r="C73" s="154"/>
      <c r="D73" s="154"/>
      <c r="E73" s="154"/>
      <c r="F73" s="153"/>
      <c r="G73" s="153"/>
      <c r="H73" s="153"/>
      <c r="I73" s="153"/>
      <c r="J73" s="153"/>
      <c r="K73" s="153"/>
      <c r="L73" s="153"/>
      <c r="M73" s="153"/>
      <c r="N73" s="153"/>
    </row>
    <row r="74" customFormat="false" ht="15.75" hidden="false" customHeight="true" outlineLevel="0" collapsed="false">
      <c r="C74" s="154"/>
      <c r="D74" s="154"/>
      <c r="E74" s="154"/>
      <c r="F74" s="153"/>
      <c r="G74" s="153"/>
      <c r="H74" s="153"/>
      <c r="I74" s="153"/>
      <c r="J74" s="153"/>
      <c r="K74" s="153"/>
      <c r="L74" s="153"/>
      <c r="M74" s="153"/>
      <c r="N74" s="153"/>
    </row>
    <row r="75" customFormat="false" ht="15.75" hidden="false" customHeight="true" outlineLevel="0" collapsed="false">
      <c r="C75" s="154"/>
      <c r="D75" s="154"/>
      <c r="E75" s="154"/>
      <c r="F75" s="153"/>
      <c r="G75" s="153"/>
      <c r="H75" s="153"/>
      <c r="I75" s="153"/>
      <c r="J75" s="153"/>
      <c r="K75" s="153"/>
      <c r="L75" s="153"/>
      <c r="M75" s="153"/>
      <c r="N75" s="153"/>
    </row>
    <row r="76" customFormat="false" ht="15.75" hidden="false" customHeight="true" outlineLevel="0" collapsed="false">
      <c r="C76" s="154"/>
      <c r="D76" s="154"/>
      <c r="E76" s="154"/>
      <c r="F76" s="153"/>
      <c r="G76" s="153"/>
      <c r="H76" s="153"/>
      <c r="I76" s="153"/>
      <c r="J76" s="153"/>
      <c r="K76" s="153"/>
      <c r="L76" s="153"/>
      <c r="M76" s="153"/>
      <c r="N76" s="153"/>
    </row>
    <row r="77" customFormat="false" ht="15.75" hidden="false" customHeight="true" outlineLevel="0" collapsed="false">
      <c r="C77" s="154"/>
      <c r="D77" s="154"/>
      <c r="E77" s="154"/>
      <c r="F77" s="153"/>
      <c r="G77" s="153"/>
      <c r="H77" s="153"/>
      <c r="I77" s="153"/>
      <c r="J77" s="153"/>
      <c r="K77" s="153"/>
      <c r="L77" s="153"/>
      <c r="M77" s="153"/>
      <c r="N77" s="153"/>
    </row>
    <row r="78" customFormat="false" ht="15.75" hidden="false" customHeight="true" outlineLevel="0" collapsed="false">
      <c r="C78" s="154"/>
      <c r="D78" s="154"/>
      <c r="E78" s="154"/>
      <c r="F78" s="153"/>
      <c r="G78" s="153"/>
      <c r="H78" s="153"/>
      <c r="I78" s="153"/>
      <c r="J78" s="153"/>
      <c r="K78" s="153"/>
      <c r="L78" s="153"/>
      <c r="M78" s="153"/>
      <c r="N78" s="153"/>
    </row>
    <row r="79" customFormat="false" ht="15.75" hidden="false" customHeight="true" outlineLevel="0" collapsed="false">
      <c r="C79" s="154"/>
      <c r="D79" s="154"/>
      <c r="E79" s="154"/>
      <c r="F79" s="153"/>
      <c r="G79" s="153"/>
      <c r="H79" s="153"/>
      <c r="I79" s="153"/>
      <c r="J79" s="153"/>
      <c r="K79" s="153"/>
      <c r="L79" s="153"/>
      <c r="M79" s="153"/>
      <c r="N79" s="153"/>
    </row>
    <row r="80" customFormat="false" ht="15.75" hidden="false" customHeight="true" outlineLevel="0" collapsed="false">
      <c r="C80" s="154"/>
      <c r="D80" s="154"/>
      <c r="E80" s="154"/>
      <c r="F80" s="153"/>
      <c r="G80" s="153"/>
      <c r="H80" s="153"/>
      <c r="I80" s="153"/>
      <c r="J80" s="153"/>
      <c r="K80" s="153"/>
      <c r="L80" s="153"/>
      <c r="M80" s="153"/>
      <c r="N80" s="153"/>
    </row>
    <row r="81" customFormat="false" ht="15.75" hidden="false" customHeight="true" outlineLevel="0" collapsed="false">
      <c r="C81" s="154"/>
      <c r="D81" s="154"/>
      <c r="E81" s="154"/>
      <c r="F81" s="153"/>
      <c r="G81" s="153"/>
      <c r="H81" s="153"/>
      <c r="I81" s="153"/>
      <c r="J81" s="153"/>
      <c r="K81" s="153"/>
      <c r="L81" s="153"/>
      <c r="M81" s="153"/>
      <c r="N81" s="153"/>
    </row>
    <row r="82" customFormat="false" ht="15.75" hidden="false" customHeight="true" outlineLevel="0" collapsed="false">
      <c r="C82" s="154"/>
      <c r="D82" s="154"/>
      <c r="E82" s="154"/>
      <c r="F82" s="153"/>
      <c r="G82" s="153"/>
      <c r="H82" s="153"/>
      <c r="I82" s="153"/>
      <c r="J82" s="153"/>
      <c r="K82" s="153"/>
      <c r="L82" s="153"/>
      <c r="M82" s="153"/>
      <c r="N82" s="153"/>
    </row>
    <row r="83" customFormat="false" ht="16.5" hidden="false" customHeight="true" outlineLevel="0" collapsed="false">
      <c r="C83" s="154"/>
      <c r="D83" s="154"/>
      <c r="E83" s="154"/>
      <c r="F83" s="153"/>
      <c r="G83" s="153"/>
      <c r="H83" s="153"/>
      <c r="I83" s="153"/>
      <c r="J83" s="153"/>
      <c r="K83" s="153"/>
      <c r="L83" s="153"/>
      <c r="M83" s="153"/>
      <c r="N83" s="153"/>
    </row>
    <row r="84" customFormat="false" ht="15.75" hidden="false" customHeight="true" outlineLevel="0" collapsed="false">
      <c r="C84" s="154"/>
      <c r="D84" s="154"/>
      <c r="E84" s="154"/>
      <c r="F84" s="153"/>
      <c r="G84" s="153"/>
      <c r="H84" s="153"/>
      <c r="I84" s="153"/>
      <c r="J84" s="153"/>
      <c r="K84" s="153"/>
      <c r="L84" s="153"/>
      <c r="M84" s="153"/>
      <c r="N84" s="153"/>
    </row>
    <row r="85" customFormat="false" ht="15.75" hidden="false" customHeight="true" outlineLevel="0" collapsed="false">
      <c r="C85" s="154"/>
      <c r="D85" s="154"/>
      <c r="E85" s="154"/>
      <c r="F85" s="153"/>
      <c r="G85" s="153"/>
      <c r="H85" s="153"/>
      <c r="I85" s="153"/>
      <c r="J85" s="153"/>
      <c r="K85" s="153"/>
      <c r="L85" s="153"/>
      <c r="M85" s="153"/>
      <c r="N85" s="153"/>
    </row>
    <row r="86" customFormat="false" ht="15.75" hidden="false" customHeight="true" outlineLevel="0" collapsed="false">
      <c r="C86" s="154"/>
      <c r="D86" s="154"/>
      <c r="E86" s="154"/>
      <c r="F86" s="153"/>
      <c r="G86" s="153"/>
      <c r="H86" s="153"/>
      <c r="I86" s="153"/>
      <c r="J86" s="153"/>
      <c r="K86" s="153"/>
      <c r="L86" s="153"/>
      <c r="M86" s="153"/>
      <c r="N86" s="153"/>
    </row>
    <row r="87" customFormat="false" ht="15.75" hidden="false" customHeight="true" outlineLevel="0" collapsed="false">
      <c r="C87" s="154"/>
      <c r="D87" s="154"/>
      <c r="E87" s="154"/>
      <c r="F87" s="153"/>
      <c r="G87" s="153"/>
      <c r="H87" s="153"/>
      <c r="I87" s="153"/>
      <c r="J87" s="153"/>
      <c r="K87" s="153"/>
      <c r="L87" s="153"/>
      <c r="M87" s="153"/>
      <c r="N87" s="153"/>
    </row>
    <row r="88" customFormat="false" ht="15.75" hidden="false" customHeight="true" outlineLevel="0" collapsed="false">
      <c r="C88" s="154"/>
      <c r="D88" s="154"/>
      <c r="E88" s="154"/>
      <c r="F88" s="153"/>
      <c r="G88" s="153"/>
      <c r="H88" s="153"/>
      <c r="I88" s="153"/>
      <c r="J88" s="153"/>
      <c r="K88" s="153"/>
      <c r="L88" s="153"/>
      <c r="M88" s="153"/>
      <c r="N88" s="153"/>
    </row>
    <row r="89" customFormat="false" ht="15.75" hidden="false" customHeight="true" outlineLevel="0" collapsed="false">
      <c r="C89" s="154"/>
      <c r="D89" s="154"/>
      <c r="E89" s="154"/>
      <c r="F89" s="153"/>
      <c r="G89" s="153"/>
      <c r="H89" s="153"/>
      <c r="I89" s="153"/>
      <c r="J89" s="153"/>
      <c r="K89" s="153"/>
      <c r="L89" s="153"/>
      <c r="M89" s="153"/>
      <c r="N89" s="153"/>
    </row>
    <row r="90" customFormat="false" ht="15.75" hidden="false" customHeight="true" outlineLevel="0" collapsed="false">
      <c r="C90" s="154"/>
      <c r="D90" s="154"/>
      <c r="E90" s="154"/>
      <c r="F90" s="153"/>
      <c r="G90" s="153"/>
      <c r="H90" s="153"/>
      <c r="I90" s="153"/>
      <c r="J90" s="153"/>
      <c r="K90" s="153"/>
      <c r="L90" s="153"/>
      <c r="M90" s="153"/>
      <c r="N90" s="153"/>
    </row>
    <row r="91" customFormat="false" ht="15.75" hidden="false" customHeight="true" outlineLevel="0" collapsed="false">
      <c r="C91" s="154"/>
      <c r="D91" s="154"/>
      <c r="E91" s="154"/>
      <c r="F91" s="153"/>
      <c r="G91" s="153"/>
      <c r="H91" s="153"/>
      <c r="I91" s="153"/>
      <c r="J91" s="153"/>
      <c r="K91" s="153"/>
      <c r="L91" s="153"/>
      <c r="M91" s="153"/>
      <c r="N91" s="153"/>
    </row>
    <row r="92" customFormat="false" ht="15.75" hidden="false" customHeight="true" outlineLevel="0" collapsed="false">
      <c r="C92" s="154"/>
      <c r="D92" s="154"/>
      <c r="E92" s="154"/>
      <c r="F92" s="153"/>
      <c r="G92" s="153"/>
      <c r="H92" s="153"/>
      <c r="I92" s="153"/>
      <c r="J92" s="153"/>
      <c r="K92" s="153"/>
      <c r="L92" s="153"/>
      <c r="M92" s="153"/>
      <c r="N92" s="153"/>
    </row>
    <row r="93" customFormat="false" ht="15.75" hidden="false" customHeight="true" outlineLevel="0" collapsed="false">
      <c r="C93" s="154"/>
      <c r="D93" s="154"/>
      <c r="E93" s="154"/>
      <c r="F93" s="153"/>
      <c r="G93" s="153"/>
      <c r="H93" s="153"/>
      <c r="I93" s="153"/>
      <c r="J93" s="153"/>
      <c r="K93" s="153"/>
      <c r="L93" s="153"/>
      <c r="M93" s="153"/>
      <c r="N93" s="153"/>
    </row>
    <row r="94" customFormat="false" ht="15.75" hidden="false" customHeight="true" outlineLevel="0" collapsed="false">
      <c r="C94" s="154"/>
      <c r="D94" s="154"/>
      <c r="E94" s="154"/>
      <c r="F94" s="153"/>
      <c r="G94" s="153"/>
      <c r="H94" s="153"/>
      <c r="I94" s="153"/>
      <c r="J94" s="153"/>
      <c r="K94" s="153"/>
      <c r="L94" s="153"/>
      <c r="M94" s="153"/>
      <c r="N94" s="153"/>
    </row>
    <row r="95" customFormat="false" ht="15.75" hidden="false" customHeight="true" outlineLevel="0" collapsed="false">
      <c r="C95" s="154"/>
      <c r="D95" s="154"/>
      <c r="E95" s="154"/>
      <c r="F95" s="153"/>
      <c r="G95" s="153"/>
      <c r="H95" s="153"/>
      <c r="I95" s="153"/>
      <c r="J95" s="153"/>
      <c r="K95" s="153"/>
      <c r="L95" s="153"/>
      <c r="M95" s="153"/>
      <c r="N95" s="153"/>
    </row>
    <row r="96" customFormat="false" ht="15.75" hidden="false" customHeight="true" outlineLevel="0" collapsed="false">
      <c r="C96" s="154"/>
      <c r="D96" s="154"/>
      <c r="E96" s="154"/>
      <c r="F96" s="153"/>
      <c r="G96" s="153"/>
      <c r="H96" s="153"/>
      <c r="I96" s="153"/>
      <c r="J96" s="153"/>
      <c r="K96" s="153"/>
      <c r="L96" s="153"/>
      <c r="M96" s="153"/>
      <c r="N96" s="153"/>
    </row>
    <row r="97" customFormat="false" ht="15.75" hidden="false" customHeight="true" outlineLevel="0" collapsed="false">
      <c r="C97" s="154"/>
      <c r="D97" s="154"/>
      <c r="E97" s="154"/>
      <c r="F97" s="153"/>
      <c r="G97" s="153"/>
      <c r="H97" s="153"/>
      <c r="I97" s="153"/>
      <c r="J97" s="153"/>
      <c r="K97" s="153"/>
      <c r="L97" s="153"/>
      <c r="M97" s="153"/>
      <c r="N97" s="153"/>
    </row>
    <row r="98" customFormat="false" ht="15.75" hidden="false" customHeight="true" outlineLevel="0" collapsed="false">
      <c r="C98" s="154"/>
      <c r="D98" s="154"/>
      <c r="E98" s="154"/>
      <c r="F98" s="153"/>
      <c r="G98" s="153"/>
      <c r="H98" s="153"/>
      <c r="I98" s="153"/>
      <c r="J98" s="153"/>
      <c r="K98" s="153"/>
      <c r="L98" s="153"/>
      <c r="M98" s="153"/>
      <c r="N98" s="153"/>
    </row>
    <row r="99" customFormat="false" ht="15.75" hidden="false" customHeight="true" outlineLevel="0" collapsed="false">
      <c r="C99" s="154"/>
      <c r="D99" s="154"/>
      <c r="E99" s="154"/>
      <c r="F99" s="153"/>
      <c r="G99" s="153"/>
      <c r="H99" s="153"/>
      <c r="I99" s="153"/>
      <c r="J99" s="153"/>
      <c r="K99" s="153"/>
      <c r="L99" s="153"/>
      <c r="M99" s="153"/>
      <c r="N99" s="153"/>
    </row>
    <row r="100" customFormat="false" ht="15.75" hidden="false" customHeight="true" outlineLevel="0" collapsed="false">
      <c r="C100" s="154"/>
      <c r="D100" s="154"/>
      <c r="E100" s="154"/>
      <c r="F100" s="153"/>
      <c r="G100" s="153"/>
      <c r="H100" s="153"/>
      <c r="I100" s="153"/>
      <c r="J100" s="153"/>
      <c r="K100" s="153"/>
      <c r="L100" s="153"/>
      <c r="M100" s="153"/>
      <c r="N100" s="153"/>
    </row>
    <row r="101" customFormat="false" ht="15.75" hidden="false" customHeight="true" outlineLevel="0" collapsed="false">
      <c r="C101" s="154"/>
      <c r="D101" s="154"/>
      <c r="E101" s="154"/>
      <c r="F101" s="153"/>
      <c r="G101" s="153"/>
      <c r="H101" s="153"/>
      <c r="I101" s="153"/>
      <c r="J101" s="153"/>
      <c r="K101" s="153"/>
      <c r="L101" s="153"/>
      <c r="M101" s="153"/>
      <c r="N101" s="153"/>
    </row>
    <row r="102" customFormat="false" ht="15.75" hidden="false" customHeight="true" outlineLevel="0" collapsed="false">
      <c r="C102" s="154"/>
      <c r="D102" s="154"/>
      <c r="E102" s="154"/>
      <c r="F102" s="153"/>
      <c r="G102" s="153"/>
      <c r="H102" s="153"/>
      <c r="I102" s="153"/>
      <c r="J102" s="153"/>
      <c r="K102" s="153"/>
      <c r="L102" s="153"/>
      <c r="M102" s="153"/>
      <c r="N102" s="153"/>
    </row>
    <row r="103" customFormat="false" ht="15.75" hidden="false" customHeight="true" outlineLevel="0" collapsed="false">
      <c r="C103" s="154"/>
      <c r="D103" s="154"/>
      <c r="E103" s="154"/>
      <c r="F103" s="153"/>
      <c r="G103" s="153"/>
      <c r="H103" s="153"/>
      <c r="I103" s="153"/>
      <c r="J103" s="153"/>
      <c r="K103" s="153"/>
      <c r="L103" s="153"/>
      <c r="M103" s="153"/>
      <c r="N103" s="153"/>
    </row>
    <row r="104" customFormat="false" ht="15.75" hidden="false" customHeight="true" outlineLevel="0" collapsed="false">
      <c r="C104" s="154"/>
      <c r="D104" s="154"/>
      <c r="E104" s="154"/>
      <c r="F104" s="153"/>
      <c r="G104" s="153"/>
      <c r="H104" s="153"/>
      <c r="I104" s="153"/>
      <c r="J104" s="153"/>
      <c r="K104" s="153"/>
      <c r="L104" s="153"/>
      <c r="M104" s="153"/>
      <c r="N104" s="153"/>
    </row>
    <row r="105" customFormat="false" ht="15.75" hidden="false" customHeight="true" outlineLevel="0" collapsed="false">
      <c r="C105" s="154"/>
      <c r="D105" s="154"/>
      <c r="E105" s="154"/>
      <c r="F105" s="153"/>
      <c r="G105" s="153"/>
      <c r="H105" s="153"/>
      <c r="I105" s="153"/>
      <c r="J105" s="153"/>
      <c r="K105" s="153"/>
      <c r="L105" s="153"/>
      <c r="M105" s="153"/>
      <c r="N105" s="153"/>
    </row>
    <row r="106" customFormat="false" ht="15.75" hidden="false" customHeight="true" outlineLevel="0" collapsed="false">
      <c r="C106" s="154"/>
      <c r="D106" s="154"/>
      <c r="E106" s="154"/>
      <c r="F106" s="153"/>
      <c r="G106" s="153"/>
      <c r="H106" s="153"/>
      <c r="I106" s="153"/>
      <c r="J106" s="153"/>
      <c r="K106" s="153"/>
      <c r="L106" s="153"/>
      <c r="M106" s="153"/>
      <c r="N106" s="153"/>
    </row>
    <row r="107" customFormat="false" ht="15.75" hidden="false" customHeight="true" outlineLevel="0" collapsed="false">
      <c r="C107" s="154"/>
      <c r="D107" s="154"/>
      <c r="E107" s="154"/>
      <c r="F107" s="153"/>
      <c r="G107" s="153"/>
      <c r="H107" s="153"/>
      <c r="I107" s="153"/>
      <c r="J107" s="153"/>
      <c r="K107" s="153"/>
      <c r="L107" s="153"/>
      <c r="M107" s="153"/>
      <c r="N107" s="153"/>
    </row>
    <row r="108" customFormat="false" ht="15.75" hidden="false" customHeight="true" outlineLevel="0" collapsed="false">
      <c r="C108" s="154"/>
      <c r="D108" s="154"/>
      <c r="E108" s="154"/>
      <c r="F108" s="153"/>
      <c r="G108" s="153"/>
      <c r="H108" s="153"/>
      <c r="I108" s="153"/>
      <c r="J108" s="153"/>
      <c r="K108" s="153"/>
      <c r="L108" s="153"/>
      <c r="M108" s="153"/>
      <c r="N108" s="153"/>
    </row>
    <row r="109" customFormat="false" ht="15.75" hidden="false" customHeight="true" outlineLevel="0" collapsed="false">
      <c r="C109" s="154"/>
      <c r="D109" s="154"/>
      <c r="E109" s="154"/>
      <c r="F109" s="153"/>
      <c r="G109" s="153"/>
      <c r="H109" s="153"/>
      <c r="I109" s="153"/>
      <c r="J109" s="153"/>
      <c r="K109" s="153"/>
      <c r="L109" s="153"/>
      <c r="M109" s="153"/>
      <c r="N109" s="153"/>
    </row>
    <row r="110" customFormat="false" ht="15.75" hidden="false" customHeight="true" outlineLevel="0" collapsed="false">
      <c r="C110" s="154"/>
      <c r="D110" s="154"/>
      <c r="E110" s="154"/>
      <c r="F110" s="153"/>
      <c r="G110" s="153"/>
      <c r="H110" s="153"/>
      <c r="I110" s="153"/>
      <c r="J110" s="153"/>
      <c r="K110" s="153"/>
      <c r="L110" s="153"/>
      <c r="M110" s="153"/>
      <c r="N110" s="153"/>
    </row>
    <row r="111" customFormat="false" ht="15.75" hidden="false" customHeight="true" outlineLevel="0" collapsed="false">
      <c r="C111" s="154"/>
      <c r="D111" s="154"/>
      <c r="E111" s="154"/>
      <c r="F111" s="153"/>
      <c r="G111" s="153"/>
      <c r="H111" s="153"/>
      <c r="I111" s="153"/>
      <c r="J111" s="153"/>
      <c r="K111" s="153"/>
      <c r="L111" s="153"/>
      <c r="M111" s="153"/>
      <c r="N111" s="153"/>
    </row>
    <row r="112" customFormat="false" ht="15.75" hidden="false" customHeight="true" outlineLevel="0" collapsed="false">
      <c r="C112" s="154"/>
      <c r="D112" s="154"/>
      <c r="E112" s="154"/>
      <c r="F112" s="153"/>
      <c r="G112" s="153"/>
      <c r="H112" s="153"/>
      <c r="I112" s="153"/>
      <c r="J112" s="153"/>
      <c r="K112" s="153"/>
      <c r="L112" s="153"/>
      <c r="M112" s="153"/>
      <c r="N112" s="153"/>
    </row>
    <row r="113" customFormat="false" ht="15.75" hidden="false" customHeight="true" outlineLevel="0" collapsed="false">
      <c r="C113" s="154"/>
      <c r="D113" s="154"/>
      <c r="E113" s="154"/>
      <c r="F113" s="153"/>
      <c r="G113" s="153"/>
      <c r="H113" s="153"/>
      <c r="I113" s="153"/>
      <c r="J113" s="153"/>
      <c r="K113" s="153"/>
      <c r="L113" s="153"/>
      <c r="M113" s="153"/>
      <c r="N113" s="153"/>
    </row>
    <row r="114" customFormat="false" ht="15.75" hidden="false" customHeight="true" outlineLevel="0" collapsed="false">
      <c r="C114" s="154"/>
      <c r="D114" s="154"/>
      <c r="E114" s="154"/>
      <c r="F114" s="153"/>
      <c r="G114" s="153"/>
      <c r="H114" s="153"/>
      <c r="I114" s="153"/>
      <c r="J114" s="153"/>
      <c r="K114" s="153"/>
      <c r="L114" s="153"/>
      <c r="M114" s="153"/>
      <c r="N114" s="153"/>
    </row>
    <row r="115" customFormat="false" ht="15.75" hidden="false" customHeight="true" outlineLevel="0" collapsed="false">
      <c r="C115" s="154"/>
      <c r="D115" s="154"/>
      <c r="E115" s="154"/>
      <c r="F115" s="153"/>
      <c r="G115" s="153"/>
      <c r="H115" s="153"/>
      <c r="I115" s="153"/>
      <c r="J115" s="153"/>
      <c r="K115" s="153"/>
      <c r="L115" s="153"/>
      <c r="M115" s="153"/>
      <c r="N115" s="153"/>
    </row>
    <row r="116" customFormat="false" ht="15.75" hidden="false" customHeight="true" outlineLevel="0" collapsed="false">
      <c r="C116" s="154"/>
      <c r="D116" s="154"/>
      <c r="E116" s="154"/>
      <c r="F116" s="153"/>
      <c r="G116" s="153"/>
      <c r="H116" s="153"/>
      <c r="I116" s="153"/>
      <c r="J116" s="153"/>
      <c r="K116" s="153"/>
      <c r="L116" s="153"/>
      <c r="M116" s="153"/>
      <c r="N116" s="153"/>
    </row>
    <row r="117" customFormat="false" ht="15.75" hidden="false" customHeight="true" outlineLevel="0" collapsed="false">
      <c r="C117" s="154"/>
      <c r="D117" s="154"/>
      <c r="E117" s="154"/>
      <c r="F117" s="153"/>
      <c r="G117" s="153"/>
      <c r="H117" s="153"/>
      <c r="I117" s="153"/>
      <c r="J117" s="153"/>
      <c r="K117" s="153"/>
      <c r="L117" s="153"/>
      <c r="M117" s="153"/>
      <c r="N117" s="153"/>
    </row>
    <row r="118" customFormat="false" ht="15.75" hidden="false" customHeight="true" outlineLevel="0" collapsed="false">
      <c r="C118" s="154"/>
      <c r="D118" s="154"/>
      <c r="E118" s="154"/>
      <c r="F118" s="153"/>
      <c r="G118" s="153"/>
      <c r="H118" s="153"/>
      <c r="I118" s="153"/>
      <c r="J118" s="153"/>
      <c r="K118" s="153"/>
      <c r="L118" s="153"/>
      <c r="M118" s="153"/>
      <c r="N118" s="153"/>
    </row>
    <row r="119" customFormat="false" ht="15.75" hidden="false" customHeight="true" outlineLevel="0" collapsed="false">
      <c r="C119" s="154"/>
      <c r="D119" s="154"/>
      <c r="E119" s="154"/>
      <c r="F119" s="153"/>
      <c r="G119" s="153"/>
      <c r="H119" s="153"/>
      <c r="I119" s="153"/>
      <c r="J119" s="153"/>
      <c r="K119" s="153"/>
      <c r="L119" s="153"/>
      <c r="M119" s="153"/>
      <c r="N119" s="153"/>
    </row>
    <row r="120" customFormat="false" ht="15.75" hidden="false" customHeight="true" outlineLevel="0" collapsed="false">
      <c r="C120" s="154"/>
      <c r="D120" s="154"/>
      <c r="E120" s="154"/>
      <c r="F120" s="153"/>
      <c r="G120" s="153"/>
      <c r="H120" s="153"/>
      <c r="I120" s="153"/>
      <c r="J120" s="153"/>
      <c r="K120" s="153"/>
      <c r="L120" s="153"/>
      <c r="M120" s="153"/>
      <c r="N120" s="153"/>
    </row>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G41"/>
  <sheetViews>
    <sheetView showFormulas="false" showGridLines="true" showRowColHeaders="true" showZeros="true" rightToLeft="false" tabSelected="false" showOutlineSymbols="true" defaultGridColor="true" view="normal" topLeftCell="A17" colorId="64" zoomScale="110" zoomScaleNormal="110" zoomScalePageLayoutView="100" workbookViewId="0">
      <selection pane="topLeft" activeCell="D31" activeCellId="0" sqref="D31"/>
    </sheetView>
  </sheetViews>
  <sheetFormatPr defaultColWidth="8.73046875" defaultRowHeight="15.75" zeroHeight="false" outlineLevelRow="0" outlineLevelCol="0"/>
  <cols>
    <col collapsed="false" customWidth="true" hidden="false" outlineLevel="0" max="1" min="1" style="25" width="52"/>
    <col collapsed="false" customWidth="true" hidden="false" outlineLevel="0" max="2" min="2" style="25" width="12.18"/>
    <col collapsed="false" customWidth="true" hidden="false" outlineLevel="0" max="3" min="3" style="25" width="44"/>
    <col collapsed="false" customWidth="true" hidden="false" outlineLevel="0" max="4" min="4" style="25" width="70"/>
    <col collapsed="false" customWidth="true" hidden="false" outlineLevel="0" max="5" min="5" style="25" width="9.54"/>
    <col collapsed="false" customWidth="true" hidden="false" outlineLevel="0" max="6" min="6" style="25" width="10.09"/>
    <col collapsed="false" customWidth="true" hidden="false" outlineLevel="0" max="7" min="7" style="25" width="21.18"/>
    <col collapsed="false" customWidth="false" hidden="false" outlineLevel="0" max="16384" min="8" style="25" width="8.73"/>
  </cols>
  <sheetData>
    <row r="1" customFormat="false" ht="21" hidden="false" customHeight="true" outlineLevel="0" collapsed="false">
      <c r="A1" s="217" t="s">
        <v>195</v>
      </c>
      <c r="B1" s="27"/>
      <c r="C1" s="27"/>
      <c r="D1" s="27"/>
      <c r="E1" s="28"/>
    </row>
    <row r="3" customFormat="false" ht="24" hidden="false" customHeight="true" outlineLevel="0" collapsed="false">
      <c r="A3" s="218" t="s">
        <v>196</v>
      </c>
      <c r="B3" s="219" t="n">
        <f aca="false">B23</f>
        <v>1.47872078632189</v>
      </c>
      <c r="C3" s="220" t="s">
        <v>197</v>
      </c>
      <c r="D3" s="218" t="s">
        <v>198</v>
      </c>
      <c r="E3" s="221" t="n">
        <f aca="false">B4+B3*(B5-B4)</f>
        <v>0.15942699992797</v>
      </c>
      <c r="F3" s="222" t="s">
        <v>199</v>
      </c>
    </row>
    <row r="4" customFormat="false" ht="15.75" hidden="false" customHeight="false" outlineLevel="0" collapsed="false">
      <c r="A4" s="218" t="s">
        <v>200</v>
      </c>
      <c r="B4" s="223" t="n">
        <f aca="false">B13</f>
        <v>0.039207</v>
      </c>
      <c r="C4" s="224"/>
      <c r="D4" s="218" t="s">
        <v>201</v>
      </c>
      <c r="E4" s="221" t="n">
        <f aca="false">B15*(1-Assumption!D15)</f>
        <v>0.08</v>
      </c>
      <c r="F4" s="222" t="s">
        <v>202</v>
      </c>
    </row>
    <row r="5" customFormat="false" ht="24" hidden="false" customHeight="true" outlineLevel="0" collapsed="false">
      <c r="A5" s="218" t="s">
        <v>203</v>
      </c>
      <c r="B5" s="221" t="n">
        <f aca="false">B24</f>
        <v>0.120507</v>
      </c>
      <c r="C5" s="220" t="s">
        <v>204</v>
      </c>
      <c r="D5" s="225" t="s">
        <v>205</v>
      </c>
      <c r="E5" s="223" t="n">
        <f aca="false">(B7*E3+B8*E4)/B9</f>
        <v>0.136378331713872</v>
      </c>
      <c r="F5" s="222" t="s">
        <v>206</v>
      </c>
    </row>
    <row r="6" customFormat="false" ht="15.75" hidden="false" customHeight="false" outlineLevel="0" collapsed="false">
      <c r="A6" s="218"/>
      <c r="B6" s="224"/>
      <c r="C6" s="224"/>
      <c r="D6" s="224"/>
      <c r="E6" s="224"/>
    </row>
    <row r="7" customFormat="false" ht="15.75" hidden="false" customHeight="false" outlineLevel="0" collapsed="false">
      <c r="A7" s="218" t="s">
        <v>207</v>
      </c>
      <c r="B7" s="226" t="n">
        <f aca="false">'Balance Sheet'!I76</f>
        <v>79989555.9266419</v>
      </c>
      <c r="C7" s="224"/>
      <c r="D7" s="224"/>
      <c r="E7" s="227"/>
      <c r="F7" s="188"/>
      <c r="G7" s="188"/>
    </row>
    <row r="8" customFormat="false" ht="15.75" hidden="false" customHeight="false" outlineLevel="0" collapsed="false">
      <c r="A8" s="218" t="s">
        <v>163</v>
      </c>
      <c r="B8" s="226" t="n">
        <f aca="false">'Balance Sheet'!I61+'Balance Sheet'!I48</f>
        <v>32701441.8323515</v>
      </c>
      <c r="C8" s="224"/>
      <c r="D8" s="224"/>
      <c r="E8" s="228"/>
      <c r="F8" s="188"/>
      <c r="G8" s="188"/>
    </row>
    <row r="9" customFormat="false" ht="15.75" hidden="false" customHeight="false" outlineLevel="0" collapsed="false">
      <c r="A9" s="218" t="s">
        <v>208</v>
      </c>
      <c r="B9" s="226" t="n">
        <f aca="false">B7+B8</f>
        <v>112690997.758993</v>
      </c>
      <c r="C9" s="224"/>
      <c r="D9" s="229"/>
      <c r="E9" s="230"/>
      <c r="F9" s="231"/>
      <c r="G9" s="188"/>
    </row>
    <row r="10" customFormat="false" ht="15.75" hidden="false" customHeight="false" outlineLevel="0" collapsed="false">
      <c r="D10" s="188"/>
      <c r="E10" s="188"/>
      <c r="F10" s="188"/>
      <c r="G10" s="188"/>
    </row>
    <row r="12" customFormat="false" ht="15.75" hidden="false" customHeight="false" outlineLevel="0" collapsed="false">
      <c r="A12" s="232" t="s">
        <v>209</v>
      </c>
      <c r="C12" s="233" t="s">
        <v>210</v>
      </c>
    </row>
    <row r="13" customFormat="false" ht="15.75" hidden="false" customHeight="false" outlineLevel="0" collapsed="false">
      <c r="A13" s="234" t="s">
        <v>211</v>
      </c>
      <c r="B13" s="235" t="n">
        <f aca="false">B40</f>
        <v>0.039207</v>
      </c>
      <c r="C13" s="236" t="s">
        <v>212</v>
      </c>
    </row>
    <row r="14" customFormat="false" ht="15.75" hidden="false" customHeight="false" outlineLevel="0" collapsed="false">
      <c r="A14" s="234" t="s">
        <v>213</v>
      </c>
      <c r="B14" s="237" t="n">
        <v>0.0423</v>
      </c>
      <c r="C14" s="236" t="s">
        <v>214</v>
      </c>
    </row>
    <row r="15" customFormat="false" ht="15.75" hidden="false" customHeight="false" outlineLevel="0" collapsed="false">
      <c r="A15" s="234" t="s">
        <v>215</v>
      </c>
      <c r="B15" s="237" t="n">
        <v>0.1</v>
      </c>
      <c r="C15" s="236" t="s">
        <v>216</v>
      </c>
    </row>
    <row r="16" customFormat="false" ht="15.75" hidden="false" customHeight="false" outlineLevel="0" collapsed="false">
      <c r="A16" s="234" t="s">
        <v>217</v>
      </c>
      <c r="B16" s="237" t="n">
        <v>0.039</v>
      </c>
      <c r="C16" s="236" t="s">
        <v>218</v>
      </c>
    </row>
    <row r="17" customFormat="false" ht="15.75" hidden="false" customHeight="false" outlineLevel="0" collapsed="false">
      <c r="A17" s="234" t="s">
        <v>219</v>
      </c>
      <c r="B17" s="235" t="n">
        <f aca="false">B14+B16</f>
        <v>0.0813</v>
      </c>
    </row>
    <row r="18" customFormat="false" ht="15.75" hidden="false" customHeight="false" outlineLevel="0" collapsed="false">
      <c r="A18" s="234" t="s">
        <v>220</v>
      </c>
      <c r="B18" s="238" t="n">
        <v>0.78</v>
      </c>
      <c r="C18" s="236" t="s">
        <v>221</v>
      </c>
    </row>
    <row r="19" customFormat="false" ht="15.75" hidden="false" customHeight="false" outlineLevel="0" collapsed="false">
      <c r="A19" s="234" t="s">
        <v>222</v>
      </c>
      <c r="B19" s="239" t="n">
        <f aca="false">B8/B7</f>
        <v>0.408821394912379</v>
      </c>
      <c r="C19" s="236" t="s">
        <v>223</v>
      </c>
    </row>
    <row r="20" customFormat="false" ht="15.75" hidden="false" customHeight="false" outlineLevel="0" collapsed="false">
      <c r="A20" s="234" t="s">
        <v>224</v>
      </c>
      <c r="B20" s="240" t="n">
        <f aca="false">Assumption!D15</f>
        <v>0.2</v>
      </c>
      <c r="C20" s="236" t="s">
        <v>225</v>
      </c>
    </row>
    <row r="21" customFormat="false" ht="15.75" hidden="false" customHeight="false" outlineLevel="0" collapsed="false">
      <c r="A21" s="234" t="s">
        <v>226</v>
      </c>
      <c r="B21" s="241" t="n">
        <f aca="false">B18*(1+(1-B20)*B19)</f>
        <v>1.03510455042532</v>
      </c>
    </row>
    <row r="22" customFormat="false" ht="15.75" hidden="false" customHeight="false" outlineLevel="0" collapsed="false">
      <c r="A22" s="234" t="s">
        <v>227</v>
      </c>
      <c r="B22" s="238" t="n">
        <v>0.7</v>
      </c>
      <c r="C22" s="242" t="s">
        <v>228</v>
      </c>
    </row>
    <row r="23" customFormat="false" ht="15.75" hidden="false" customHeight="false" outlineLevel="0" collapsed="false">
      <c r="A23" s="234" t="s">
        <v>229</v>
      </c>
      <c r="B23" s="241" t="n">
        <f aca="false">B21/B22</f>
        <v>1.47872078632189</v>
      </c>
    </row>
    <row r="24" customFormat="false" ht="15.75" hidden="false" customHeight="false" outlineLevel="0" collapsed="false">
      <c r="A24" s="234" t="s">
        <v>230</v>
      </c>
      <c r="B24" s="235" t="n">
        <f aca="false">B13+B17</f>
        <v>0.120507</v>
      </c>
    </row>
    <row r="26" customFormat="false" ht="15.75" hidden="false" customHeight="false" outlineLevel="0" collapsed="false">
      <c r="A26" s="243" t="s">
        <v>231</v>
      </c>
    </row>
    <row r="28" customFormat="false" ht="15.75" hidden="false" customHeight="false" outlineLevel="0" collapsed="false">
      <c r="A28" s="232" t="s">
        <v>232</v>
      </c>
    </row>
    <row r="29" customFormat="false" ht="22.5" hidden="false" customHeight="true" outlineLevel="0" collapsed="false">
      <c r="A29" s="244" t="s">
        <v>30</v>
      </c>
      <c r="B29" s="244" t="s">
        <v>233</v>
      </c>
      <c r="C29" s="244" t="s">
        <v>234</v>
      </c>
      <c r="D29" s="244" t="s">
        <v>235</v>
      </c>
    </row>
    <row r="30" customFormat="false" ht="15.75" hidden="false" customHeight="false" outlineLevel="0" collapsed="false">
      <c r="A30" s="245" t="n">
        <v>2016</v>
      </c>
      <c r="B30" s="237" t="n">
        <v>0.0695</v>
      </c>
      <c r="C30" s="246" t="s">
        <v>236</v>
      </c>
      <c r="D30" s="247" t="s">
        <v>237</v>
      </c>
    </row>
    <row r="31" customFormat="false" ht="15.75" hidden="false" customHeight="false" outlineLevel="0" collapsed="false">
      <c r="A31" s="245" t="n">
        <v>2017</v>
      </c>
      <c r="B31" s="237" t="n">
        <v>0.0542</v>
      </c>
      <c r="C31" s="246" t="s">
        <v>238</v>
      </c>
      <c r="D31" s="247" t="s">
        <v>239</v>
      </c>
    </row>
    <row r="32" customFormat="false" ht="15.75" hidden="false" customHeight="false" outlineLevel="0" collapsed="false">
      <c r="A32" s="245" t="n">
        <v>2018</v>
      </c>
      <c r="B32" s="237" t="n">
        <v>0.04997</v>
      </c>
      <c r="C32" s="246" t="s">
        <v>240</v>
      </c>
      <c r="D32" s="247" t="s">
        <v>241</v>
      </c>
    </row>
    <row r="33" customFormat="false" ht="15.75" hidden="false" customHeight="false" outlineLevel="0" collapsed="false">
      <c r="A33" s="245" t="n">
        <v>2019</v>
      </c>
      <c r="B33" s="237" t="n">
        <v>0.0342</v>
      </c>
      <c r="C33" s="246" t="s">
        <v>242</v>
      </c>
      <c r="D33" s="247" t="s">
        <v>243</v>
      </c>
    </row>
    <row r="34" customFormat="false" ht="15.75" hidden="false" customHeight="false" outlineLevel="0" collapsed="false">
      <c r="A34" s="245" t="n">
        <v>2020</v>
      </c>
      <c r="B34" s="237" t="n">
        <v>0.0224</v>
      </c>
      <c r="C34" s="246" t="s">
        <v>244</v>
      </c>
      <c r="D34" s="247" t="s">
        <v>245</v>
      </c>
    </row>
    <row r="35" customFormat="false" ht="15.75" hidden="false" customHeight="false" outlineLevel="0" collapsed="false">
      <c r="A35" s="245" t="n">
        <v>2021</v>
      </c>
      <c r="B35" s="237" t="n">
        <v>0.0209</v>
      </c>
      <c r="C35" s="246" t="s">
        <v>246</v>
      </c>
      <c r="D35" s="247" t="s">
        <v>247</v>
      </c>
    </row>
    <row r="36" customFormat="false" ht="15.75" hidden="false" customHeight="false" outlineLevel="0" collapsed="false">
      <c r="A36" s="245" t="n">
        <v>2022</v>
      </c>
      <c r="B36" s="237" t="n">
        <v>0.048</v>
      </c>
      <c r="C36" s="246" t="s">
        <v>248</v>
      </c>
      <c r="D36" s="247" t="s">
        <v>249</v>
      </c>
    </row>
    <row r="37" customFormat="false" ht="15.75" hidden="false" customHeight="false" outlineLevel="0" collapsed="false">
      <c r="A37" s="245" t="n">
        <v>2023</v>
      </c>
      <c r="B37" s="237" t="n">
        <v>0.0228</v>
      </c>
      <c r="C37" s="246" t="s">
        <v>250</v>
      </c>
      <c r="D37" s="247" t="s">
        <v>251</v>
      </c>
    </row>
    <row r="38" customFormat="false" ht="15.75" hidden="false" customHeight="false" outlineLevel="0" collapsed="false">
      <c r="A38" s="245" t="n">
        <v>2024</v>
      </c>
      <c r="B38" s="237" t="n">
        <v>0.0297</v>
      </c>
      <c r="C38" s="246" t="s">
        <v>252</v>
      </c>
      <c r="D38" s="247" t="s">
        <v>253</v>
      </c>
    </row>
    <row r="39" customFormat="false" ht="15.75" hidden="false" customHeight="false" outlineLevel="0" collapsed="false">
      <c r="A39" s="245" t="n">
        <v>2025</v>
      </c>
      <c r="B39" s="237" t="n">
        <v>0.0404</v>
      </c>
      <c r="C39" s="246" t="s">
        <v>254</v>
      </c>
      <c r="D39" s="247" t="s">
        <v>255</v>
      </c>
    </row>
    <row r="40" customFormat="false" ht="15.75" hidden="false" customHeight="false" outlineLevel="0" collapsed="false">
      <c r="A40" s="198" t="s">
        <v>256</v>
      </c>
      <c r="B40" s="248" t="n">
        <f aca="false">AVERAGE(B30:B39)</f>
        <v>0.039207</v>
      </c>
    </row>
    <row r="41" customFormat="false" ht="15.75" hidden="false" customHeight="false" outlineLevel="0" collapsed="false">
      <c r="A41" s="236" t="s">
        <v>257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I26"/>
  <sheetViews>
    <sheetView showFormulas="false" showGridLines="true" showRowColHeaders="true" showZeros="true" rightToLeft="false" tabSelected="false" showOutlineSymbols="true" defaultGridColor="true" view="normal" topLeftCell="A1" colorId="64" zoomScale="118" zoomScaleNormal="118" zoomScalePageLayoutView="100" workbookViewId="0">
      <selection pane="topLeft" activeCell="A21" activeCellId="0" sqref="A21"/>
    </sheetView>
  </sheetViews>
  <sheetFormatPr defaultColWidth="8.73046875" defaultRowHeight="13.5" zeroHeight="false" outlineLevelRow="0" outlineLevelCol="0"/>
  <cols>
    <col collapsed="false" customWidth="true" hidden="false" outlineLevel="0" max="1" min="1" style="224" width="43.18"/>
    <col collapsed="false" customWidth="true" hidden="false" outlineLevel="0" max="2" min="2" style="224" width="1"/>
    <col collapsed="false" customWidth="true" hidden="false" outlineLevel="0" max="3" min="3" style="224" width="20.45"/>
    <col collapsed="false" customWidth="true" hidden="false" outlineLevel="0" max="6" min="4" style="224" width="13.82"/>
    <col collapsed="false" customWidth="false" hidden="false" outlineLevel="0" max="16384" min="7" style="224" width="8.73"/>
  </cols>
  <sheetData>
    <row r="1" customFormat="false" ht="24" hidden="false" customHeight="true" outlineLevel="0" collapsed="false">
      <c r="A1" s="249" t="s">
        <v>11</v>
      </c>
      <c r="B1" s="249"/>
      <c r="C1" s="249"/>
      <c r="D1" s="250"/>
      <c r="E1" s="250"/>
      <c r="F1" s="250"/>
      <c r="G1" s="251"/>
      <c r="H1" s="251"/>
      <c r="I1" s="251"/>
    </row>
    <row r="2" s="10" customFormat="true" ht="13.5" hidden="false" customHeight="false" outlineLevel="0" collapsed="false">
      <c r="D2" s="10" t="n">
        <v>0</v>
      </c>
      <c r="E2" s="10" t="n">
        <v>1</v>
      </c>
      <c r="F2" s="10" t="n">
        <v>2</v>
      </c>
      <c r="G2" s="10" t="n">
        <v>3</v>
      </c>
      <c r="H2" s="10" t="n">
        <v>4</v>
      </c>
      <c r="I2" s="10" t="n">
        <v>5</v>
      </c>
    </row>
    <row r="3" customFormat="false" ht="13.5" hidden="false" customHeight="false" outlineLevel="0" collapsed="false">
      <c r="D3" s="252" t="n">
        <f aca="false">'Income Statement'!D4</f>
        <v>2025</v>
      </c>
      <c r="E3" s="253" t="n">
        <f aca="false">D3+1</f>
        <v>2026</v>
      </c>
      <c r="F3" s="253" t="n">
        <f aca="false">E3+1</f>
        <v>2027</v>
      </c>
      <c r="G3" s="253" t="n">
        <f aca="false">F3+1</f>
        <v>2028</v>
      </c>
      <c r="H3" s="253" t="n">
        <f aca="false">G3+1</f>
        <v>2029</v>
      </c>
      <c r="I3" s="253" t="n">
        <f aca="false">H3+1</f>
        <v>2030</v>
      </c>
    </row>
    <row r="4" customFormat="false" ht="13.5" hidden="false" customHeight="false" outlineLevel="0" collapsed="false">
      <c r="A4" s="254" t="s">
        <v>258</v>
      </c>
      <c r="B4" s="254"/>
      <c r="C4" s="254"/>
      <c r="D4" s="255" t="n">
        <f aca="false">'Income Statement'!D13/'Income Statement'!C13-1</f>
        <v>0.537315376523464</v>
      </c>
      <c r="E4" s="256" t="n">
        <f aca="false">Drivers!F40</f>
        <v>0.339189621922363</v>
      </c>
      <c r="F4" s="256" t="n">
        <f aca="false">Drivers!G40</f>
        <v>0.252329824918865</v>
      </c>
      <c r="G4" s="256" t="n">
        <f aca="false">Drivers!H40</f>
        <v>0.384509736750299</v>
      </c>
      <c r="H4" s="256" t="n">
        <f aca="false">Drivers!I40</f>
        <v>0.28262859705866</v>
      </c>
      <c r="I4" s="256" t="n">
        <f aca="false">Drivers!J40</f>
        <v>0.202772153458088</v>
      </c>
    </row>
    <row r="5" customFormat="false" ht="13.5" hidden="false" customHeight="false" outlineLevel="0" collapsed="false">
      <c r="A5" s="254" t="s">
        <v>259</v>
      </c>
      <c r="B5" s="254"/>
      <c r="C5" s="254"/>
      <c r="D5" s="255" t="n">
        <f aca="false">'Income Statement'!D20/'Income Statement'!D13</f>
        <v>0.489658932310139</v>
      </c>
      <c r="E5" s="257" t="n">
        <f aca="false">Drivers!F83</f>
        <v>0.482445875488389</v>
      </c>
      <c r="F5" s="257" t="n">
        <f aca="false">Drivers!G83</f>
        <v>0.494853975557777</v>
      </c>
      <c r="G5" s="257" t="n">
        <f aca="false">Drivers!H83</f>
        <v>0.551709455095255</v>
      </c>
      <c r="H5" s="257" t="n">
        <f aca="false">Drivers!I83</f>
        <v>0.529321933034939</v>
      </c>
      <c r="I5" s="257" t="n">
        <f aca="false">Drivers!J83</f>
        <v>0.524061045664692</v>
      </c>
    </row>
    <row r="6" customFormat="false" ht="13.5" hidden="false" customHeight="false" outlineLevel="0" collapsed="false">
      <c r="A6" s="254" t="s">
        <v>260</v>
      </c>
      <c r="B6" s="254"/>
      <c r="C6" s="254"/>
      <c r="D6" s="255" t="n">
        <f aca="false">'Income Statement'!D63/'Income Statement'!D13</f>
        <v>0.41437870413087</v>
      </c>
      <c r="E6" s="257" t="n">
        <f aca="false">Drivers!F89</f>
        <v>0.39753446814561</v>
      </c>
      <c r="F6" s="257" t="n">
        <f aca="false">Drivers!G89</f>
        <v>0.392286247762865</v>
      </c>
      <c r="G6" s="257" t="n">
        <f aca="false">Drivers!H89</f>
        <v>0.391520747153781</v>
      </c>
      <c r="H6" s="257" t="n">
        <f aca="false">Drivers!I89</f>
        <v>0.372892599173956</v>
      </c>
      <c r="I6" s="257" t="n">
        <f aca="false">Drivers!J89</f>
        <v>0.360533693958385</v>
      </c>
    </row>
    <row r="7" customFormat="false" ht="13.5" hidden="false" customHeight="false" outlineLevel="0" collapsed="false">
      <c r="A7" s="254" t="s">
        <v>261</v>
      </c>
      <c r="B7" s="254"/>
      <c r="C7" s="254"/>
      <c r="D7" s="255" t="n">
        <f aca="false">'Income Statement'!D69/'Income Statement'!D13</f>
        <v>0.00299037607332679</v>
      </c>
      <c r="E7" s="255" t="n">
        <f aca="false">Drivers!F130</f>
        <v>0.00251689010610546</v>
      </c>
      <c r="F7" s="255" t="n">
        <f aca="false">Drivers!G130</f>
        <v>0.0215097661622556</v>
      </c>
      <c r="G7" s="255" t="n">
        <f aca="false">Drivers!H130</f>
        <v>0.029620424525517</v>
      </c>
      <c r="H7" s="255" t="n">
        <f aca="false">Drivers!I130</f>
        <v>0.0208973532858766</v>
      </c>
      <c r="I7" s="255" t="n">
        <f aca="false">Drivers!J130</f>
        <v>0.0137224626034146</v>
      </c>
    </row>
    <row r="8" customFormat="false" ht="13.5" hidden="false" customHeight="false" outlineLevel="0" collapsed="false">
      <c r="A8" s="254" t="s">
        <v>262</v>
      </c>
      <c r="B8" s="254"/>
      <c r="C8" s="254"/>
      <c r="D8" s="255" t="n">
        <f aca="false">('Balance Sheet'!G22-'Balance Sheet'!G7)/'Income Statement'!D13</f>
        <v>0.159619856659944</v>
      </c>
      <c r="E8" s="257" t="n">
        <f aca="false">(Drivers!F105+Drivers!F107+Drivers!F109)/Drivers!F39</f>
        <v>0.163850164153531</v>
      </c>
      <c r="F8" s="257" t="n">
        <f aca="false">(Drivers!G105+Drivers!G107+Drivers!G109)/Drivers!G39</f>
        <v>0.175444006337744</v>
      </c>
      <c r="G8" s="257" t="n">
        <f aca="false">(Drivers!H105+Drivers!H107+Drivers!H109)/Drivers!H39</f>
        <v>0.195676497163493</v>
      </c>
      <c r="H8" s="257" t="n">
        <f aca="false">(Drivers!I105+Drivers!I107+Drivers!I109)/Drivers!I39</f>
        <v>0.200326037806429</v>
      </c>
      <c r="I8" s="257" t="n">
        <f aca="false">(Drivers!J105+Drivers!J107+Drivers!J109)/Drivers!J39</f>
        <v>0.197271680730586</v>
      </c>
    </row>
    <row r="9" customFormat="false" ht="13.5" hidden="false" customHeight="false" outlineLevel="0" collapsed="false">
      <c r="A9" s="254" t="s">
        <v>263</v>
      </c>
      <c r="B9" s="254"/>
      <c r="C9" s="254"/>
      <c r="D9" s="255" t="n">
        <f aca="false">('Balance Sheet'!G58-'Balance Sheet'!G48)/'Income Statement'!D13</f>
        <v>0.00720834966707064</v>
      </c>
      <c r="E9" s="257" t="n">
        <f aca="false">(Drivers!F111+Drivers!F113)/Drivers!F39</f>
        <v>0.00945350956603803</v>
      </c>
      <c r="F9" s="257" t="n">
        <f aca="false">(Drivers!G111+Drivers!G113)/Drivers!G39</f>
        <v>0.0110204040482005</v>
      </c>
      <c r="G9" s="257" t="n">
        <f aca="false">(Drivers!H111+Drivers!H113)/Drivers!H39</f>
        <v>0.0140633743501663</v>
      </c>
      <c r="H9" s="257" t="n">
        <f aca="false">(Drivers!I111+Drivers!I113)/Drivers!I39</f>
        <v>0.0137201385476766</v>
      </c>
      <c r="I9" s="257" t="n">
        <f aca="false">(Drivers!J111+Drivers!J113)/Drivers!J39</f>
        <v>0.0138547210382108</v>
      </c>
    </row>
    <row r="10" customFormat="false" ht="13.5" hidden="false" customHeight="false" outlineLevel="0" collapsed="false">
      <c r="A10" s="254" t="s">
        <v>264</v>
      </c>
      <c r="B10" s="254"/>
      <c r="C10" s="254"/>
      <c r="D10" s="255" t="n">
        <f aca="false">'Balance Sheet'!G10/('Balance Sheet'!G22-'Balance Sheet'!G7)</f>
        <v>0.493914514643507</v>
      </c>
      <c r="E10" s="257" t="n">
        <f aca="false">Drivers!F105/(Drivers!F105+Drivers!F107+Drivers!F109)</f>
        <v>0.454897900441158</v>
      </c>
      <c r="F10" s="257" t="n">
        <f aca="false">Drivers!G105/(Drivers!G105+Drivers!G107+Drivers!G109)</f>
        <v>0.428455980367297</v>
      </c>
      <c r="G10" s="257" t="n">
        <f aca="false">Drivers!H105/(Drivers!H105+Drivers!H107+Drivers!H109)</f>
        <v>0.431547077320223</v>
      </c>
      <c r="H10" s="257" t="n">
        <f aca="false">Drivers!I105/(Drivers!I105+Drivers!I107+Drivers!I109)</f>
        <v>0.390035453404267</v>
      </c>
      <c r="I10" s="257" t="n">
        <f aca="false">Drivers!J105/(Drivers!J105+Drivers!J107+Drivers!J109)</f>
        <v>0.380591373432891</v>
      </c>
    </row>
    <row r="11" customFormat="false" ht="13.5" hidden="false" customHeight="false" outlineLevel="0" collapsed="false">
      <c r="A11" s="254" t="s">
        <v>265</v>
      </c>
      <c r="B11" s="254"/>
      <c r="C11" s="254"/>
      <c r="D11" s="255" t="n">
        <f aca="false">'Balance Sheet'!G13/('Balance Sheet'!G22-'Balance Sheet'!G7)</f>
        <v>0.232928424889022</v>
      </c>
      <c r="E11" s="257" t="n">
        <f aca="false">Drivers!F107/(Drivers!F105+Drivers!F107+Drivers!F109)</f>
        <v>0.300976619388318</v>
      </c>
      <c r="F11" s="257" t="n">
        <f aca="false">Drivers!G107/(Drivers!G105+Drivers!G107+Drivers!G109)</f>
        <v>0.343551050052444</v>
      </c>
      <c r="G11" s="257" t="n">
        <f aca="false">Drivers!H107/(Drivers!H105+Drivers!H107+Drivers!H109)</f>
        <v>0.364033891371286</v>
      </c>
      <c r="H11" s="257" t="n">
        <f aca="false">Drivers!I107/(Drivers!I105+Drivers!I107+Drivers!I109)</f>
        <v>0.410290053763946</v>
      </c>
      <c r="I11" s="257" t="n">
        <f aca="false">Drivers!J107/(Drivers!J105+Drivers!J107+Drivers!J109)</f>
        <v>0.416642573924064</v>
      </c>
    </row>
    <row r="12" customFormat="false" ht="13.5" hidden="false" customHeight="false" outlineLevel="0" collapsed="false">
      <c r="A12" s="254" t="s">
        <v>266</v>
      </c>
      <c r="B12" s="254"/>
      <c r="C12" s="254"/>
      <c r="D12" s="255" t="n">
        <f aca="false">'Balance Sheet'!G41/('Balance Sheet'!G58-'Balance Sheet'!G48)</f>
        <v>0.769230769230769</v>
      </c>
      <c r="E12" s="257" t="n">
        <f aca="false">Drivers!F111/(Drivers!F111+Drivers!F113)</f>
        <v>0.788438358682679</v>
      </c>
      <c r="F12" s="257" t="n">
        <f aca="false">Drivers!G111/(Drivers!G111+Drivers!G113)</f>
        <v>0.818518450752578</v>
      </c>
      <c r="G12" s="257" t="n">
        <f aca="false">Drivers!H111/(Drivers!H111+Drivers!H113)</f>
        <v>0.857786620038572</v>
      </c>
      <c r="H12" s="257" t="n">
        <f aca="false">Drivers!I111/(Drivers!I111+Drivers!I113)</f>
        <v>0.854228877277724</v>
      </c>
      <c r="I12" s="257" t="n">
        <f aca="false">Drivers!J111/(Drivers!J111+Drivers!J113)</f>
        <v>0.855644874084143</v>
      </c>
    </row>
    <row r="13" customFormat="false" ht="13.5" hidden="false" customHeight="false" outlineLevel="0" collapsed="false">
      <c r="A13" s="254" t="s">
        <v>267</v>
      </c>
      <c r="B13" s="254"/>
      <c r="C13" s="254"/>
      <c r="D13" s="255" t="n">
        <f aca="false">'Pro Forma'!B25/'Income Statement'!D13</f>
        <v>0.106937776598666</v>
      </c>
      <c r="E13" s="257" t="n">
        <f aca="false">Drivers!F93</f>
        <v>0.2</v>
      </c>
      <c r="F13" s="257" t="n">
        <f aca="false">Drivers!G93</f>
        <v>0.65</v>
      </c>
      <c r="G13" s="258" t="n">
        <f aca="false">Drivers!H93</f>
        <v>0.12</v>
      </c>
      <c r="H13" s="257" t="n">
        <f aca="false">Drivers!I93</f>
        <v>0.1</v>
      </c>
      <c r="I13" s="257" t="n">
        <f aca="false">Drivers!J93</f>
        <v>0.1</v>
      </c>
    </row>
    <row r="15" customFormat="false" ht="13.5" hidden="false" customHeight="false" outlineLevel="0" collapsed="false">
      <c r="A15" s="259" t="s">
        <v>268</v>
      </c>
      <c r="B15" s="259"/>
      <c r="C15" s="259"/>
      <c r="D15" s="260" t="n">
        <v>0.2</v>
      </c>
      <c r="E15" s="261" t="s">
        <v>269</v>
      </c>
    </row>
    <row r="16" customFormat="false" ht="13.5" hidden="false" customHeight="false" outlineLevel="0" collapsed="false">
      <c r="A16" s="259" t="s">
        <v>270</v>
      </c>
      <c r="B16" s="259"/>
      <c r="C16" s="259"/>
      <c r="D16" s="262" t="n">
        <v>0.05</v>
      </c>
      <c r="E16" s="261" t="s">
        <v>271</v>
      </c>
    </row>
    <row r="17" customFormat="false" ht="13.5" hidden="false" customHeight="false" outlineLevel="0" collapsed="false">
      <c r="A17" s="259" t="s">
        <v>272</v>
      </c>
      <c r="B17" s="259"/>
      <c r="C17" s="259"/>
      <c r="D17" s="263" t="n">
        <v>0.12</v>
      </c>
      <c r="E17" s="261" t="s">
        <v>273</v>
      </c>
    </row>
    <row r="18" customFormat="false" ht="13.5" hidden="false" customHeight="false" outlineLevel="0" collapsed="false">
      <c r="A18" s="259" t="s">
        <v>274</v>
      </c>
      <c r="B18" s="259"/>
      <c r="C18" s="259"/>
      <c r="D18" s="264" t="n">
        <f aca="false">'Discount rate'!E5</f>
        <v>0.136378331713872</v>
      </c>
      <c r="E18" s="261" t="s">
        <v>275</v>
      </c>
    </row>
    <row r="19" customFormat="false" ht="13.5" hidden="false" customHeight="false" outlineLevel="0" collapsed="false">
      <c r="A19" s="265" t="s">
        <v>276</v>
      </c>
      <c r="D19" s="266" t="n">
        <f aca="false">DCF!B39</f>
        <v>0.138811531585547</v>
      </c>
      <c r="E19" s="267" t="s">
        <v>277</v>
      </c>
    </row>
    <row r="21" customFormat="false" ht="13.5" hidden="false" customHeight="false" outlineLevel="0" collapsed="false">
      <c r="A21" s="243" t="s">
        <v>278</v>
      </c>
    </row>
    <row r="23" customFormat="false" ht="13.5" hidden="false" customHeight="false" outlineLevel="0" collapsed="false">
      <c r="C23" s="268"/>
      <c r="D23" s="268"/>
      <c r="E23" s="268"/>
      <c r="F23" s="268"/>
    </row>
    <row r="24" customFormat="false" ht="15" hidden="false" customHeight="true" outlineLevel="0" collapsed="false">
      <c r="D24" s="269"/>
      <c r="E24" s="269"/>
      <c r="F24" s="269"/>
    </row>
    <row r="25" customFormat="false" ht="15" hidden="false" customHeight="true" outlineLevel="0" collapsed="false">
      <c r="D25" s="269"/>
      <c r="E25" s="269"/>
      <c r="F25" s="269"/>
    </row>
    <row r="26" customFormat="false" ht="15" hidden="false" customHeight="true" outlineLevel="0" collapsed="false">
      <c r="D26" s="270"/>
      <c r="E26" s="270"/>
      <c r="F26" s="27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1E2B"/>
    <pageSetUpPr fitToPage="false"/>
  </sheetPr>
  <dimension ref="A1:K168"/>
  <sheetViews>
    <sheetView showFormulas="false" showGridLines="true" showRowColHeaders="true" showZeros="true" rightToLeft="false" tabSelected="false" showOutlineSymbols="true" defaultGridColor="true" view="normal" topLeftCell="A1" colorId="64" zoomScale="94" zoomScaleNormal="94" zoomScalePageLayoutView="100" workbookViewId="0">
      <pane xSplit="2" ySplit="7" topLeftCell="J136" activePane="bottomRight" state="frozen"/>
      <selection pane="topLeft" activeCell="A1" activeCellId="0" sqref="A1"/>
      <selection pane="topRight" activeCell="J1" activeCellId="0" sqref="J1"/>
      <selection pane="bottomLeft" activeCell="A136" activeCellId="0" sqref="A136"/>
      <selection pane="bottomRight" activeCell="C160" activeCellId="0" sqref="C160"/>
    </sheetView>
  </sheetViews>
  <sheetFormatPr defaultColWidth="8.54296875" defaultRowHeight="15" zeroHeight="false" outlineLevelRow="0" outlineLevelCol="0"/>
  <cols>
    <col collapsed="false" customWidth="true" hidden="false" outlineLevel="0" max="1" min="1" style="0" width="58"/>
    <col collapsed="false" customWidth="true" hidden="false" outlineLevel="0" max="2" min="2" style="0" width="18"/>
    <col collapsed="false" customWidth="true" hidden="false" outlineLevel="0" max="10" min="3" style="0" width="14"/>
    <col collapsed="false" customWidth="true" hidden="false" outlineLevel="0" max="11" min="11" style="0" width="120"/>
  </cols>
  <sheetData>
    <row r="1" customFormat="false" ht="17.25" hidden="false" customHeight="true" outlineLevel="0" collapsed="false">
      <c r="A1" s="271" t="s">
        <v>279</v>
      </c>
    </row>
    <row r="2" customFormat="false" ht="15" hidden="false" customHeight="false" outlineLevel="0" collapsed="false">
      <c r="A2" s="247" t="s">
        <v>280</v>
      </c>
    </row>
    <row r="3" customFormat="false" ht="15" hidden="false" customHeight="false" outlineLevel="0" collapsed="false">
      <c r="A3" s="198" t="s">
        <v>281</v>
      </c>
      <c r="C3" s="272" t="n">
        <v>2</v>
      </c>
      <c r="D3" s="198" t="str">
        <f aca="false">CHOOSE(C3,"Bear","Base","Bull")</f>
        <v>Base</v>
      </c>
      <c r="K3" s="247" t="s">
        <v>282</v>
      </c>
    </row>
    <row r="4" customFormat="false" ht="15" hidden="false" customHeight="false" outlineLevel="0" collapsed="false">
      <c r="A4" s="198" t="s">
        <v>283</v>
      </c>
      <c r="C4" s="272" t="n">
        <v>2027</v>
      </c>
      <c r="K4" s="247" t="s">
        <v>284</v>
      </c>
    </row>
    <row r="6" customFormat="false" ht="15" hidden="false" customHeight="false" outlineLevel="0" collapsed="false">
      <c r="A6" s="273" t="s">
        <v>285</v>
      </c>
      <c r="B6" s="273" t="s">
        <v>286</v>
      </c>
      <c r="C6" s="273" t="s">
        <v>287</v>
      </c>
      <c r="D6" s="273" t="s">
        <v>288</v>
      </c>
      <c r="E6" s="273" t="s">
        <v>289</v>
      </c>
      <c r="F6" s="273" t="s">
        <v>290</v>
      </c>
      <c r="G6" s="273" t="s">
        <v>291</v>
      </c>
      <c r="H6" s="273" t="s">
        <v>292</v>
      </c>
      <c r="I6" s="273" t="s">
        <v>293</v>
      </c>
      <c r="J6" s="273" t="s">
        <v>294</v>
      </c>
      <c r="K6" s="273" t="s">
        <v>210</v>
      </c>
    </row>
    <row r="7" customFormat="false" ht="15" hidden="false" customHeight="false" outlineLevel="0" collapsed="false">
      <c r="A7" s="236" t="s">
        <v>295</v>
      </c>
      <c r="C7" s="274" t="n">
        <v>2023</v>
      </c>
      <c r="D7" s="274" t="n">
        <v>2024</v>
      </c>
      <c r="E7" s="274" t="n">
        <v>2025</v>
      </c>
      <c r="F7" s="274" t="n">
        <v>2026</v>
      </c>
      <c r="G7" s="274" t="n">
        <v>2027</v>
      </c>
      <c r="H7" s="274" t="n">
        <v>2028</v>
      </c>
      <c r="I7" s="274" t="n">
        <v>2029</v>
      </c>
      <c r="J7" s="274" t="n">
        <v>2030</v>
      </c>
    </row>
    <row r="8" customFormat="false" ht="15" hidden="false" customHeight="false" outlineLevel="0" collapsed="false">
      <c r="A8" s="275" t="s">
        <v>296</v>
      </c>
      <c r="B8" s="276"/>
      <c r="C8" s="276"/>
      <c r="D8" s="276"/>
      <c r="E8" s="276"/>
      <c r="F8" s="276"/>
      <c r="G8" s="276"/>
      <c r="H8" s="276"/>
      <c r="I8" s="276"/>
      <c r="J8" s="276"/>
      <c r="K8" s="276"/>
    </row>
    <row r="9" customFormat="false" ht="15" hidden="false" customHeight="false" outlineLevel="0" collapsed="false">
      <c r="A9" s="277" t="s">
        <v>297</v>
      </c>
    </row>
    <row r="10" customFormat="false" ht="20.25" hidden="false" customHeight="true" outlineLevel="0" collapsed="false">
      <c r="A10" s="234" t="s">
        <v>298</v>
      </c>
      <c r="B10" s="247" t="s">
        <v>299</v>
      </c>
      <c r="E10" s="278" t="n">
        <v>2.5</v>
      </c>
      <c r="F10" s="279" t="n">
        <f aca="false">E10*(1+F11)</f>
        <v>2.55</v>
      </c>
      <c r="G10" s="279" t="n">
        <f aca="false">F10*(1+G11)</f>
        <v>2.601</v>
      </c>
      <c r="H10" s="279" t="n">
        <f aca="false">G10*(1+H11)</f>
        <v>2.65302</v>
      </c>
      <c r="I10" s="279" t="n">
        <f aca="false">H10*(1+I11)</f>
        <v>2.7060804</v>
      </c>
      <c r="J10" s="279" t="n">
        <f aca="false">I10*(1+J11)</f>
        <v>2.760202008</v>
      </c>
      <c r="K10" s="280" t="s">
        <v>300</v>
      </c>
    </row>
    <row r="11" customFormat="false" ht="20.25" hidden="false" customHeight="true" outlineLevel="0" collapsed="false">
      <c r="A11" s="234" t="s">
        <v>301</v>
      </c>
      <c r="B11" s="247" t="s">
        <v>302</v>
      </c>
      <c r="F11" s="239" t="n">
        <f aca="false">INDEX($C$143:$E$143,$C$3)</f>
        <v>0.02</v>
      </c>
      <c r="G11" s="239" t="n">
        <f aca="false">INDEX($C$143:$E$143,$C$3)</f>
        <v>0.02</v>
      </c>
      <c r="H11" s="239" t="n">
        <f aca="false">INDEX($C$143:$E$143,$C$3)</f>
        <v>0.02</v>
      </c>
      <c r="I11" s="239" t="n">
        <f aca="false">INDEX($C$143:$E$143,$C$3)</f>
        <v>0.02</v>
      </c>
      <c r="J11" s="239" t="n">
        <f aca="false">INDEX($C$143:$E$143,$C$3)</f>
        <v>0.02</v>
      </c>
      <c r="K11" s="280" t="s">
        <v>303</v>
      </c>
    </row>
    <row r="12" customFormat="false" ht="15" hidden="false" customHeight="false" outlineLevel="0" collapsed="false">
      <c r="A12" s="234" t="s">
        <v>304</v>
      </c>
      <c r="B12" s="247" t="s">
        <v>305</v>
      </c>
      <c r="C12" s="281" t="n">
        <f aca="false">C14/$E$10</f>
        <v>6022000</v>
      </c>
      <c r="D12" s="281" t="n">
        <f aca="false">D14/$E$10</f>
        <v>9635200</v>
      </c>
      <c r="E12" s="281" t="n">
        <f aca="false">E14/$E$10</f>
        <v>15223616</v>
      </c>
      <c r="F12" s="281" t="n">
        <f aca="false">E12*(1+F13)</f>
        <v>20095173.12</v>
      </c>
      <c r="G12" s="281" t="n">
        <f aca="false">F12*(1+G13)</f>
        <v>24516111.2064</v>
      </c>
      <c r="H12" s="281" t="n">
        <f aca="false">G12*(1+H13)</f>
        <v>33096750.12864</v>
      </c>
      <c r="I12" s="281" t="n">
        <f aca="false">H12*(1+I13)</f>
        <v>41370937.6608</v>
      </c>
      <c r="J12" s="281" t="n">
        <f aca="false">I12*(1+J13)</f>
        <v>48403997.063136</v>
      </c>
      <c r="K12" s="247" t="s">
        <v>306</v>
      </c>
    </row>
    <row r="13" customFormat="false" ht="20.25" hidden="false" customHeight="true" outlineLevel="0" collapsed="false">
      <c r="A13" s="234" t="s">
        <v>307</v>
      </c>
      <c r="B13" s="247" t="s">
        <v>308</v>
      </c>
      <c r="D13" s="239" t="n">
        <f aca="false">D12/C12-1</f>
        <v>0.6</v>
      </c>
      <c r="E13" s="239" t="n">
        <f aca="false">E12/D12-1</f>
        <v>0.58</v>
      </c>
      <c r="F13" s="239" t="n">
        <f aca="false">IF($C$4=2027,F149,F150)*INDEX($C$142:$E$142,$C$3)</f>
        <v>0.32</v>
      </c>
      <c r="G13" s="239" t="n">
        <f aca="false">IF($C$4=2027,G149,G150)*INDEX($C$142:$E$142,$C$3)</f>
        <v>0.22</v>
      </c>
      <c r="H13" s="239" t="n">
        <f aca="false">IF($C$4=2027,H149,H150)*INDEX($C$142:$E$142,$C$3)</f>
        <v>0.35</v>
      </c>
      <c r="I13" s="239" t="n">
        <f aca="false">IF($C$4=2027,I149,I150)*INDEX($C$142:$E$142,$C$3)</f>
        <v>0.25</v>
      </c>
      <c r="J13" s="239" t="n">
        <f aca="false">IF($C$4=2027,J149,J150)*INDEX($C$142:$E$142,$C$3)</f>
        <v>0.17</v>
      </c>
      <c r="K13" s="280" t="s">
        <v>309</v>
      </c>
    </row>
    <row r="14" customFormat="false" ht="15" hidden="false" customHeight="false" outlineLevel="0" collapsed="false">
      <c r="A14" s="198" t="s">
        <v>310</v>
      </c>
      <c r="B14" s="247" t="s">
        <v>311</v>
      </c>
      <c r="C14" s="282" t="n">
        <f aca="false">'Income Statement'!B6</f>
        <v>15055000</v>
      </c>
      <c r="D14" s="282" t="n">
        <f aca="false">'Income Statement'!C6</f>
        <v>24088000</v>
      </c>
      <c r="E14" s="282" t="n">
        <f aca="false">'Income Statement'!D6</f>
        <v>38059040</v>
      </c>
      <c r="F14" s="283" t="n">
        <f aca="false">F12*F10</f>
        <v>51242691.456</v>
      </c>
      <c r="G14" s="283" t="n">
        <f aca="false">G12*G10</f>
        <v>63766405.2478464</v>
      </c>
      <c r="H14" s="283" t="n">
        <f aca="false">H12*H10</f>
        <v>87806340.0262845</v>
      </c>
      <c r="I14" s="283" t="n">
        <f aca="false">I12*I10</f>
        <v>111953083.533513</v>
      </c>
      <c r="J14" s="283" t="n">
        <f aca="false">J12*J10</f>
        <v>133604809.888894</v>
      </c>
    </row>
    <row r="16" customFormat="false" ht="15" hidden="false" customHeight="false" outlineLevel="0" collapsed="false">
      <c r="A16" s="277" t="s">
        <v>312</v>
      </c>
    </row>
    <row r="17" customFormat="false" ht="15" hidden="false" customHeight="false" outlineLevel="0" collapsed="false">
      <c r="A17" s="234" t="s">
        <v>313</v>
      </c>
      <c r="B17" s="247" t="s">
        <v>314</v>
      </c>
      <c r="E17" s="284" t="n">
        <v>20000</v>
      </c>
      <c r="F17" s="281" t="n">
        <f aca="false">E17*(1+F18)</f>
        <v>20400</v>
      </c>
      <c r="G17" s="281" t="n">
        <f aca="false">F17*(1+G18)</f>
        <v>20808</v>
      </c>
      <c r="H17" s="281" t="n">
        <f aca="false">G17*(1+H18)</f>
        <v>21224.16</v>
      </c>
      <c r="I17" s="281" t="n">
        <f aca="false">H17*(1+I18)</f>
        <v>21648.6432</v>
      </c>
      <c r="J17" s="281" t="n">
        <f aca="false">I17*(1+J18)</f>
        <v>22081.616064</v>
      </c>
      <c r="K17" s="280" t="s">
        <v>315</v>
      </c>
    </row>
    <row r="18" customFormat="false" ht="15" hidden="false" customHeight="false" outlineLevel="0" collapsed="false">
      <c r="A18" s="234" t="s">
        <v>316</v>
      </c>
      <c r="B18" s="247" t="s">
        <v>302</v>
      </c>
      <c r="F18" s="239" t="n">
        <f aca="false">F11</f>
        <v>0.02</v>
      </c>
      <c r="G18" s="239" t="n">
        <f aca="false">G11</f>
        <v>0.02</v>
      </c>
      <c r="H18" s="239" t="n">
        <f aca="false">H11</f>
        <v>0.02</v>
      </c>
      <c r="I18" s="239" t="n">
        <f aca="false">I11</f>
        <v>0.02</v>
      </c>
      <c r="J18" s="239" t="n">
        <f aca="false">J11</f>
        <v>0.02</v>
      </c>
    </row>
    <row r="19" customFormat="false" ht="15" hidden="false" customHeight="false" outlineLevel="0" collapsed="false">
      <c r="A19" s="234" t="s">
        <v>317</v>
      </c>
      <c r="B19" s="247" t="s">
        <v>318</v>
      </c>
      <c r="C19" s="281" t="n">
        <f aca="false">C21/$E$17</f>
        <v>151</v>
      </c>
      <c r="D19" s="281" t="n">
        <f aca="false">D21/$E$17</f>
        <v>211.4</v>
      </c>
      <c r="E19" s="281" t="n">
        <f aca="false">E21/$E$17</f>
        <v>294.903</v>
      </c>
      <c r="F19" s="281" t="n">
        <f aca="false">E19*(1+F20)</f>
        <v>359.78166</v>
      </c>
      <c r="G19" s="281" t="n">
        <f aca="false">F19*(1+G20)</f>
        <v>424.5423588</v>
      </c>
      <c r="H19" s="281" t="n">
        <f aca="false">G19*(1+H20)</f>
        <v>543.414219264</v>
      </c>
      <c r="I19" s="281" t="n">
        <f aca="false">H19*(1+I20)</f>
        <v>652.0970631168</v>
      </c>
      <c r="J19" s="281" t="n">
        <f aca="false">I19*(1+J20)</f>
        <v>749.91162258432</v>
      </c>
    </row>
    <row r="20" customFormat="false" ht="20.25" hidden="false" customHeight="true" outlineLevel="0" collapsed="false">
      <c r="A20" s="234" t="s">
        <v>319</v>
      </c>
      <c r="B20" s="247" t="s">
        <v>308</v>
      </c>
      <c r="D20" s="239" t="n">
        <f aca="false">D19/C19-1</f>
        <v>0.4</v>
      </c>
      <c r="E20" s="239" t="n">
        <f aca="false">E19/D19-1</f>
        <v>0.395</v>
      </c>
      <c r="F20" s="239" t="n">
        <f aca="false">F151*INDEX($C$142:$E$142,$C$3)</f>
        <v>0.22</v>
      </c>
      <c r="G20" s="239" t="n">
        <f aca="false">G151*INDEX($C$142:$E$142,$C$3)</f>
        <v>0.18</v>
      </c>
      <c r="H20" s="239" t="n">
        <f aca="false">H151*INDEX($C$142:$E$142,$C$3)</f>
        <v>0.28</v>
      </c>
      <c r="I20" s="239" t="n">
        <f aca="false">I151*INDEX($C$142:$E$142,$C$3)</f>
        <v>0.2</v>
      </c>
      <c r="J20" s="239" t="n">
        <f aca="false">J151*INDEX($C$142:$E$142,$C$3)</f>
        <v>0.15</v>
      </c>
      <c r="K20" s="280" t="s">
        <v>320</v>
      </c>
    </row>
    <row r="21" customFormat="false" ht="15" hidden="false" customHeight="false" outlineLevel="0" collapsed="false">
      <c r="A21" s="198" t="s">
        <v>321</v>
      </c>
      <c r="B21" s="247" t="s">
        <v>311</v>
      </c>
      <c r="C21" s="282" t="n">
        <f aca="false">'Income Statement'!B7</f>
        <v>3020000</v>
      </c>
      <c r="D21" s="282" t="n">
        <f aca="false">'Income Statement'!C7</f>
        <v>4228000</v>
      </c>
      <c r="E21" s="282" t="n">
        <f aca="false">'Income Statement'!D7</f>
        <v>5898060</v>
      </c>
      <c r="F21" s="283" t="n">
        <f aca="false">F19*F17</f>
        <v>7339545.864</v>
      </c>
      <c r="G21" s="283" t="n">
        <f aca="false">G19*G17</f>
        <v>8833877.4019104</v>
      </c>
      <c r="H21" s="283" t="n">
        <f aca="false">H19*H17</f>
        <v>11533510.3359342</v>
      </c>
      <c r="I21" s="283" t="n">
        <f aca="false">I19*I17</f>
        <v>14117016.6511835</v>
      </c>
      <c r="J21" s="283" t="n">
        <f aca="false">J19*J17</f>
        <v>16559260.5318382</v>
      </c>
    </row>
    <row r="23" customFormat="false" ht="15" hidden="false" customHeight="false" outlineLevel="0" collapsed="false">
      <c r="A23" s="277" t="s">
        <v>322</v>
      </c>
    </row>
    <row r="24" customFormat="false" ht="15" hidden="false" customHeight="false" outlineLevel="0" collapsed="false">
      <c r="A24" s="234" t="s">
        <v>323</v>
      </c>
      <c r="B24" s="247" t="s">
        <v>324</v>
      </c>
      <c r="E24" s="278" t="n">
        <v>22.5</v>
      </c>
      <c r="F24" s="279" t="n">
        <f aca="false">E24*(1+F25)</f>
        <v>22.8375</v>
      </c>
      <c r="G24" s="279" t="n">
        <f aca="false">F24*(1+G25)</f>
        <v>23.1800625</v>
      </c>
      <c r="H24" s="279" t="n">
        <f aca="false">G24*(1+H25)</f>
        <v>23.5277634375</v>
      </c>
      <c r="I24" s="279" t="n">
        <f aca="false">H24*(1+I25)</f>
        <v>23.8806798890625</v>
      </c>
      <c r="J24" s="279" t="n">
        <f aca="false">I24*(1+J25)</f>
        <v>24.2388900873984</v>
      </c>
      <c r="K24" s="280" t="s">
        <v>325</v>
      </c>
    </row>
    <row r="25" customFormat="false" ht="15" hidden="false" customHeight="false" outlineLevel="0" collapsed="false">
      <c r="A25" s="234" t="s">
        <v>316</v>
      </c>
      <c r="B25" s="247" t="s">
        <v>302</v>
      </c>
      <c r="F25" s="239" t="n">
        <f aca="false">INDEX($C$144:$E$144,$C$3)</f>
        <v>0.015</v>
      </c>
      <c r="G25" s="239" t="n">
        <f aca="false">INDEX($C$144:$E$144,$C$3)</f>
        <v>0.015</v>
      </c>
      <c r="H25" s="239" t="n">
        <f aca="false">INDEX($C$144:$E$144,$C$3)</f>
        <v>0.015</v>
      </c>
      <c r="I25" s="239" t="n">
        <f aca="false">INDEX($C$144:$E$144,$C$3)</f>
        <v>0.015</v>
      </c>
      <c r="J25" s="239" t="n">
        <f aca="false">INDEX($C$144:$E$144,$C$3)</f>
        <v>0.015</v>
      </c>
      <c r="K25" s="280" t="s">
        <v>326</v>
      </c>
    </row>
    <row r="26" customFormat="false" ht="15" hidden="false" customHeight="false" outlineLevel="0" collapsed="false">
      <c r="A26" s="234" t="s">
        <v>327</v>
      </c>
      <c r="B26" s="247" t="s">
        <v>328</v>
      </c>
      <c r="C26" s="281" t="n">
        <f aca="false">C28/$E$24</f>
        <v>67555.5555555556</v>
      </c>
      <c r="D26" s="281" t="n">
        <f aca="false">D28/$E$24</f>
        <v>101333.333333333</v>
      </c>
      <c r="E26" s="281" t="n">
        <f aca="false">E28/$E$24</f>
        <v>121600</v>
      </c>
      <c r="F26" s="281" t="n">
        <f aca="false">E26*(1+F27)</f>
        <v>158080</v>
      </c>
      <c r="G26" s="281" t="n">
        <f aca="false">F26*(1+G27)</f>
        <v>205504</v>
      </c>
      <c r="H26" s="281" t="n">
        <f aca="false">G26*(1+H27)</f>
        <v>287705.6</v>
      </c>
      <c r="I26" s="281" t="n">
        <f aca="false">H26*(1+I27)</f>
        <v>379771.392</v>
      </c>
      <c r="J26" s="281" t="n">
        <f aca="false">I26*(1+J27)</f>
        <v>474714.24</v>
      </c>
    </row>
    <row r="27" customFormat="false" ht="15" hidden="false" customHeight="false" outlineLevel="0" collapsed="false">
      <c r="A27" s="234" t="s">
        <v>329</v>
      </c>
      <c r="B27" s="247" t="s">
        <v>308</v>
      </c>
      <c r="D27" s="239" t="n">
        <f aca="false">D26/C26-1</f>
        <v>0.5</v>
      </c>
      <c r="E27" s="239" t="n">
        <f aca="false">E26/D26-1</f>
        <v>0.2</v>
      </c>
      <c r="F27" s="239" t="n">
        <f aca="false">F152*INDEX($C$142:$E$142,$C$3)</f>
        <v>0.3</v>
      </c>
      <c r="G27" s="239" t="n">
        <f aca="false">G152*INDEX($C$142:$E$142,$C$3)</f>
        <v>0.3</v>
      </c>
      <c r="H27" s="239" t="n">
        <f aca="false">H152*INDEX($C$142:$E$142,$C$3)</f>
        <v>0.4</v>
      </c>
      <c r="I27" s="239" t="n">
        <f aca="false">I152*INDEX($C$142:$E$142,$C$3)</f>
        <v>0.32</v>
      </c>
      <c r="J27" s="239" t="n">
        <f aca="false">J152*INDEX($C$142:$E$142,$C$3)</f>
        <v>0.25</v>
      </c>
      <c r="K27" s="280" t="s">
        <v>330</v>
      </c>
    </row>
    <row r="28" customFormat="false" ht="15" hidden="false" customHeight="false" outlineLevel="0" collapsed="false">
      <c r="A28" s="198" t="s">
        <v>331</v>
      </c>
      <c r="B28" s="247" t="s">
        <v>311</v>
      </c>
      <c r="C28" s="282" t="n">
        <f aca="false">'Income Statement'!B8</f>
        <v>1520000</v>
      </c>
      <c r="D28" s="282" t="n">
        <f aca="false">'Income Statement'!C8</f>
        <v>2280000</v>
      </c>
      <c r="E28" s="282" t="n">
        <f aca="false">'Income Statement'!D8</f>
        <v>2736000</v>
      </c>
      <c r="F28" s="283" t="n">
        <f aca="false">F26*F24</f>
        <v>3610152</v>
      </c>
      <c r="G28" s="283" t="n">
        <f aca="false">G26*G24</f>
        <v>4763595.564</v>
      </c>
      <c r="H28" s="283" t="n">
        <f aca="false">H26*H24</f>
        <v>6769069.296444</v>
      </c>
      <c r="I28" s="283" t="n">
        <f aca="false">I26*I24</f>
        <v>9069199.04337567</v>
      </c>
      <c r="J28" s="283" t="n">
        <f aca="false">J26*J24</f>
        <v>11506546.2862829</v>
      </c>
    </row>
    <row r="30" customFormat="false" ht="15" hidden="false" customHeight="false" outlineLevel="0" collapsed="false">
      <c r="A30" s="277" t="s">
        <v>332</v>
      </c>
    </row>
    <row r="31" customFormat="false" ht="15" hidden="false" customHeight="false" outlineLevel="0" collapsed="false">
      <c r="A31" s="234" t="s">
        <v>323</v>
      </c>
      <c r="B31" s="247" t="s">
        <v>324</v>
      </c>
      <c r="E31" s="278" t="n">
        <v>40</v>
      </c>
      <c r="F31" s="279" t="n">
        <f aca="false">E31*(1+F32)</f>
        <v>40.6</v>
      </c>
      <c r="G31" s="279" t="n">
        <f aca="false">F31*(1+G32)</f>
        <v>41.209</v>
      </c>
      <c r="H31" s="279" t="n">
        <f aca="false">G31*(1+H32)</f>
        <v>41.827135</v>
      </c>
      <c r="I31" s="279" t="n">
        <f aca="false">H31*(1+I32)</f>
        <v>42.454542025</v>
      </c>
      <c r="J31" s="279" t="n">
        <f aca="false">I31*(1+J32)</f>
        <v>43.091360155375</v>
      </c>
      <c r="K31" s="280" t="s">
        <v>333</v>
      </c>
    </row>
    <row r="32" customFormat="false" ht="15" hidden="false" customHeight="false" outlineLevel="0" collapsed="false">
      <c r="A32" s="234" t="s">
        <v>316</v>
      </c>
      <c r="B32" s="247" t="s">
        <v>302</v>
      </c>
      <c r="F32" s="239" t="n">
        <f aca="false">F25</f>
        <v>0.015</v>
      </c>
      <c r="G32" s="239" t="n">
        <f aca="false">G25</f>
        <v>0.015</v>
      </c>
      <c r="H32" s="239" t="n">
        <f aca="false">H25</f>
        <v>0.015</v>
      </c>
      <c r="I32" s="239" t="n">
        <f aca="false">I25</f>
        <v>0.015</v>
      </c>
      <c r="J32" s="239" t="n">
        <f aca="false">J25</f>
        <v>0.015</v>
      </c>
    </row>
    <row r="33" customFormat="false" ht="15" hidden="false" customHeight="false" outlineLevel="0" collapsed="false">
      <c r="A33" s="234" t="s">
        <v>327</v>
      </c>
      <c r="B33" s="247" t="s">
        <v>328</v>
      </c>
      <c r="C33" s="281" t="n">
        <f aca="false">C35/$E$31</f>
        <v>0</v>
      </c>
      <c r="D33" s="281" t="n">
        <f aca="false">D35/$E$31</f>
        <v>14150</v>
      </c>
      <c r="E33" s="281" t="n">
        <f aca="false">E35/$E$31</f>
        <v>29715</v>
      </c>
      <c r="F33" s="281" t="n">
        <f aca="false">E33*(1+F34)</f>
        <v>47544</v>
      </c>
      <c r="G33" s="281" t="n">
        <f aca="false">F33*(1+G34)</f>
        <v>71316</v>
      </c>
      <c r="H33" s="281" t="n">
        <f aca="false">G33*(1+H34)</f>
        <v>121237.2</v>
      </c>
      <c r="I33" s="281" t="n">
        <f aca="false">H33*(1+I34)</f>
        <v>175793.94</v>
      </c>
      <c r="J33" s="281" t="n">
        <f aca="false">I33*(1+J34)</f>
        <v>228532.122</v>
      </c>
    </row>
    <row r="34" customFormat="false" ht="20.25" hidden="false" customHeight="true" outlineLevel="0" collapsed="false">
      <c r="A34" s="234" t="s">
        <v>329</v>
      </c>
      <c r="B34" s="247" t="s">
        <v>308</v>
      </c>
      <c r="E34" s="239" t="n">
        <f aca="false">E33/D33-1</f>
        <v>1.1</v>
      </c>
      <c r="F34" s="239" t="n">
        <f aca="false">F153*INDEX($C$142:$E$142,$C$3)</f>
        <v>0.6</v>
      </c>
      <c r="G34" s="239" t="n">
        <f aca="false">G153*INDEX($C$142:$E$142,$C$3)</f>
        <v>0.5</v>
      </c>
      <c r="H34" s="239" t="n">
        <f aca="false">H153*INDEX($C$142:$E$142,$C$3)</f>
        <v>0.7</v>
      </c>
      <c r="I34" s="239" t="n">
        <f aca="false">I153*INDEX($C$142:$E$142,$C$3)</f>
        <v>0.45</v>
      </c>
      <c r="J34" s="239" t="n">
        <f aca="false">J153*INDEX($C$142:$E$142,$C$3)</f>
        <v>0.3</v>
      </c>
      <c r="K34" s="280" t="s">
        <v>334</v>
      </c>
    </row>
    <row r="35" customFormat="false" ht="15" hidden="false" customHeight="false" outlineLevel="0" collapsed="false">
      <c r="A35" s="198" t="s">
        <v>335</v>
      </c>
      <c r="B35" s="247" t="s">
        <v>311</v>
      </c>
      <c r="C35" s="282" t="n">
        <f aca="false">'Income Statement'!B9</f>
        <v>0</v>
      </c>
      <c r="D35" s="282" t="n">
        <f aca="false">'Income Statement'!C9</f>
        <v>566000</v>
      </c>
      <c r="E35" s="282" t="n">
        <f aca="false">'Income Statement'!D9</f>
        <v>1188600</v>
      </c>
      <c r="F35" s="283" t="n">
        <f aca="false">F33*F31</f>
        <v>1930286.4</v>
      </c>
      <c r="G35" s="283" t="n">
        <f aca="false">G33*G31</f>
        <v>2938861.044</v>
      </c>
      <c r="H35" s="283" t="n">
        <f aca="false">H33*H31</f>
        <v>5071004.731422</v>
      </c>
      <c r="I35" s="283" t="n">
        <f aca="false">I33*I31</f>
        <v>7463251.21347033</v>
      </c>
      <c r="J35" s="283" t="n">
        <f aca="false">J33*J31</f>
        <v>9847759.97617409</v>
      </c>
    </row>
    <row r="37" customFormat="false" ht="15" hidden="false" customHeight="false" outlineLevel="0" collapsed="false">
      <c r="A37" s="198" t="s">
        <v>336</v>
      </c>
      <c r="B37" s="247" t="s">
        <v>311</v>
      </c>
      <c r="C37" s="283" t="n">
        <f aca="false">C14+C21+C28+C35</f>
        <v>19595000</v>
      </c>
      <c r="D37" s="283" t="n">
        <f aca="false">D14+D21+D28+D35</f>
        <v>31162000</v>
      </c>
      <c r="E37" s="283" t="n">
        <f aca="false">E14+E21+E28+E35</f>
        <v>47881700</v>
      </c>
      <c r="F37" s="283" t="n">
        <f aca="false">F14+F21+F28+F35</f>
        <v>64122675.72</v>
      </c>
      <c r="G37" s="283" t="n">
        <f aca="false">G14+G21+G28+G35</f>
        <v>80302739.2577568</v>
      </c>
      <c r="H37" s="283" t="n">
        <f aca="false">H14+H21+H28+H35</f>
        <v>111179924.390085</v>
      </c>
      <c r="I37" s="283" t="n">
        <f aca="false">I14+I21+I28+I35</f>
        <v>142602550.441542</v>
      </c>
      <c r="J37" s="283" t="n">
        <f aca="false">J14+J21+J28+J35</f>
        <v>171518376.683189</v>
      </c>
    </row>
    <row r="38" customFormat="false" ht="15" hidden="false" customHeight="false" outlineLevel="0" collapsed="false">
      <c r="A38" s="234" t="s">
        <v>337</v>
      </c>
      <c r="B38" s="247" t="s">
        <v>308</v>
      </c>
      <c r="C38" s="235" t="n">
        <f aca="false">-'Income Statement'!B11/C37</f>
        <v>0.008</v>
      </c>
      <c r="D38" s="235" t="n">
        <f aca="false">-'Income Statement'!C11/D37</f>
        <v>0.0075</v>
      </c>
      <c r="E38" s="235" t="n">
        <f aca="false">-'Income Statement'!D11/E37</f>
        <v>0.007</v>
      </c>
      <c r="F38" s="237" t="n">
        <v>0.007</v>
      </c>
      <c r="G38" s="237" t="n">
        <v>0.007</v>
      </c>
      <c r="H38" s="237" t="n">
        <v>0.007</v>
      </c>
      <c r="I38" s="237" t="n">
        <v>0.007</v>
      </c>
      <c r="J38" s="237" t="n">
        <v>0.007</v>
      </c>
      <c r="K38" s="280" t="s">
        <v>338</v>
      </c>
    </row>
    <row r="39" customFormat="false" ht="15" hidden="false" customHeight="false" outlineLevel="0" collapsed="false">
      <c r="A39" s="198" t="s">
        <v>49</v>
      </c>
      <c r="B39" s="247" t="s">
        <v>311</v>
      </c>
      <c r="C39" s="282" t="n">
        <f aca="false">'Income Statement'!B13</f>
        <v>19438240</v>
      </c>
      <c r="D39" s="282" t="n">
        <f aca="false">'Income Statement'!C13</f>
        <v>30928285</v>
      </c>
      <c r="E39" s="282" t="n">
        <f aca="false">'Income Statement'!D13</f>
        <v>47546528.1</v>
      </c>
      <c r="F39" s="283" t="n">
        <f aca="false">F37*(1-F38)</f>
        <v>63673816.98996</v>
      </c>
      <c r="G39" s="283" t="n">
        <f aca="false">G37*(1-G38)</f>
        <v>79740620.0829525</v>
      </c>
      <c r="H39" s="283" t="n">
        <f aca="false">H37*(1-H38)</f>
        <v>110401664.919354</v>
      </c>
      <c r="I39" s="283" t="n">
        <f aca="false">I37*(1-I38)</f>
        <v>141604332.588451</v>
      </c>
      <c r="J39" s="283" t="n">
        <f aca="false">J37*(1-J38)</f>
        <v>170317748.046407</v>
      </c>
    </row>
    <row r="40" customFormat="false" ht="15" hidden="false" customHeight="false" outlineLevel="0" collapsed="false">
      <c r="A40" s="198" t="s">
        <v>339</v>
      </c>
      <c r="B40" s="247" t="s">
        <v>308</v>
      </c>
      <c r="D40" s="285" t="n">
        <f aca="false">D39/C39-1</f>
        <v>0.591105213229181</v>
      </c>
      <c r="E40" s="285" t="n">
        <f aca="false">E39/D39-1</f>
        <v>0.537315376523464</v>
      </c>
      <c r="F40" s="285" t="n">
        <f aca="false">F39/E39-1</f>
        <v>0.339189621922363</v>
      </c>
      <c r="G40" s="285" t="n">
        <f aca="false">G39/F39-1</f>
        <v>0.252329824918865</v>
      </c>
      <c r="H40" s="285" t="n">
        <f aca="false">H39/G39-1</f>
        <v>0.384509736750299</v>
      </c>
      <c r="I40" s="285" t="n">
        <f aca="false">I39/H39-1</f>
        <v>0.28262859705866</v>
      </c>
      <c r="J40" s="285" t="n">
        <f aca="false">J39/I39-1</f>
        <v>0.202772153458088</v>
      </c>
    </row>
    <row r="41" customFormat="false" ht="15" hidden="false" customHeight="false" outlineLevel="0" collapsed="false">
      <c r="A41" s="234" t="s">
        <v>340</v>
      </c>
      <c r="B41" s="247" t="s">
        <v>308</v>
      </c>
      <c r="C41" s="239" t="n">
        <f aca="false">C14/C37</f>
        <v>0.768308241898444</v>
      </c>
      <c r="D41" s="239" t="n">
        <f aca="false">D14/D37</f>
        <v>0.772992747577177</v>
      </c>
      <c r="E41" s="239" t="n">
        <f aca="false">E14/E37</f>
        <v>0.794855654665561</v>
      </c>
      <c r="F41" s="239" t="n">
        <f aca="false">F14/F37</f>
        <v>0.799135265031015</v>
      </c>
      <c r="G41" s="239" t="n">
        <f aca="false">G14/G37</f>
        <v>0.794075094289974</v>
      </c>
      <c r="H41" s="239" t="n">
        <f aca="false">H14/H37</f>
        <v>0.789767941541389</v>
      </c>
      <c r="I41" s="239" t="n">
        <f aca="false">I14/I37</f>
        <v>0.78507069604906</v>
      </c>
      <c r="J41" s="239" t="n">
        <f aca="false">J14/J37</f>
        <v>0.778953325425152</v>
      </c>
    </row>
    <row r="43" customFormat="false" ht="15" hidden="false" customHeight="false" outlineLevel="0" collapsed="false">
      <c r="A43" s="277" t="s">
        <v>341</v>
      </c>
    </row>
    <row r="44" customFormat="false" ht="15" hidden="false" customHeight="false" outlineLevel="0" collapsed="false">
      <c r="A44" s="234" t="s">
        <v>342</v>
      </c>
      <c r="B44" s="247" t="s">
        <v>311</v>
      </c>
      <c r="C44" s="281" t="n">
        <f aca="false">(SUM('Balance Sheet'!D29:D31)+C96)/2</f>
        <v>17289500</v>
      </c>
      <c r="D44" s="281" t="n">
        <f aca="false">(C96+D96)/2</f>
        <v>22946800</v>
      </c>
      <c r="E44" s="281" t="n">
        <f aca="false">(D96+E96)/2</f>
        <v>28641860</v>
      </c>
      <c r="F44" s="281" t="n">
        <f aca="false">(E96+F96)/2</f>
        <v>37551501.698996</v>
      </c>
      <c r="G44" s="281" t="n">
        <f aca="false">(F96+G96)/2</f>
        <v>69834584.9249516</v>
      </c>
      <c r="H44" s="281" t="n">
        <f aca="false">(G96+H96)/2</f>
        <v>102374386.347072</v>
      </c>
      <c r="I44" s="281" t="n">
        <f aca="false">(H96+I96)/2</f>
        <v>116078702.871656</v>
      </c>
      <c r="J44" s="281" t="n">
        <f aca="false">(I96+J96)/2</f>
        <v>131674806.903399</v>
      </c>
    </row>
    <row r="45" customFormat="false" ht="15" hidden="false" customHeight="false" outlineLevel="0" collapsed="false">
      <c r="A45" s="234" t="s">
        <v>343</v>
      </c>
      <c r="B45" s="247" t="s">
        <v>344</v>
      </c>
      <c r="C45" s="286" t="n">
        <f aca="false">C39/C44</f>
        <v>1.12428005436826</v>
      </c>
      <c r="D45" s="286" t="n">
        <f aca="false">D39/D44</f>
        <v>1.34782562274478</v>
      </c>
      <c r="E45" s="286" t="n">
        <f aca="false">E39/E44</f>
        <v>1.66003632794798</v>
      </c>
      <c r="F45" s="286" t="n">
        <f aca="false">F39/F44</f>
        <v>1.69563969772379</v>
      </c>
      <c r="G45" s="286" t="n">
        <f aca="false">G39/G44</f>
        <v>1.14184998978152</v>
      </c>
      <c r="H45" s="286" t="n">
        <f aca="false">H39/H44</f>
        <v>1.07841100551331</v>
      </c>
      <c r="I45" s="286" t="n">
        <f aca="false">I39/I44</f>
        <v>1.21989933627203</v>
      </c>
      <c r="J45" s="286" t="n">
        <f aca="false">J39/J44</f>
        <v>1.29347254840751</v>
      </c>
      <c r="K45" s="247" t="s">
        <v>345</v>
      </c>
    </row>
    <row r="46" customFormat="false" ht="20.25" hidden="false" customHeight="true" outlineLevel="0" collapsed="false">
      <c r="A46" s="234" t="s">
        <v>346</v>
      </c>
      <c r="B46" s="247" t="s">
        <v>347</v>
      </c>
      <c r="E46" s="284" t="n">
        <v>26000</v>
      </c>
      <c r="F46" s="284" t="n">
        <v>26300</v>
      </c>
      <c r="G46" s="281" t="n">
        <f aca="false">F46*(1+0.02)</f>
        <v>26826</v>
      </c>
      <c r="H46" s="281" t="n">
        <f aca="false">G46*(1+0.02)</f>
        <v>27362.52</v>
      </c>
      <c r="I46" s="281" t="n">
        <f aca="false">H46*(1+0.02)</f>
        <v>27909.7704</v>
      </c>
      <c r="J46" s="281" t="n">
        <f aca="false">I46*(1+0.02)</f>
        <v>28467.965808</v>
      </c>
      <c r="K46" s="280" t="s">
        <v>348</v>
      </c>
    </row>
    <row r="47" customFormat="false" ht="15" hidden="false" customHeight="false" outlineLevel="0" collapsed="false">
      <c r="A47" s="234" t="s">
        <v>349</v>
      </c>
      <c r="B47" s="247" t="s">
        <v>350</v>
      </c>
      <c r="E47" s="279" t="n">
        <f aca="false">E14*1000/E46/1000000</f>
        <v>1.46380923076923</v>
      </c>
      <c r="F47" s="279" t="n">
        <f aca="false">F14*1000/F46/1000000</f>
        <v>1.94839131011407</v>
      </c>
      <c r="G47" s="279" t="n">
        <f aca="false">G14*1000/G46/1000000</f>
        <v>2.37703739833916</v>
      </c>
      <c r="H47" s="279" t="n">
        <f aca="false">H14*1000/H46/1000000</f>
        <v>3.20900048775787</v>
      </c>
      <c r="I47" s="279" t="n">
        <f aca="false">I14*1000/I46/1000000</f>
        <v>4.01125060969734</v>
      </c>
      <c r="J47" s="279" t="n">
        <f aca="false">J14*1000/J46/1000000</f>
        <v>4.69316321334589</v>
      </c>
    </row>
    <row r="48" customFormat="false" ht="15" hidden="false" customHeight="false" outlineLevel="0" collapsed="false">
      <c r="A48" s="234" t="s">
        <v>351</v>
      </c>
      <c r="B48" s="247" t="s">
        <v>350</v>
      </c>
      <c r="E48" s="278" t="n">
        <v>33.93</v>
      </c>
      <c r="F48" s="279" t="n">
        <f aca="false">E48*(1+0.0473)</f>
        <v>35.534889</v>
      </c>
      <c r="G48" s="279" t="n">
        <f aca="false">F48*(1+0.0473)</f>
        <v>37.2156892497</v>
      </c>
      <c r="H48" s="279" t="n">
        <f aca="false">G48*(1+0.0473)</f>
        <v>38.9759913512108</v>
      </c>
      <c r="I48" s="279" t="n">
        <f aca="false">H48*(1+0.0473)</f>
        <v>40.8195557421231</v>
      </c>
      <c r="J48" s="279" t="n">
        <f aca="false">I48*(1+0.0473)</f>
        <v>42.7503207287255</v>
      </c>
      <c r="K48" s="280" t="s">
        <v>352</v>
      </c>
    </row>
    <row r="49" customFormat="false" ht="15" hidden="false" customHeight="false" outlineLevel="0" collapsed="false">
      <c r="A49" s="234" t="s">
        <v>353</v>
      </c>
      <c r="B49" s="247" t="s">
        <v>308</v>
      </c>
      <c r="E49" s="239" t="n">
        <f aca="false">E47/E48</f>
        <v>0.0431420345054297</v>
      </c>
      <c r="F49" s="239" t="n">
        <f aca="false">F47/F48</f>
        <v>0.05483037558142</v>
      </c>
      <c r="G49" s="239" t="n">
        <f aca="false">G47/G48</f>
        <v>0.063871916556223</v>
      </c>
      <c r="H49" s="239" t="n">
        <f aca="false">H47/H48</f>
        <v>0.0823327483537679</v>
      </c>
      <c r="I49" s="239" t="n">
        <f aca="false">I47/I48</f>
        <v>0.0982678654083928</v>
      </c>
      <c r="J49" s="239" t="n">
        <f aca="false">J47/J48</f>
        <v>0.109780772011668</v>
      </c>
      <c r="K49" s="247" t="s">
        <v>354</v>
      </c>
    </row>
    <row r="50" customFormat="false" ht="15" hidden="false" customHeight="false" outlineLevel="0" collapsed="false">
      <c r="A50" s="234" t="s">
        <v>355</v>
      </c>
      <c r="B50" s="247" t="s">
        <v>350</v>
      </c>
      <c r="E50" s="287" t="n">
        <v>1129.79</v>
      </c>
      <c r="F50" s="288" t="n">
        <f aca="false">E50*(1+0.0415)</f>
        <v>1176.676285</v>
      </c>
      <c r="G50" s="288" t="n">
        <f aca="false">F50*(1+0.0415)</f>
        <v>1225.5083508275</v>
      </c>
      <c r="H50" s="288" t="n">
        <f aca="false">G50*(1+0.0415)</f>
        <v>1276.36694738684</v>
      </c>
      <c r="I50" s="288" t="n">
        <f aca="false">H50*(1+0.0415)</f>
        <v>1329.3361757034</v>
      </c>
      <c r="J50" s="288" t="n">
        <f aca="false">I50*(1+0.0415)</f>
        <v>1384.50362699509</v>
      </c>
      <c r="K50" s="280" t="s">
        <v>356</v>
      </c>
    </row>
    <row r="51" customFormat="false" ht="15" hidden="false" customHeight="false" outlineLevel="0" collapsed="false">
      <c r="A51" s="234" t="s">
        <v>357</v>
      </c>
      <c r="B51" s="247" t="s">
        <v>308</v>
      </c>
      <c r="E51" s="235" t="n">
        <f aca="false">(E39*1000/E46/1000000)/E50</f>
        <v>0.00161863055898067</v>
      </c>
      <c r="F51" s="235" t="n">
        <f aca="false">(F39*1000/F46/1000000)/F50</f>
        <v>0.00205753928339485</v>
      </c>
      <c r="G51" s="235" t="n">
        <f aca="false">(G39*1000/G46/1000000)/G50</f>
        <v>0.0024255342601052</v>
      </c>
      <c r="H51" s="235" t="n">
        <f aca="false">(H39*1000/H46/1000000)/H50</f>
        <v>0.00316114182969236</v>
      </c>
      <c r="I51" s="235" t="n">
        <f aca="false">(I39*1000/I46/1000000)/I50</f>
        <v>0.0038166774073233</v>
      </c>
      <c r="J51" s="235" t="n">
        <f aca="false">(J39*1000/J46/1000000)/J50</f>
        <v>0.00432124980397906</v>
      </c>
    </row>
    <row r="53" customFormat="false" ht="15" hidden="false" customHeight="false" outlineLevel="0" collapsed="false">
      <c r="A53" s="275" t="s">
        <v>358</v>
      </c>
      <c r="B53" s="276"/>
      <c r="C53" s="276"/>
      <c r="D53" s="276"/>
      <c r="E53" s="276"/>
      <c r="F53" s="276"/>
      <c r="G53" s="276"/>
      <c r="H53" s="276"/>
      <c r="I53" s="276"/>
      <c r="J53" s="276"/>
      <c r="K53" s="276"/>
    </row>
    <row r="54" customFormat="false" ht="30" hidden="false" customHeight="true" outlineLevel="0" collapsed="false">
      <c r="A54" s="234" t="s">
        <v>359</v>
      </c>
      <c r="B54" s="247" t="s">
        <v>308</v>
      </c>
      <c r="C54" s="239" t="n">
        <f aca="false">'Income Statement'!B16/C39</f>
        <v>0.255</v>
      </c>
      <c r="D54" s="239" t="n">
        <f aca="false">'Income Statement'!C16/D39</f>
        <v>0.25</v>
      </c>
      <c r="E54" s="239" t="n">
        <f aca="false">'Income Statement'!D16/E39</f>
        <v>0.245</v>
      </c>
      <c r="F54" s="239" t="n">
        <f aca="false">F154+INDEX($C$145:$E$145,$C$3)</f>
        <v>0.25</v>
      </c>
      <c r="G54" s="239" t="n">
        <f aca="false">G154+INDEX($C$145:$E$145,$C$3)</f>
        <v>0.255</v>
      </c>
      <c r="H54" s="239" t="n">
        <f aca="false">H154+INDEX($C$145:$E$145,$C$3)</f>
        <v>0.27</v>
      </c>
      <c r="I54" s="239" t="n">
        <f aca="false">I154+INDEX($C$145:$E$145,$C$3)</f>
        <v>0.265</v>
      </c>
      <c r="J54" s="239" t="n">
        <f aca="false">J154+INDEX($C$145:$E$145,$C$3)</f>
        <v>0.27</v>
      </c>
      <c r="K54" s="280" t="s">
        <v>360</v>
      </c>
    </row>
    <row r="55" customFormat="false" ht="15" hidden="false" customHeight="false" outlineLevel="0" collapsed="false">
      <c r="A55" s="234" t="s">
        <v>51</v>
      </c>
      <c r="B55" s="247" t="s">
        <v>311</v>
      </c>
      <c r="C55" s="289" t="n">
        <f aca="false">'Income Statement'!B16</f>
        <v>4956751.2</v>
      </c>
      <c r="D55" s="289" t="n">
        <f aca="false">'Income Statement'!C16</f>
        <v>7732071.25</v>
      </c>
      <c r="E55" s="289" t="n">
        <f aca="false">'Income Statement'!D16</f>
        <v>11648899.3845</v>
      </c>
      <c r="F55" s="281" t="n">
        <f aca="false">F39*F54</f>
        <v>15918454.24749</v>
      </c>
      <c r="G55" s="281" t="n">
        <f aca="false">G39*G54</f>
        <v>20333858.1211529</v>
      </c>
      <c r="H55" s="281" t="n">
        <f aca="false">H39*H54</f>
        <v>29808449.5282256</v>
      </c>
      <c r="I55" s="281" t="n">
        <f aca="false">I39*I54</f>
        <v>37525148.1359396</v>
      </c>
      <c r="J55" s="281" t="n">
        <f aca="false">J39*J54</f>
        <v>45985791.9725299</v>
      </c>
    </row>
    <row r="56" customFormat="false" ht="15" hidden="false" customHeight="false" outlineLevel="0" collapsed="false">
      <c r="A56" s="234" t="s">
        <v>361</v>
      </c>
      <c r="B56" s="247" t="s">
        <v>311</v>
      </c>
      <c r="C56" s="289" t="n">
        <f aca="false">'Income Statement'!B17</f>
        <v>1055000</v>
      </c>
      <c r="D56" s="289" t="n">
        <f aca="false">'Income Statement'!C17</f>
        <v>1160500</v>
      </c>
      <c r="E56" s="289" t="n">
        <f aca="false">'Income Statement'!D17</f>
        <v>1276550</v>
      </c>
      <c r="F56" s="281" t="n">
        <f aca="false">E56*(1+F57)+F58</f>
        <v>1404205</v>
      </c>
      <c r="G56" s="281" t="n">
        <f aca="false">F56*(1+G57)+G58</f>
        <v>1544625.5</v>
      </c>
      <c r="H56" s="281" t="n">
        <f aca="false">G56*(1+H57)+H58</f>
        <v>2599088.05</v>
      </c>
      <c r="I56" s="281" t="n">
        <f aca="false">H56*(1+I57)+I58</f>
        <v>2858996.855</v>
      </c>
      <c r="J56" s="281" t="n">
        <f aca="false">I56*(1+J57)+J58</f>
        <v>3144896.5405</v>
      </c>
    </row>
    <row r="57" customFormat="false" ht="15" hidden="false" customHeight="false" outlineLevel="0" collapsed="false">
      <c r="A57" s="234" t="s">
        <v>362</v>
      </c>
      <c r="B57" s="247" t="s">
        <v>308</v>
      </c>
      <c r="D57" s="239" t="n">
        <f aca="false">D56/C56-1</f>
        <v>0.1</v>
      </c>
      <c r="E57" s="239" t="n">
        <f aca="false">E56/D56-1</f>
        <v>0.1</v>
      </c>
      <c r="F57" s="290" t="n">
        <v>0.1</v>
      </c>
      <c r="G57" s="290" t="n">
        <v>0.1</v>
      </c>
      <c r="H57" s="290" t="n">
        <v>0.1</v>
      </c>
      <c r="I57" s="290" t="n">
        <v>0.1</v>
      </c>
      <c r="J57" s="290" t="n">
        <v>0.1</v>
      </c>
      <c r="K57" s="280" t="s">
        <v>363</v>
      </c>
    </row>
    <row r="58" customFormat="false" ht="15" hidden="false" customHeight="false" outlineLevel="0" collapsed="false">
      <c r="A58" s="234" t="s">
        <v>364</v>
      </c>
      <c r="B58" s="247" t="s">
        <v>311</v>
      </c>
      <c r="F58" s="281" t="n">
        <f aca="false">IF(F$7=$C$4+1,$C$160,0)</f>
        <v>0</v>
      </c>
      <c r="G58" s="281" t="n">
        <f aca="false">IF(G$7=$C$4+1,$C$160,0)</f>
        <v>0</v>
      </c>
      <c r="H58" s="281" t="n">
        <f aca="false">IF(H$7=$C$4+1,$C$160,0)</f>
        <v>900000</v>
      </c>
      <c r="I58" s="281" t="n">
        <f aca="false">IF(I$7=$C$4+1,$C$160,0)</f>
        <v>0</v>
      </c>
      <c r="J58" s="281" t="n">
        <f aca="false">IF(J$7=$C$4+1,$C$160,0)</f>
        <v>0</v>
      </c>
      <c r="K58" s="280" t="s">
        <v>365</v>
      </c>
    </row>
    <row r="59" customFormat="false" ht="15" hidden="false" customHeight="false" outlineLevel="0" collapsed="false">
      <c r="A59" s="198" t="s">
        <v>366</v>
      </c>
      <c r="B59" s="247" t="s">
        <v>311</v>
      </c>
      <c r="C59" s="283" t="n">
        <f aca="false">C55+C56</f>
        <v>6011751.2</v>
      </c>
      <c r="D59" s="283" t="n">
        <f aca="false">D55+D56</f>
        <v>8892571.25</v>
      </c>
      <c r="E59" s="283" t="n">
        <f aca="false">E55+E56</f>
        <v>12925449.3845</v>
      </c>
      <c r="F59" s="283" t="n">
        <f aca="false">F55+F56</f>
        <v>17322659.24749</v>
      </c>
      <c r="G59" s="283" t="n">
        <f aca="false">G55+G56</f>
        <v>21878483.6211529</v>
      </c>
      <c r="H59" s="283" t="n">
        <f aca="false">H55+H56</f>
        <v>32407537.5782256</v>
      </c>
      <c r="I59" s="283" t="n">
        <f aca="false">I55+I56</f>
        <v>40384144.9909396</v>
      </c>
      <c r="J59" s="283" t="n">
        <f aca="false">J55+J56</f>
        <v>49130688.5130299</v>
      </c>
      <c r="K59" s="247" t="s">
        <v>367</v>
      </c>
    </row>
    <row r="61" customFormat="false" ht="20.25" hidden="false" customHeight="true" outlineLevel="0" collapsed="false">
      <c r="A61" s="234" t="s">
        <v>368</v>
      </c>
      <c r="B61" s="247" t="s">
        <v>308</v>
      </c>
      <c r="C61" s="239" t="n">
        <f aca="false">'Income Statement'!B55/C39</f>
        <v>0.35970334762818</v>
      </c>
      <c r="D61" s="239" t="n">
        <f aca="false">'Income Statement'!C55/D39</f>
        <v>0.248678515475397</v>
      </c>
      <c r="E61" s="239" t="n">
        <f aca="false">'Income Statement'!D55/E39</f>
        <v>0.226466167568605</v>
      </c>
      <c r="F61" s="239" t="n">
        <f aca="false">F155+INDEX($C$146:$E$146,$C$3)</f>
        <v>0.225</v>
      </c>
      <c r="G61" s="239" t="n">
        <f aca="false">G155+INDEX($C$146:$E$146,$C$3)</f>
        <v>0.23</v>
      </c>
      <c r="H61" s="239" t="n">
        <f aca="false">H155+INDEX($C$146:$E$146,$C$3)</f>
        <v>0.235</v>
      </c>
      <c r="I61" s="239" t="n">
        <f aca="false">I155+INDEX($C$146:$E$146,$C$3)</f>
        <v>0.23</v>
      </c>
      <c r="J61" s="239" t="n">
        <f aca="false">J155+INDEX($C$146:$E$146,$C$3)</f>
        <v>0.225</v>
      </c>
      <c r="K61" s="280" t="s">
        <v>369</v>
      </c>
    </row>
    <row r="62" customFormat="false" ht="15" hidden="false" customHeight="false" outlineLevel="0" collapsed="false">
      <c r="A62" s="234" t="s">
        <v>370</v>
      </c>
      <c r="B62" s="247" t="s">
        <v>311</v>
      </c>
      <c r="C62" s="289" t="n">
        <f aca="false">'Income Statement'!B55</f>
        <v>6992000</v>
      </c>
      <c r="D62" s="289" t="n">
        <f aca="false">'Income Statement'!C55</f>
        <v>7691200</v>
      </c>
      <c r="E62" s="289" t="n">
        <f aca="false">'Income Statement'!D55</f>
        <v>10767680</v>
      </c>
      <c r="F62" s="281" t="n">
        <f aca="false">F39*F61</f>
        <v>14326608.822741</v>
      </c>
      <c r="G62" s="281" t="n">
        <f aca="false">G39*G61</f>
        <v>18340342.6190791</v>
      </c>
      <c r="H62" s="281" t="n">
        <f aca="false">H39*H61</f>
        <v>25944391.2560482</v>
      </c>
      <c r="I62" s="281" t="n">
        <f aca="false">I39*I61</f>
        <v>32568996.4953438</v>
      </c>
      <c r="J62" s="281" t="n">
        <f aca="false">J39*J61</f>
        <v>38321493.3104416</v>
      </c>
    </row>
    <row r="63" customFormat="false" ht="15" hidden="false" customHeight="false" outlineLevel="0" collapsed="false">
      <c r="A63" s="234" t="s">
        <v>371</v>
      </c>
      <c r="B63" s="247" t="s">
        <v>308</v>
      </c>
      <c r="C63" s="239" t="n">
        <f aca="false">'Income Statement'!B42/'Income Statement'!B55</f>
        <v>0.307494279176201</v>
      </c>
      <c r="D63" s="239" t="n">
        <f aca="false">'Income Statement'!C42/'Income Statement'!C55</f>
        <v>0.335448304555856</v>
      </c>
      <c r="E63" s="239" t="n">
        <f aca="false">'Income Statement'!D42/'Income Statement'!D55</f>
        <v>0.287527118190734</v>
      </c>
      <c r="F63" s="290" t="n">
        <v>0.28</v>
      </c>
      <c r="G63" s="290" t="n">
        <v>0.28</v>
      </c>
      <c r="H63" s="290" t="n">
        <v>0.28</v>
      </c>
      <c r="I63" s="290" t="n">
        <v>0.28</v>
      </c>
      <c r="J63" s="290" t="n">
        <v>0.28</v>
      </c>
      <c r="K63" s="280" t="s">
        <v>372</v>
      </c>
    </row>
    <row r="64" customFormat="false" ht="15" hidden="false" customHeight="false" outlineLevel="0" collapsed="false">
      <c r="A64" s="234" t="s">
        <v>373</v>
      </c>
      <c r="B64" s="247" t="s">
        <v>311</v>
      </c>
      <c r="C64" s="289" t="n">
        <f aca="false">'Income Statement'!B42</f>
        <v>2150000</v>
      </c>
      <c r="D64" s="289" t="n">
        <f aca="false">'Income Statement'!C42</f>
        <v>2580000</v>
      </c>
      <c r="E64" s="289" t="n">
        <f aca="false">'Income Statement'!D42</f>
        <v>3096000</v>
      </c>
      <c r="F64" s="281" t="n">
        <f aca="false">F62*F63</f>
        <v>4011450.47036748</v>
      </c>
      <c r="G64" s="281" t="n">
        <f aca="false">G62*G63</f>
        <v>5135295.93334214</v>
      </c>
      <c r="H64" s="281" t="n">
        <f aca="false">H62*H63</f>
        <v>7264429.5516935</v>
      </c>
      <c r="I64" s="281" t="n">
        <f aca="false">I62*I63</f>
        <v>9119319.01869627</v>
      </c>
      <c r="J64" s="281" t="n">
        <f aca="false">J62*J63</f>
        <v>10730018.1269236</v>
      </c>
    </row>
    <row r="65" customFormat="false" ht="20.25" hidden="false" customHeight="true" outlineLevel="0" collapsed="false">
      <c r="A65" s="234" t="s">
        <v>374</v>
      </c>
      <c r="B65" s="247" t="s">
        <v>308</v>
      </c>
      <c r="D65" s="239" t="n">
        <f aca="false">D66/C66-1</f>
        <v>0.35</v>
      </c>
      <c r="E65" s="239" t="n">
        <f aca="false">E66/D66-1</f>
        <v>0.41</v>
      </c>
      <c r="F65" s="239" t="n">
        <f aca="false">IF(F$7=$C$4+1,$C$163,IF(F$7=$C$4,$C$162,IF(F$7=2026,$C$164,$C$161)))</f>
        <v>0.12</v>
      </c>
      <c r="G65" s="239" t="n">
        <f aca="false">IF(G$7=$C$4+1,$C$163,IF(G$7=$C$4,$C$162,IF(G$7=2026,$C$164,$C$161)))</f>
        <v>0.15</v>
      </c>
      <c r="H65" s="239" t="n">
        <f aca="false">IF(H$7=$C$4+1,$C$163,IF(H$7=$C$4,$C$162,IF(H$7=2026,$C$164,$C$161)))</f>
        <v>0.3</v>
      </c>
      <c r="I65" s="239" t="n">
        <f aca="false">IF(I$7=$C$4+1,$C$163,IF(I$7=$C$4,$C$162,IF(I$7=2026,$C$164,$C$161)))</f>
        <v>0.12</v>
      </c>
      <c r="J65" s="239" t="n">
        <f aca="false">IF(J$7=$C$4+1,$C$163,IF(J$7=$C$4,$C$162,IF(J$7=2026,$C$164,$C$161)))</f>
        <v>0.12</v>
      </c>
      <c r="K65" s="280" t="s">
        <v>375</v>
      </c>
    </row>
    <row r="66" customFormat="false" ht="15" hidden="false" customHeight="false" outlineLevel="0" collapsed="false">
      <c r="A66" s="234" t="s">
        <v>61</v>
      </c>
      <c r="B66" s="247" t="s">
        <v>311</v>
      </c>
      <c r="C66" s="289" t="n">
        <f aca="false">'Income Statement'!B26</f>
        <v>3977000</v>
      </c>
      <c r="D66" s="289" t="n">
        <f aca="false">'Income Statement'!C26</f>
        <v>5368950</v>
      </c>
      <c r="E66" s="289" t="n">
        <f aca="false">'Income Statement'!D26</f>
        <v>7570219.5</v>
      </c>
      <c r="F66" s="281" t="n">
        <f aca="false">E66*(1+F65)</f>
        <v>8478645.84</v>
      </c>
      <c r="G66" s="281" t="n">
        <f aca="false">F66*(1+G65)</f>
        <v>9750442.716</v>
      </c>
      <c r="H66" s="281" t="n">
        <f aca="false">G66*(1+H65)</f>
        <v>12675575.5308</v>
      </c>
      <c r="I66" s="281" t="n">
        <f aca="false">H66*(1+I65)</f>
        <v>14196644.594496</v>
      </c>
      <c r="J66" s="281" t="n">
        <f aca="false">I66*(1+J65)</f>
        <v>15900241.9458355</v>
      </c>
    </row>
    <row r="67" customFormat="false" ht="15" hidden="false" customHeight="false" outlineLevel="0" collapsed="false">
      <c r="A67" s="234" t="s">
        <v>376</v>
      </c>
      <c r="B67" s="247" t="s">
        <v>308</v>
      </c>
      <c r="C67" s="239" t="n">
        <f aca="false">'Income Statement'!B28/C39</f>
        <v>0.048872737449481</v>
      </c>
      <c r="D67" s="239" t="n">
        <f aca="false">'Income Statement'!C28/D39</f>
        <v>0.052217573654666</v>
      </c>
      <c r="E67" s="239" t="n">
        <f aca="false">'Income Statement'!D28/E39</f>
        <v>0.043817079464105</v>
      </c>
      <c r="F67" s="290" t="n">
        <v>0.044</v>
      </c>
      <c r="G67" s="290" t="n">
        <v>0.044</v>
      </c>
      <c r="H67" s="290" t="n">
        <v>0.044</v>
      </c>
      <c r="I67" s="290" t="n">
        <v>0.044</v>
      </c>
      <c r="J67" s="290" t="n">
        <v>0.044</v>
      </c>
      <c r="K67" s="280" t="s">
        <v>377</v>
      </c>
    </row>
    <row r="68" customFormat="false" ht="15" hidden="false" customHeight="false" outlineLevel="0" collapsed="false">
      <c r="A68" s="234" t="s">
        <v>63</v>
      </c>
      <c r="B68" s="247" t="s">
        <v>311</v>
      </c>
      <c r="C68" s="289" t="n">
        <f aca="false">'Income Statement'!B28</f>
        <v>950000</v>
      </c>
      <c r="D68" s="289" t="n">
        <f aca="false">'Income Statement'!C28</f>
        <v>1615000</v>
      </c>
      <c r="E68" s="289" t="n">
        <f aca="false">'Income Statement'!D28</f>
        <v>2083350</v>
      </c>
      <c r="F68" s="281" t="n">
        <f aca="false">F39*F67</f>
        <v>2801647.94755824</v>
      </c>
      <c r="G68" s="281" t="n">
        <f aca="false">G39*G67</f>
        <v>3508587.28364991</v>
      </c>
      <c r="H68" s="281" t="n">
        <f aca="false">H39*H67</f>
        <v>4857673.25645158</v>
      </c>
      <c r="I68" s="281" t="n">
        <f aca="false">I39*I67</f>
        <v>6230590.63389186</v>
      </c>
      <c r="J68" s="281" t="n">
        <f aca="false">J39*J67</f>
        <v>7493980.91404191</v>
      </c>
    </row>
    <row r="69" customFormat="false" ht="20.25" hidden="false" customHeight="true" outlineLevel="0" collapsed="false">
      <c r="A69" s="234" t="s">
        <v>378</v>
      </c>
      <c r="B69" s="247" t="s">
        <v>308</v>
      </c>
      <c r="C69" s="239" t="n">
        <f aca="false">'Income Statement'!B30/C39</f>
        <v>0.0617339841467129</v>
      </c>
      <c r="D69" s="239" t="n">
        <f aca="false">'Income Statement'!C30/D39</f>
        <v>0.0581991532993181</v>
      </c>
      <c r="E69" s="239" t="n">
        <f aca="false">'Income Statement'!D30/E39</f>
        <v>0.0473220672446954</v>
      </c>
      <c r="F69" s="290" t="n">
        <v>0.05</v>
      </c>
      <c r="G69" s="290" t="n">
        <v>0.05</v>
      </c>
      <c r="H69" s="290" t="n">
        <v>0.05</v>
      </c>
      <c r="I69" s="290" t="n">
        <v>0.05</v>
      </c>
      <c r="J69" s="290" t="n">
        <v>0.05</v>
      </c>
      <c r="K69" s="280" t="s">
        <v>379</v>
      </c>
    </row>
    <row r="70" customFormat="false" ht="15" hidden="false" customHeight="false" outlineLevel="0" collapsed="false">
      <c r="A70" s="234" t="s">
        <v>380</v>
      </c>
      <c r="B70" s="247" t="s">
        <v>311</v>
      </c>
      <c r="C70" s="289" t="n">
        <f aca="false">'Income Statement'!B30</f>
        <v>1200000</v>
      </c>
      <c r="D70" s="289" t="n">
        <f aca="false">'Income Statement'!C30</f>
        <v>1800000</v>
      </c>
      <c r="E70" s="289" t="n">
        <f aca="false">'Income Statement'!D30</f>
        <v>2250000</v>
      </c>
      <c r="F70" s="281" t="n">
        <f aca="false">F39*F69</f>
        <v>3183690.849498</v>
      </c>
      <c r="G70" s="281" t="n">
        <f aca="false">G39*G69</f>
        <v>3987031.00414762</v>
      </c>
      <c r="H70" s="281" t="n">
        <f aca="false">H39*H69</f>
        <v>5520083.24596771</v>
      </c>
      <c r="I70" s="281" t="n">
        <f aca="false">I39*I69</f>
        <v>7080216.62942257</v>
      </c>
      <c r="J70" s="281" t="n">
        <f aca="false">J39*J69</f>
        <v>8515887.40232035</v>
      </c>
    </row>
    <row r="71" customFormat="false" ht="15" hidden="false" customHeight="false" outlineLevel="0" collapsed="false">
      <c r="A71" s="234" t="s">
        <v>381</v>
      </c>
      <c r="B71" s="247" t="s">
        <v>308</v>
      </c>
      <c r="C71" s="239" t="n">
        <f aca="false">'Income Statement'!B50/C39</f>
        <v>0.0473293878458132</v>
      </c>
      <c r="D71" s="239" t="n">
        <f aca="false">'Income Statement'!C50/D39</f>
        <v>0.0312335456039674</v>
      </c>
      <c r="E71" s="239" t="n">
        <f aca="false">'Income Statement'!D50/E39</f>
        <v>0.0243803290444671</v>
      </c>
      <c r="F71" s="290" t="n">
        <v>0.028</v>
      </c>
      <c r="G71" s="290" t="n">
        <v>0.03</v>
      </c>
      <c r="H71" s="290" t="n">
        <v>0.03</v>
      </c>
      <c r="I71" s="290" t="n">
        <v>0.03</v>
      </c>
      <c r="J71" s="290" t="n">
        <v>0.028</v>
      </c>
      <c r="K71" s="280" t="s">
        <v>382</v>
      </c>
    </row>
    <row r="72" customFormat="false" ht="15" hidden="false" customHeight="false" outlineLevel="0" collapsed="false">
      <c r="A72" s="234" t="s">
        <v>383</v>
      </c>
      <c r="B72" s="247" t="s">
        <v>311</v>
      </c>
      <c r="C72" s="289" t="n">
        <f aca="false">'Income Statement'!B50</f>
        <v>920000</v>
      </c>
      <c r="D72" s="289" t="n">
        <f aca="false">'Income Statement'!C50</f>
        <v>966000</v>
      </c>
      <c r="E72" s="289" t="n">
        <f aca="false">'Income Statement'!D50</f>
        <v>1159200</v>
      </c>
      <c r="F72" s="281" t="n">
        <f aca="false">F39*F71</f>
        <v>1782866.87571888</v>
      </c>
      <c r="G72" s="281" t="n">
        <f aca="false">G39*G71</f>
        <v>2392218.60248857</v>
      </c>
      <c r="H72" s="281" t="n">
        <f aca="false">H39*H71</f>
        <v>3312049.94758062</v>
      </c>
      <c r="I72" s="281" t="n">
        <f aca="false">I39*I71</f>
        <v>4248129.97765354</v>
      </c>
      <c r="J72" s="281" t="n">
        <f aca="false">J39*J71</f>
        <v>4768896.94529939</v>
      </c>
    </row>
    <row r="73" customFormat="false" ht="20.25" hidden="false" customHeight="true" outlineLevel="0" collapsed="false">
      <c r="A73" s="234" t="s">
        <v>384</v>
      </c>
      <c r="B73" s="247" t="s">
        <v>308</v>
      </c>
      <c r="C73" s="239" t="n">
        <v>0</v>
      </c>
      <c r="D73" s="239" t="n">
        <v>0</v>
      </c>
      <c r="E73" s="239" t="n">
        <v>0</v>
      </c>
      <c r="F73" s="290" t="n">
        <v>0.006</v>
      </c>
      <c r="G73" s="290" t="n">
        <v>0.006</v>
      </c>
      <c r="H73" s="290" t="n">
        <v>0.006</v>
      </c>
      <c r="I73" s="290" t="n">
        <v>0.006</v>
      </c>
      <c r="J73" s="290" t="n">
        <v>0.006</v>
      </c>
      <c r="K73" s="280" t="s">
        <v>385</v>
      </c>
    </row>
    <row r="74" customFormat="false" ht="15" hidden="false" customHeight="false" outlineLevel="0" collapsed="false">
      <c r="A74" s="234" t="s">
        <v>386</v>
      </c>
      <c r="B74" s="247" t="s">
        <v>311</v>
      </c>
      <c r="C74" s="281" t="n">
        <v>0</v>
      </c>
      <c r="D74" s="281" t="n">
        <v>0</v>
      </c>
      <c r="E74" s="281" t="n">
        <v>0</v>
      </c>
      <c r="F74" s="281" t="n">
        <f aca="false">F39*F73</f>
        <v>382042.90193976</v>
      </c>
      <c r="G74" s="281" t="n">
        <f aca="false">G39*G73</f>
        <v>478443.720497715</v>
      </c>
      <c r="H74" s="281" t="n">
        <f aca="false">H39*H73</f>
        <v>662409.989516125</v>
      </c>
      <c r="I74" s="281" t="n">
        <f aca="false">I39*I73</f>
        <v>849625.995530709</v>
      </c>
      <c r="J74" s="281" t="n">
        <f aca="false">J39*J73</f>
        <v>1021906.48827844</v>
      </c>
    </row>
    <row r="75" customFormat="false" ht="15" hidden="false" customHeight="false" outlineLevel="0" collapsed="false">
      <c r="A75" s="198" t="s">
        <v>387</v>
      </c>
      <c r="B75" s="247" t="s">
        <v>311</v>
      </c>
      <c r="C75" s="283" t="n">
        <f aca="false">C62+C64+C66+C68+C70+C72+C74</f>
        <v>16189000</v>
      </c>
      <c r="D75" s="283" t="n">
        <f aca="false">D62+D64+D66+D68+D70+D72+D74</f>
        <v>20021150</v>
      </c>
      <c r="E75" s="283" t="n">
        <f aca="false">E62+E64+E66+E68+E70+E72+E74</f>
        <v>26926449.5</v>
      </c>
      <c r="F75" s="283" t="n">
        <f aca="false">F62+F64+F66+F68+F70+F72+F74</f>
        <v>34966953.7078234</v>
      </c>
      <c r="G75" s="283" t="n">
        <f aca="false">G62+G64+G66+G68+G70+G72+G74</f>
        <v>43592361.879205</v>
      </c>
      <c r="H75" s="283" t="n">
        <f aca="false">H62+H64+H66+H68+H70+H72+H74</f>
        <v>60236612.7780578</v>
      </c>
      <c r="I75" s="283" t="n">
        <f aca="false">I62+I64+I66+I68+I70+I72+I74</f>
        <v>74293523.3450348</v>
      </c>
      <c r="J75" s="283" t="n">
        <f aca="false">J62+J64+J66+J68+J70+J72+J74</f>
        <v>86752425.1331408</v>
      </c>
    </row>
    <row r="76" customFormat="false" ht="15" hidden="false" customHeight="false" outlineLevel="0" collapsed="false">
      <c r="A76" s="198" t="s">
        <v>388</v>
      </c>
      <c r="B76" s="247" t="s">
        <v>311</v>
      </c>
      <c r="C76" s="283" t="n">
        <f aca="false">C39-C59-C75</f>
        <v>-2762511.2</v>
      </c>
      <c r="D76" s="283" t="n">
        <f aca="false">D39-D59-D75</f>
        <v>2014563.75</v>
      </c>
      <c r="E76" s="283" t="n">
        <f aca="false">E39-E59-E75</f>
        <v>7694629.2155</v>
      </c>
      <c r="F76" s="283" t="n">
        <f aca="false">F39-F59-F75</f>
        <v>11384204.0346466</v>
      </c>
      <c r="G76" s="283" t="n">
        <f aca="false">G39-G59-G75</f>
        <v>14269774.5825946</v>
      </c>
      <c r="H76" s="283" t="n">
        <f aca="false">H39-H59-H75</f>
        <v>17757514.5630708</v>
      </c>
      <c r="I76" s="283" t="n">
        <f aca="false">I39-I59-I75</f>
        <v>26926664.252477</v>
      </c>
      <c r="J76" s="283" t="n">
        <f aca="false">J39-J59-J75</f>
        <v>34434634.4002363</v>
      </c>
    </row>
    <row r="77" customFormat="false" ht="15" hidden="false" customHeight="false" outlineLevel="0" collapsed="false">
      <c r="A77" s="198" t="s">
        <v>111</v>
      </c>
      <c r="B77" s="247" t="s">
        <v>308</v>
      </c>
      <c r="C77" s="285" t="n">
        <f aca="false">C76/C39</f>
        <v>-0.142117352188264</v>
      </c>
      <c r="D77" s="285" t="n">
        <f aca="false">D76/D39</f>
        <v>0.0651366136208328</v>
      </c>
      <c r="E77" s="285" t="n">
        <f aca="false">E76/E39</f>
        <v>0.161833671626173</v>
      </c>
      <c r="F77" s="285" t="n">
        <f aca="false">F76/F39</f>
        <v>0.178789407841557</v>
      </c>
      <c r="G77" s="285" t="n">
        <f aca="false">G76/G39</f>
        <v>0.178952390484925</v>
      </c>
      <c r="H77" s="285" t="n">
        <f aca="false">H76/H39</f>
        <v>0.160844626537491</v>
      </c>
      <c r="I77" s="285" t="n">
        <f aca="false">I76/I39</f>
        <v>0.19015424005941</v>
      </c>
      <c r="J77" s="285" t="n">
        <f aca="false">J76/J39</f>
        <v>0.202178779341621</v>
      </c>
    </row>
    <row r="79" customFormat="false" ht="15" hidden="false" customHeight="false" outlineLevel="0" collapsed="false">
      <c r="A79" s="277" t="s">
        <v>389</v>
      </c>
    </row>
    <row r="80" customFormat="false" ht="15" hidden="false" customHeight="false" outlineLevel="0" collapsed="false">
      <c r="A80" s="234" t="s">
        <v>390</v>
      </c>
      <c r="B80" s="247" t="s">
        <v>311</v>
      </c>
      <c r="C80" s="281" t="n">
        <f aca="false">C62*$C$167</f>
        <v>4894400</v>
      </c>
      <c r="D80" s="281" t="n">
        <f aca="false">D62*$C$167</f>
        <v>5383840</v>
      </c>
      <c r="E80" s="281" t="n">
        <f aca="false">E62*$C$167</f>
        <v>7537376</v>
      </c>
      <c r="F80" s="281" t="n">
        <f aca="false">F62*$C$167</f>
        <v>10028626.1759187</v>
      </c>
      <c r="G80" s="281" t="n">
        <f aca="false">G62*$C$167</f>
        <v>12838239.8333554</v>
      </c>
      <c r="H80" s="281" t="n">
        <f aca="false">H62*$C$167</f>
        <v>18161073.8792338</v>
      </c>
      <c r="I80" s="281" t="n">
        <f aca="false">I62*$C$167</f>
        <v>22798297.5467407</v>
      </c>
      <c r="J80" s="281" t="n">
        <f aca="false">J62*$C$167</f>
        <v>26825045.3173091</v>
      </c>
    </row>
    <row r="81" customFormat="false" ht="15" hidden="false" customHeight="false" outlineLevel="0" collapsed="false">
      <c r="A81" s="234" t="s">
        <v>391</v>
      </c>
      <c r="B81" s="247" t="s">
        <v>311</v>
      </c>
      <c r="C81" s="281" t="n">
        <f aca="false">C98*$C$168</f>
        <v>1288980</v>
      </c>
      <c r="D81" s="281" t="n">
        <f aca="false">D98*$C$168</f>
        <v>2137752</v>
      </c>
      <c r="E81" s="281" t="n">
        <f aca="false">E98*$C$168</f>
        <v>2818756.8</v>
      </c>
      <c r="F81" s="281" t="n">
        <f aca="false">F98*$C$168</f>
        <v>3367884.96</v>
      </c>
      <c r="G81" s="281" t="n">
        <f aca="false">G98*$C$168</f>
        <v>4743239.40698314</v>
      </c>
      <c r="H81" s="281" t="n">
        <f aca="false">H98*$C$168</f>
        <v>10341030.9368064</v>
      </c>
      <c r="I81" s="281" t="n">
        <f aca="false">I98*$C$168</f>
        <v>11771836.5141612</v>
      </c>
      <c r="J81" s="281" t="n">
        <f aca="false">J98*$C$168</f>
        <v>13301163.3061165</v>
      </c>
    </row>
    <row r="82" customFormat="false" ht="15" hidden="false" customHeight="false" outlineLevel="0" collapsed="false">
      <c r="A82" s="198" t="s">
        <v>392</v>
      </c>
      <c r="B82" s="247" t="s">
        <v>311</v>
      </c>
      <c r="C82" s="283" t="n">
        <f aca="false">C59+C80+C81</f>
        <v>12195131.2</v>
      </c>
      <c r="D82" s="283" t="n">
        <f aca="false">D59+D80+D81</f>
        <v>16414163.25</v>
      </c>
      <c r="E82" s="283" t="n">
        <f aca="false">E59+E80+E81</f>
        <v>23281582.1845</v>
      </c>
      <c r="F82" s="283" t="n">
        <f aca="false">F59+F80+F81</f>
        <v>30719170.3834087</v>
      </c>
      <c r="G82" s="283" t="n">
        <f aca="false">G59+G80+G81</f>
        <v>39459962.8614914</v>
      </c>
      <c r="H82" s="283" t="n">
        <f aca="false">H59+H80+H81</f>
        <v>60909642.3942658</v>
      </c>
      <c r="I82" s="283" t="n">
        <f aca="false">I59+I80+I81</f>
        <v>74954279.0518415</v>
      </c>
      <c r="J82" s="283" t="n">
        <f aca="false">J59+J80+J81</f>
        <v>89256897.1364555</v>
      </c>
    </row>
    <row r="83" customFormat="false" ht="15" hidden="false" customHeight="false" outlineLevel="0" collapsed="false">
      <c r="A83" s="234" t="s">
        <v>393</v>
      </c>
      <c r="B83" s="247" t="s">
        <v>308</v>
      </c>
      <c r="C83" s="239" t="n">
        <f aca="false">C82/C39</f>
        <v>0.627378363473236</v>
      </c>
      <c r="D83" s="239" t="n">
        <f aca="false">D82/D39</f>
        <v>0.530716890703768</v>
      </c>
      <c r="E83" s="239" t="n">
        <f aca="false">E82/E39</f>
        <v>0.489658932310139</v>
      </c>
      <c r="F83" s="239" t="n">
        <f aca="false">F82/F39</f>
        <v>0.482445875488389</v>
      </c>
      <c r="G83" s="239" t="n">
        <f aca="false">G82/G39</f>
        <v>0.494853975557777</v>
      </c>
      <c r="H83" s="239" t="n">
        <f aca="false">H82/H39</f>
        <v>0.551709455095255</v>
      </c>
      <c r="I83" s="239" t="n">
        <f aca="false">I82/I39</f>
        <v>0.529321933034939</v>
      </c>
      <c r="J83" s="239" t="n">
        <f aca="false">J82/J39</f>
        <v>0.524061045664692</v>
      </c>
    </row>
    <row r="84" customFormat="false" ht="15" hidden="false" customHeight="false" outlineLevel="0" collapsed="false">
      <c r="A84" s="198" t="s">
        <v>394</v>
      </c>
      <c r="B84" s="247" t="s">
        <v>308</v>
      </c>
      <c r="C84" s="285" t="n">
        <f aca="false">1-C83</f>
        <v>0.372621636526764</v>
      </c>
      <c r="D84" s="285" t="n">
        <f aca="false">1-D83</f>
        <v>0.469283109296232</v>
      </c>
      <c r="E84" s="285" t="n">
        <f aca="false">1-E83</f>
        <v>0.510341067689861</v>
      </c>
      <c r="F84" s="285" t="n">
        <f aca="false">1-F83</f>
        <v>0.517554124511611</v>
      </c>
      <c r="G84" s="285" t="n">
        <f aca="false">1-G83</f>
        <v>0.505146024442223</v>
      </c>
      <c r="H84" s="285" t="n">
        <f aca="false">1-H83</f>
        <v>0.448290544904745</v>
      </c>
      <c r="I84" s="285" t="n">
        <f aca="false">1-I83</f>
        <v>0.470678066965061</v>
      </c>
      <c r="J84" s="285" t="n">
        <f aca="false">1-J83</f>
        <v>0.475938954335309</v>
      </c>
      <c r="K84" s="247" t="s">
        <v>395</v>
      </c>
    </row>
    <row r="85" customFormat="false" ht="15" hidden="false" customHeight="false" outlineLevel="0" collapsed="false">
      <c r="A85" s="234" t="s">
        <v>396</v>
      </c>
      <c r="B85" s="247" t="s">
        <v>308</v>
      </c>
      <c r="C85" s="239" t="n">
        <f aca="false">1-C59/C39</f>
        <v>0.690725538937682</v>
      </c>
      <c r="D85" s="239" t="n">
        <f aca="false">1-D59/D39</f>
        <v>0.712477712553412</v>
      </c>
      <c r="E85" s="239" t="n">
        <f aca="false">1-E59/E39</f>
        <v>0.728151562248349</v>
      </c>
      <c r="F85" s="239" t="n">
        <f aca="false">1-F59/F39</f>
        <v>0.727946900839612</v>
      </c>
      <c r="G85" s="239" t="n">
        <f aca="false">1-G59/G39</f>
        <v>0.725629376867233</v>
      </c>
      <c r="H85" s="239" t="n">
        <f aca="false">1-H59/H39</f>
        <v>0.70645789081262</v>
      </c>
      <c r="I85" s="239" t="n">
        <f aca="false">1-I59/I39</f>
        <v>0.714809962006536</v>
      </c>
      <c r="J85" s="239" t="n">
        <f aca="false">1-J59/J39</f>
        <v>0.711535121403536</v>
      </c>
    </row>
    <row r="86" customFormat="false" ht="15" hidden="false" customHeight="false" outlineLevel="0" collapsed="false">
      <c r="A86" s="234" t="s">
        <v>397</v>
      </c>
      <c r="B86" s="247" t="s">
        <v>311</v>
      </c>
      <c r="C86" s="281" t="n">
        <f aca="false">C62*(1-$C$167)</f>
        <v>2097600</v>
      </c>
      <c r="D86" s="281" t="n">
        <f aca="false">D62*(1-$C$167)</f>
        <v>2307360</v>
      </c>
      <c r="E86" s="281" t="n">
        <f aca="false">E62*(1-$C$167)</f>
        <v>3230304</v>
      </c>
      <c r="F86" s="281" t="n">
        <f aca="false">F62*(1-$C$167)</f>
        <v>4297982.6468223</v>
      </c>
      <c r="G86" s="281" t="n">
        <f aca="false">G62*(1-$C$167)</f>
        <v>5502102.78572372</v>
      </c>
      <c r="H86" s="281" t="n">
        <f aca="false">H62*(1-$C$167)</f>
        <v>7783317.37681447</v>
      </c>
      <c r="I86" s="281" t="n">
        <f aca="false">I62*(1-$C$167)</f>
        <v>9770698.94860315</v>
      </c>
      <c r="J86" s="281" t="n">
        <f aca="false">J62*(1-$C$167)</f>
        <v>11496447.9931325</v>
      </c>
    </row>
    <row r="87" customFormat="false" ht="15" hidden="false" customHeight="false" outlineLevel="0" collapsed="false">
      <c r="A87" s="234" t="s">
        <v>398</v>
      </c>
      <c r="B87" s="247" t="s">
        <v>311</v>
      </c>
      <c r="C87" s="281" t="n">
        <f aca="false">C98*(1-$C$168)</f>
        <v>143220</v>
      </c>
      <c r="D87" s="281" t="n">
        <f aca="false">D98*(1-$C$168)</f>
        <v>237528</v>
      </c>
      <c r="E87" s="281" t="n">
        <f aca="false">E98*(1-$C$168)</f>
        <v>313195.2</v>
      </c>
      <c r="F87" s="281" t="n">
        <f aca="false">F98*(1-$C$168)</f>
        <v>374209.44</v>
      </c>
      <c r="G87" s="281" t="n">
        <f aca="false">G98*(1-$C$168)</f>
        <v>527026.600775904</v>
      </c>
      <c r="H87" s="281" t="n">
        <f aca="false">H98*(1-$C$168)</f>
        <v>1149003.43742293</v>
      </c>
      <c r="I87" s="281" t="n">
        <f aca="false">I98*(1-$C$168)</f>
        <v>1307981.8349068</v>
      </c>
      <c r="J87" s="281" t="n">
        <f aca="false">J98*(1-$C$168)</f>
        <v>1477907.03401294</v>
      </c>
    </row>
    <row r="88" customFormat="false" ht="15" hidden="false" customHeight="false" outlineLevel="0" collapsed="false">
      <c r="A88" s="198" t="s">
        <v>96</v>
      </c>
      <c r="B88" s="247" t="s">
        <v>311</v>
      </c>
      <c r="C88" s="283" t="n">
        <f aca="false">C86+C64+C66+C68+C70+C72+C74+C87</f>
        <v>11437820</v>
      </c>
      <c r="D88" s="283" t="n">
        <f aca="false">D86+D64+D66+D68+D70+D72+D74+D87</f>
        <v>14874838</v>
      </c>
      <c r="E88" s="283" t="n">
        <f aca="false">E86+E64+E66+E68+E70+E72+E74+E87</f>
        <v>19702268.7</v>
      </c>
      <c r="F88" s="283" t="n">
        <f aca="false">F86+F64+F66+F68+F70+F72+F74+F87</f>
        <v>25312536.9719047</v>
      </c>
      <c r="G88" s="283" t="n">
        <f aca="false">G86+G64+G66+G68+G70+G72+G74+G87</f>
        <v>31281148.6466256</v>
      </c>
      <c r="H88" s="283" t="n">
        <f aca="false">H86+H64+H66+H68+H70+H72+H74+H87</f>
        <v>43224542.3362469</v>
      </c>
      <c r="I88" s="283" t="n">
        <f aca="false">I86+I64+I66+I68+I70+I72+I74+I87</f>
        <v>52803207.6332009</v>
      </c>
      <c r="J88" s="283" t="n">
        <f aca="false">J86+J64+J66+J68+J70+J72+J74+J87</f>
        <v>61405286.8498447</v>
      </c>
    </row>
    <row r="89" customFormat="false" ht="15" hidden="false" customHeight="false" outlineLevel="0" collapsed="false">
      <c r="A89" s="234" t="s">
        <v>399</v>
      </c>
      <c r="B89" s="247" t="s">
        <v>308</v>
      </c>
      <c r="C89" s="239" t="n">
        <f aca="false">C88/C39</f>
        <v>0.58841849879413</v>
      </c>
      <c r="D89" s="239" t="n">
        <f aca="false">D88/D39</f>
        <v>0.480946098369179</v>
      </c>
      <c r="E89" s="239" t="n">
        <f aca="false">E88/E39</f>
        <v>0.41437870413087</v>
      </c>
      <c r="F89" s="239" t="n">
        <f aca="false">F88/F39</f>
        <v>0.39753446814561</v>
      </c>
      <c r="G89" s="239" t="n">
        <f aca="false">G88/G39</f>
        <v>0.392286247762865</v>
      </c>
      <c r="H89" s="239" t="n">
        <f aca="false">H88/H39</f>
        <v>0.391520747153781</v>
      </c>
      <c r="I89" s="239" t="n">
        <f aca="false">I88/I39</f>
        <v>0.372892599173956</v>
      </c>
      <c r="J89" s="239" t="n">
        <f aca="false">J88/J39</f>
        <v>0.360533693958385</v>
      </c>
    </row>
    <row r="90" customFormat="false" ht="15" hidden="false" customHeight="false" outlineLevel="0" collapsed="false">
      <c r="A90" s="198" t="s">
        <v>400</v>
      </c>
      <c r="B90" s="247" t="s">
        <v>311</v>
      </c>
      <c r="C90" s="283" t="n">
        <f aca="false">C39-C82-C88</f>
        <v>-4194711.2</v>
      </c>
      <c r="D90" s="283" t="n">
        <f aca="false">D39-D82-D88</f>
        <v>-360716.25</v>
      </c>
      <c r="E90" s="283" t="n">
        <f aca="false">E39-E82-E88</f>
        <v>4562677.2155</v>
      </c>
      <c r="F90" s="283" t="n">
        <f aca="false">F39-F82-F88</f>
        <v>7642109.63464663</v>
      </c>
      <c r="G90" s="283" t="n">
        <f aca="false">G39-G82-G88</f>
        <v>8999508.57483552</v>
      </c>
      <c r="H90" s="283" t="n">
        <f aca="false">H39-H82-H88</f>
        <v>6267480.18884142</v>
      </c>
      <c r="I90" s="283" t="n">
        <f aca="false">I39-I82-I88</f>
        <v>13846845.903409</v>
      </c>
      <c r="J90" s="283" t="n">
        <f aca="false">J39-J82-J88</f>
        <v>19655564.0601068</v>
      </c>
    </row>
    <row r="92" customFormat="false" ht="15" hidden="false" customHeight="false" outlineLevel="0" collapsed="false">
      <c r="A92" s="275" t="s">
        <v>401</v>
      </c>
      <c r="B92" s="276"/>
      <c r="C92" s="276"/>
      <c r="D92" s="276"/>
      <c r="E92" s="276"/>
      <c r="F92" s="276"/>
      <c r="G92" s="276"/>
      <c r="H92" s="276"/>
      <c r="I92" s="276"/>
      <c r="J92" s="276"/>
      <c r="K92" s="276"/>
    </row>
    <row r="93" customFormat="false" ht="30" hidden="false" customHeight="true" outlineLevel="0" collapsed="false">
      <c r="A93" s="198" t="s">
        <v>402</v>
      </c>
      <c r="B93" s="247" t="s">
        <v>308</v>
      </c>
      <c r="C93" s="285" t="n">
        <f aca="false">C95/C39</f>
        <v>0.257687938825737</v>
      </c>
      <c r="D93" s="285" t="n">
        <f aca="false">D95/D39</f>
        <v>0.2038781005801</v>
      </c>
      <c r="E93" s="285" t="n">
        <f aca="false">E95/E39</f>
        <v>0.106937776598666</v>
      </c>
      <c r="F93" s="285" t="n">
        <f aca="false">IF(F$7=$C$4,$C$158,IF(F$7=$C$4+1,$C$159,F94))</f>
        <v>0.2</v>
      </c>
      <c r="G93" s="285" t="n">
        <f aca="false">IF(G$7=$C$4,$C$158,IF(G$7=$C$4+1,$C$159,G94))</f>
        <v>0.65</v>
      </c>
      <c r="H93" s="285" t="n">
        <f aca="false">IF(H$7=$C$4,$C$158,IF(H$7=$C$4+1,$C$159,H94))</f>
        <v>0.12</v>
      </c>
      <c r="I93" s="285" t="n">
        <f aca="false">IF(I$7=$C$4,$C$158,IF(I$7=$C$4+1,$C$159,I94))</f>
        <v>0.1</v>
      </c>
      <c r="J93" s="285" t="n">
        <f aca="false">IF(J$7=$C$4,$C$158,IF(J$7=$C$4+1,$C$159,J94))</f>
        <v>0.1</v>
      </c>
      <c r="K93" s="280" t="s">
        <v>403</v>
      </c>
    </row>
    <row r="94" customFormat="false" ht="20.25" hidden="false" customHeight="true" outlineLevel="0" collapsed="false">
      <c r="A94" s="234" t="s">
        <v>404</v>
      </c>
      <c r="B94" s="247" t="s">
        <v>308</v>
      </c>
      <c r="F94" s="290" t="n">
        <v>0.2</v>
      </c>
      <c r="G94" s="290" t="n">
        <v>0.2</v>
      </c>
      <c r="H94" s="290" t="n">
        <v>0.1</v>
      </c>
      <c r="I94" s="290" t="n">
        <v>0.1</v>
      </c>
      <c r="J94" s="290" t="n">
        <v>0.1</v>
      </c>
      <c r="K94" s="280" t="s">
        <v>405</v>
      </c>
    </row>
    <row r="95" customFormat="false" ht="15" hidden="false" customHeight="false" outlineLevel="0" collapsed="false">
      <c r="A95" s="198" t="s">
        <v>406</v>
      </c>
      <c r="B95" s="247" t="s">
        <v>311</v>
      </c>
      <c r="C95" s="283" t="n">
        <f aca="false">SUM('Balance Sheet'!E29:E31)-SUM('Balance Sheet'!D29:D31)</f>
        <v>5009000</v>
      </c>
      <c r="D95" s="283" t="n">
        <f aca="false">SUM('Balance Sheet'!F29:F31)-SUM('Balance Sheet'!E29:E31)</f>
        <v>6305600</v>
      </c>
      <c r="E95" s="283" t="n">
        <f aca="false">SUM('Balance Sheet'!G29:G31)-SUM('Balance Sheet'!F29:F31)</f>
        <v>5084520</v>
      </c>
      <c r="F95" s="283" t="n">
        <f aca="false">F39*F93</f>
        <v>12734763.397992</v>
      </c>
      <c r="G95" s="283" t="n">
        <f aca="false">G39*G93</f>
        <v>51831403.0539191</v>
      </c>
      <c r="H95" s="283" t="n">
        <f aca="false">H39*H93</f>
        <v>13248199.7903225</v>
      </c>
      <c r="I95" s="283" t="n">
        <f aca="false">I39*I93</f>
        <v>14160433.2588451</v>
      </c>
      <c r="J95" s="283" t="n">
        <f aca="false">J39*J93</f>
        <v>17031774.8046407</v>
      </c>
    </row>
    <row r="96" customFormat="false" ht="15" hidden="false" customHeight="false" outlineLevel="0" collapsed="false">
      <c r="A96" s="234" t="s">
        <v>407</v>
      </c>
      <c r="B96" s="247" t="s">
        <v>311</v>
      </c>
      <c r="C96" s="289" t="n">
        <f aca="false">SUM('Balance Sheet'!E29:E31)</f>
        <v>19794000</v>
      </c>
      <c r="D96" s="289" t="n">
        <f aca="false">SUM('Balance Sheet'!F29:F31)</f>
        <v>26099600</v>
      </c>
      <c r="E96" s="289" t="n">
        <f aca="false">SUM('Balance Sheet'!G29:G31)</f>
        <v>31184120</v>
      </c>
      <c r="F96" s="281" t="n">
        <f aca="false">E96+F95</f>
        <v>43918883.397992</v>
      </c>
      <c r="G96" s="281" t="n">
        <f aca="false">F96+G95</f>
        <v>95750286.4519111</v>
      </c>
      <c r="H96" s="281" t="n">
        <f aca="false">G96+H95</f>
        <v>108998486.242234</v>
      </c>
      <c r="I96" s="281" t="n">
        <f aca="false">H96+I95</f>
        <v>123158919.501079</v>
      </c>
      <c r="J96" s="281" t="n">
        <f aca="false">I96+J95</f>
        <v>140190694.305719</v>
      </c>
    </row>
    <row r="97" customFormat="false" ht="15" hidden="false" customHeight="false" outlineLevel="0" collapsed="false">
      <c r="A97" s="234" t="s">
        <v>408</v>
      </c>
      <c r="B97" s="247" t="s">
        <v>308</v>
      </c>
      <c r="D97" s="239" t="n">
        <f aca="false">D98/C96</f>
        <v>0.12</v>
      </c>
      <c r="E97" s="239" t="n">
        <f aca="false">E98/D96</f>
        <v>0.12</v>
      </c>
      <c r="F97" s="240" t="n">
        <f aca="false">Assumption!$D$17</f>
        <v>0.12</v>
      </c>
      <c r="G97" s="240" t="n">
        <f aca="false">Assumption!$D$17</f>
        <v>0.12</v>
      </c>
      <c r="H97" s="240" t="n">
        <f aca="false">Assumption!$D$17</f>
        <v>0.12</v>
      </c>
      <c r="I97" s="240" t="n">
        <f aca="false">Assumption!$D$17</f>
        <v>0.12</v>
      </c>
      <c r="J97" s="240" t="n">
        <f aca="false">Assumption!$D$17</f>
        <v>0.12</v>
      </c>
      <c r="K97" s="280" t="s">
        <v>409</v>
      </c>
    </row>
    <row r="98" customFormat="false" ht="15" hidden="false" customHeight="false" outlineLevel="0" collapsed="false">
      <c r="A98" s="234" t="s">
        <v>180</v>
      </c>
      <c r="B98" s="247" t="s">
        <v>311</v>
      </c>
      <c r="C98" s="289" t="n">
        <f aca="false">'Income Statement'!B71</f>
        <v>1432200</v>
      </c>
      <c r="D98" s="289" t="n">
        <f aca="false">'Income Statement'!C71</f>
        <v>2375280</v>
      </c>
      <c r="E98" s="289" t="n">
        <f aca="false">'Income Statement'!D71</f>
        <v>3131952</v>
      </c>
      <c r="F98" s="281" t="n">
        <f aca="false">E96*F97</f>
        <v>3742094.4</v>
      </c>
      <c r="G98" s="281" t="n">
        <f aca="false">F96*G97</f>
        <v>5270266.00775904</v>
      </c>
      <c r="H98" s="281" t="n">
        <f aca="false">G96*H97</f>
        <v>11490034.3742293</v>
      </c>
      <c r="I98" s="281" t="n">
        <f aca="false">H96*I97</f>
        <v>13079818.349068</v>
      </c>
      <c r="J98" s="281" t="n">
        <f aca="false">I96*J97</f>
        <v>14779070.3401295</v>
      </c>
    </row>
    <row r="99" customFormat="false" ht="15" hidden="false" customHeight="false" outlineLevel="0" collapsed="false">
      <c r="A99" s="234" t="s">
        <v>135</v>
      </c>
      <c r="B99" s="247" t="s">
        <v>311</v>
      </c>
      <c r="C99" s="289" t="n">
        <f aca="false">'Balance Sheet'!E26</f>
        <v>4282200</v>
      </c>
      <c r="D99" s="289" t="n">
        <f aca="false">'Balance Sheet'!F26</f>
        <v>6657480</v>
      </c>
      <c r="E99" s="289" t="n">
        <f aca="false">'Balance Sheet'!G26</f>
        <v>9789432</v>
      </c>
      <c r="F99" s="281" t="n">
        <f aca="false">E99+F98</f>
        <v>13531526.4</v>
      </c>
      <c r="G99" s="281" t="n">
        <f aca="false">F99+G98</f>
        <v>18801792.407759</v>
      </c>
      <c r="H99" s="281" t="n">
        <f aca="false">G99+H98</f>
        <v>30291826.7819884</v>
      </c>
      <c r="I99" s="281" t="n">
        <f aca="false">H99+I98</f>
        <v>43371645.1310564</v>
      </c>
      <c r="J99" s="281" t="n">
        <f aca="false">I99+J98</f>
        <v>58150715.4711859</v>
      </c>
    </row>
    <row r="100" customFormat="false" ht="15" hidden="false" customHeight="false" outlineLevel="0" collapsed="false">
      <c r="A100" s="198" t="s">
        <v>410</v>
      </c>
      <c r="B100" s="247" t="s">
        <v>311</v>
      </c>
      <c r="C100" s="283" t="n">
        <f aca="false">C96-C99</f>
        <v>15511800</v>
      </c>
      <c r="D100" s="283" t="n">
        <f aca="false">D96-D99</f>
        <v>19442120</v>
      </c>
      <c r="E100" s="283" t="n">
        <f aca="false">E96-E99</f>
        <v>21394688</v>
      </c>
      <c r="F100" s="283" t="n">
        <f aca="false">F96-F99</f>
        <v>30387356.997992</v>
      </c>
      <c r="G100" s="283" t="n">
        <f aca="false">G96-G99</f>
        <v>76948494.0441521</v>
      </c>
      <c r="H100" s="283" t="n">
        <f aca="false">H96-H99</f>
        <v>78706659.4602453</v>
      </c>
      <c r="I100" s="283" t="n">
        <f aca="false">I96-I99</f>
        <v>79787274.3700223</v>
      </c>
      <c r="J100" s="283" t="n">
        <f aca="false">J96-J99</f>
        <v>82039978.8345336</v>
      </c>
    </row>
    <row r="101" customFormat="false" ht="15" hidden="false" customHeight="false" outlineLevel="0" collapsed="false">
      <c r="A101" s="234" t="s">
        <v>411</v>
      </c>
      <c r="B101" s="247" t="s">
        <v>308</v>
      </c>
      <c r="C101" s="239" t="n">
        <f aca="false">C98/C39</f>
        <v>0.0736795100791018</v>
      </c>
      <c r="D101" s="239" t="n">
        <f aca="false">D98/D39</f>
        <v>0.0767996026937801</v>
      </c>
      <c r="E101" s="239" t="n">
        <f aca="false">E98/E39</f>
        <v>0.0658713080671815</v>
      </c>
      <c r="F101" s="239" t="n">
        <f aca="false">F98/F39</f>
        <v>0.0587697514755562</v>
      </c>
      <c r="G101" s="239" t="n">
        <f aca="false">G98/G39</f>
        <v>0.0660926138055673</v>
      </c>
      <c r="H101" s="239" t="n">
        <f aca="false">H98/H39</f>
        <v>0.104074828786527</v>
      </c>
      <c r="I101" s="239" t="n">
        <f aca="false">I98/I39</f>
        <v>0.0923687722683053</v>
      </c>
      <c r="J101" s="239" t="n">
        <f aca="false">J98/J39</f>
        <v>0.0867735189646974</v>
      </c>
    </row>
    <row r="103" customFormat="false" ht="15" hidden="false" customHeight="false" outlineLevel="0" collapsed="false">
      <c r="A103" s="275" t="s">
        <v>412</v>
      </c>
      <c r="B103" s="276"/>
      <c r="C103" s="276"/>
      <c r="D103" s="276"/>
      <c r="E103" s="276"/>
      <c r="F103" s="276"/>
      <c r="G103" s="276"/>
      <c r="H103" s="276"/>
      <c r="I103" s="276"/>
      <c r="J103" s="276"/>
      <c r="K103" s="276"/>
    </row>
    <row r="104" customFormat="false" ht="20.25" hidden="false" customHeight="true" outlineLevel="0" collapsed="false">
      <c r="A104" s="234" t="s">
        <v>413</v>
      </c>
      <c r="B104" s="247" t="s">
        <v>414</v>
      </c>
      <c r="C104" s="291" t="n">
        <f aca="false">'Balance Sheet'!E10/C59*365</f>
        <v>151.72534086241</v>
      </c>
      <c r="D104" s="291" t="n">
        <f aca="false">'Balance Sheet'!F10/D59*365</f>
        <v>123.087234189999</v>
      </c>
      <c r="E104" s="291" t="n">
        <f aca="false">'Balance Sheet'!G10/E59*365</f>
        <v>105.853379584676</v>
      </c>
      <c r="F104" s="292" t="n">
        <v>100</v>
      </c>
      <c r="G104" s="292" t="n">
        <v>100</v>
      </c>
      <c r="H104" s="292" t="n">
        <v>105</v>
      </c>
      <c r="I104" s="292" t="n">
        <v>100</v>
      </c>
      <c r="J104" s="292" t="n">
        <v>95</v>
      </c>
      <c r="K104" s="280" t="s">
        <v>415</v>
      </c>
    </row>
    <row r="105" customFormat="false" ht="15" hidden="false" customHeight="false" outlineLevel="0" collapsed="false">
      <c r="A105" s="234" t="s">
        <v>120</v>
      </c>
      <c r="B105" s="247" t="s">
        <v>311</v>
      </c>
      <c r="C105" s="289" t="n">
        <f aca="false">'Balance Sheet'!E10</f>
        <v>2499000</v>
      </c>
      <c r="D105" s="289" t="n">
        <f aca="false">'Balance Sheet'!F10</f>
        <v>2998800</v>
      </c>
      <c r="E105" s="289" t="n">
        <f aca="false">'Balance Sheet'!G10</f>
        <v>3748500</v>
      </c>
      <c r="F105" s="281" t="n">
        <f aca="false">F59*F104/365</f>
        <v>4745934.04040822</v>
      </c>
      <c r="G105" s="281" t="n">
        <f aca="false">G59*G104/365</f>
        <v>5994105.10168572</v>
      </c>
      <c r="H105" s="281" t="n">
        <f aca="false">H59*H104/365</f>
        <v>9322716.28962655</v>
      </c>
      <c r="I105" s="281" t="n">
        <f aca="false">I59*I104/365</f>
        <v>11064149.3125862</v>
      </c>
      <c r="J105" s="281" t="n">
        <f aca="false">J59*J104/365</f>
        <v>12787439.4759941</v>
      </c>
    </row>
    <row r="106" customFormat="false" ht="20.25" hidden="false" customHeight="true" outlineLevel="0" collapsed="false">
      <c r="A106" s="234" t="s">
        <v>416</v>
      </c>
      <c r="B106" s="247" t="s">
        <v>414</v>
      </c>
      <c r="C106" s="291" t="n">
        <f aca="false">'Balance Sheet'!E13/C39*365</f>
        <v>23.6595494242277</v>
      </c>
      <c r="D106" s="291" t="n">
        <f aca="false">'Balance Sheet'!F13/D39*365</f>
        <v>18.1412580749304</v>
      </c>
      <c r="E106" s="291" t="n">
        <f aca="false">'Balance Sheet'!G13/E39*365</f>
        <v>13.5707006543765</v>
      </c>
      <c r="F106" s="292" t="n">
        <v>18</v>
      </c>
      <c r="G106" s="292" t="n">
        <v>22</v>
      </c>
      <c r="H106" s="292" t="n">
        <v>26</v>
      </c>
      <c r="I106" s="292" t="n">
        <v>30</v>
      </c>
      <c r="J106" s="292" t="n">
        <v>30</v>
      </c>
      <c r="K106" s="280" t="s">
        <v>417</v>
      </c>
    </row>
    <row r="107" customFormat="false" ht="15" hidden="false" customHeight="false" outlineLevel="0" collapsed="false">
      <c r="A107" s="234" t="s">
        <v>123</v>
      </c>
      <c r="B107" s="247" t="s">
        <v>311</v>
      </c>
      <c r="C107" s="289" t="n">
        <f aca="false">'Balance Sheet'!E13</f>
        <v>1260000</v>
      </c>
      <c r="D107" s="289" t="n">
        <f aca="false">'Balance Sheet'!F13</f>
        <v>1537200</v>
      </c>
      <c r="E107" s="289" t="n">
        <f aca="false">'Balance Sheet'!G13</f>
        <v>1767780</v>
      </c>
      <c r="F107" s="281" t="n">
        <f aca="false">F39*F106/365</f>
        <v>3140078.64608022</v>
      </c>
      <c r="G107" s="281" t="n">
        <f aca="false">G39*G106/365</f>
        <v>4806283.95020536</v>
      </c>
      <c r="H107" s="281" t="n">
        <f aca="false">H39*H106/365</f>
        <v>7864228.18603618</v>
      </c>
      <c r="I107" s="281" t="n">
        <f aca="false">I39*I106/365</f>
        <v>11638712.267544</v>
      </c>
      <c r="J107" s="281" t="n">
        <f aca="false">J39*J106/365</f>
        <v>13998719.0175129</v>
      </c>
    </row>
    <row r="108" customFormat="false" ht="15" hidden="false" customHeight="false" outlineLevel="0" collapsed="false">
      <c r="A108" s="234" t="s">
        <v>418</v>
      </c>
      <c r="B108" s="247" t="s">
        <v>308</v>
      </c>
      <c r="C108" s="239" t="n">
        <f aca="false">'Balance Sheet'!E20/C39</f>
        <v>0.0634316687107475</v>
      </c>
      <c r="D108" s="239" t="n">
        <f aca="false">'Balance Sheet'!F20/D39</f>
        <v>0.055279495775469</v>
      </c>
      <c r="E108" s="239" t="n">
        <f aca="false">'Balance Sheet'!G20/E39</f>
        <v>0.0436012908374692</v>
      </c>
      <c r="F108" s="290" t="n">
        <v>0.04</v>
      </c>
      <c r="G108" s="290" t="n">
        <v>0.04</v>
      </c>
      <c r="H108" s="290" t="n">
        <v>0.04</v>
      </c>
      <c r="I108" s="290" t="n">
        <v>0.04</v>
      </c>
      <c r="J108" s="290" t="n">
        <v>0.04</v>
      </c>
      <c r="K108" s="280" t="s">
        <v>419</v>
      </c>
    </row>
    <row r="109" customFormat="false" ht="15" hidden="false" customHeight="false" outlineLevel="0" collapsed="false">
      <c r="A109" s="234" t="s">
        <v>420</v>
      </c>
      <c r="B109" s="247" t="s">
        <v>311</v>
      </c>
      <c r="C109" s="289" t="n">
        <f aca="false">'Balance Sheet'!E20</f>
        <v>1233000</v>
      </c>
      <c r="D109" s="289" t="n">
        <f aca="false">'Balance Sheet'!F20</f>
        <v>1709700</v>
      </c>
      <c r="E109" s="289" t="n">
        <f aca="false">'Balance Sheet'!G20</f>
        <v>2073090</v>
      </c>
      <c r="F109" s="281" t="n">
        <f aca="false">F39*F108</f>
        <v>2546952.6795984</v>
      </c>
      <c r="G109" s="281" t="n">
        <f aca="false">G39*G108</f>
        <v>3189624.8033181</v>
      </c>
      <c r="H109" s="281" t="n">
        <f aca="false">H39*H108</f>
        <v>4416066.59677417</v>
      </c>
      <c r="I109" s="281" t="n">
        <f aca="false">I39*I108</f>
        <v>5664173.30353806</v>
      </c>
      <c r="J109" s="281" t="n">
        <f aca="false">J39*J108</f>
        <v>6812709.92185628</v>
      </c>
    </row>
    <row r="110" customFormat="false" ht="15" hidden="false" customHeight="false" outlineLevel="0" collapsed="false">
      <c r="A110" s="234" t="s">
        <v>421</v>
      </c>
      <c r="B110" s="247" t="s">
        <v>414</v>
      </c>
      <c r="C110" s="291" t="n">
        <f aca="false">'Balance Sheet'!E41/C59*365</f>
        <v>9.47144984975426</v>
      </c>
      <c r="D110" s="291" t="n">
        <f aca="false">'Balance Sheet'!F41/D59*365</f>
        <v>8.32402664190068</v>
      </c>
      <c r="E110" s="291" t="n">
        <f aca="false">'Balance Sheet'!G41/E59*365</f>
        <v>7.44489395590345</v>
      </c>
      <c r="F110" s="292" t="n">
        <v>10</v>
      </c>
      <c r="G110" s="292" t="n">
        <v>12</v>
      </c>
      <c r="H110" s="292" t="n">
        <v>15</v>
      </c>
      <c r="I110" s="292" t="n">
        <v>15</v>
      </c>
      <c r="J110" s="292" t="n">
        <v>15</v>
      </c>
      <c r="K110" s="280" t="s">
        <v>422</v>
      </c>
    </row>
    <row r="111" customFormat="false" ht="15" hidden="false" customHeight="false" outlineLevel="0" collapsed="false">
      <c r="A111" s="234" t="s">
        <v>145</v>
      </c>
      <c r="B111" s="247" t="s">
        <v>311</v>
      </c>
      <c r="C111" s="289" t="n">
        <f aca="false">'Balance Sheet'!E41</f>
        <v>156000</v>
      </c>
      <c r="D111" s="289" t="n">
        <f aca="false">'Balance Sheet'!F41</f>
        <v>202800</v>
      </c>
      <c r="E111" s="289" t="n">
        <f aca="false">'Balance Sheet'!G41</f>
        <v>263640</v>
      </c>
      <c r="F111" s="281" t="n">
        <f aca="false">F59*F110/365</f>
        <v>474593.404040822</v>
      </c>
      <c r="G111" s="281" t="n">
        <f aca="false">G59*G110/365</f>
        <v>719292.612202287</v>
      </c>
      <c r="H111" s="281" t="n">
        <f aca="false">H59*H110/365</f>
        <v>1331816.61280379</v>
      </c>
      <c r="I111" s="281" t="n">
        <f aca="false">I59*I110/365</f>
        <v>1659622.39688793</v>
      </c>
      <c r="J111" s="281" t="n">
        <f aca="false">J59*J110/365</f>
        <v>2019069.39094643</v>
      </c>
    </row>
    <row r="112" customFormat="false" ht="15" hidden="false" customHeight="false" outlineLevel="0" collapsed="false">
      <c r="A112" s="234" t="s">
        <v>423</v>
      </c>
      <c r="B112" s="247" t="s">
        <v>308</v>
      </c>
      <c r="C112" s="235" t="n">
        <f aca="false">'Balance Sheet'!E56/C39</f>
        <v>0.0024076253817218</v>
      </c>
      <c r="D112" s="235" t="n">
        <f aca="false">'Balance Sheet'!F56/D39</f>
        <v>0.00196713138151695</v>
      </c>
      <c r="E112" s="235" t="n">
        <f aca="false">'Balance Sheet'!G56/E39</f>
        <v>0.00166346530778553</v>
      </c>
      <c r="F112" s="237" t="n">
        <v>0.002</v>
      </c>
      <c r="G112" s="237" t="n">
        <v>0.002</v>
      </c>
      <c r="H112" s="237" t="n">
        <v>0.002</v>
      </c>
      <c r="I112" s="237" t="n">
        <v>0.002</v>
      </c>
      <c r="J112" s="237" t="n">
        <v>0.002</v>
      </c>
      <c r="K112" s="280" t="s">
        <v>424</v>
      </c>
    </row>
    <row r="113" customFormat="false" ht="15" hidden="false" customHeight="false" outlineLevel="0" collapsed="false">
      <c r="A113" s="234" t="s">
        <v>183</v>
      </c>
      <c r="B113" s="247" t="s">
        <v>311</v>
      </c>
      <c r="C113" s="289" t="n">
        <f aca="false">'Balance Sheet'!E56</f>
        <v>46800</v>
      </c>
      <c r="D113" s="289" t="n">
        <f aca="false">'Balance Sheet'!F56</f>
        <v>60840</v>
      </c>
      <c r="E113" s="289" t="n">
        <f aca="false">'Balance Sheet'!G56</f>
        <v>79092</v>
      </c>
      <c r="F113" s="281" t="n">
        <f aca="false">F39*F112</f>
        <v>127347.63397992</v>
      </c>
      <c r="G113" s="281" t="n">
        <f aca="false">G39*G112</f>
        <v>159481.240165905</v>
      </c>
      <c r="H113" s="281" t="n">
        <f aca="false">H39*H112</f>
        <v>220803.329838708</v>
      </c>
      <c r="I113" s="281" t="n">
        <f aca="false">I39*I112</f>
        <v>283208.665176903</v>
      </c>
      <c r="J113" s="281" t="n">
        <f aca="false">J39*J112</f>
        <v>340635.496092814</v>
      </c>
    </row>
    <row r="114" customFormat="false" ht="15" hidden="false" customHeight="false" outlineLevel="0" collapsed="false">
      <c r="A114" s="198" t="s">
        <v>425</v>
      </c>
      <c r="B114" s="247" t="s">
        <v>311</v>
      </c>
      <c r="C114" s="283" t="n">
        <f aca="false">C105+C107+C109-C111-C113</f>
        <v>4789200</v>
      </c>
      <c r="D114" s="283" t="n">
        <f aca="false">D105+D107+D109-D111-D113</f>
        <v>5982060</v>
      </c>
      <c r="E114" s="283" t="n">
        <f aca="false">E105+E107+E109-E111-E113</f>
        <v>7246638</v>
      </c>
      <c r="F114" s="283" t="n">
        <f aca="false">F105+F107+F109-F111-F113</f>
        <v>9831024.3280661</v>
      </c>
      <c r="G114" s="283" t="n">
        <f aca="false">G105+G107+G109-G111-G113</f>
        <v>13111240.002841</v>
      </c>
      <c r="H114" s="283" t="n">
        <f aca="false">H105+H107+H109-H111-H113</f>
        <v>20050391.1297944</v>
      </c>
      <c r="I114" s="283" t="n">
        <f aca="false">I105+I107+I109-I111-I113</f>
        <v>26424203.8216034</v>
      </c>
      <c r="J114" s="283" t="n">
        <f aca="false">J105+J107+J109-J111-J113</f>
        <v>31239163.528324</v>
      </c>
    </row>
    <row r="115" customFormat="false" ht="15" hidden="false" customHeight="false" outlineLevel="0" collapsed="false">
      <c r="A115" s="234" t="s">
        <v>426</v>
      </c>
      <c r="B115" s="247" t="s">
        <v>311</v>
      </c>
      <c r="D115" s="281" t="n">
        <f aca="false">D114-C114</f>
        <v>1192860</v>
      </c>
      <c r="E115" s="281" t="n">
        <f aca="false">E114-D114</f>
        <v>1264578</v>
      </c>
      <c r="F115" s="281" t="n">
        <f aca="false">F114-E114</f>
        <v>2584386.3280661</v>
      </c>
      <c r="G115" s="281" t="n">
        <f aca="false">G114-F114</f>
        <v>3280215.67477489</v>
      </c>
      <c r="H115" s="281" t="n">
        <f aca="false">H114-G114</f>
        <v>6939151.12695341</v>
      </c>
      <c r="I115" s="281" t="n">
        <f aca="false">I114-H114</f>
        <v>6373812.69180898</v>
      </c>
      <c r="J115" s="281" t="n">
        <f aca="false">J114-I114</f>
        <v>4814959.70672064</v>
      </c>
    </row>
    <row r="116" customFormat="false" ht="15" hidden="false" customHeight="false" outlineLevel="0" collapsed="false">
      <c r="A116" s="234" t="s">
        <v>427</v>
      </c>
      <c r="B116" s="247" t="s">
        <v>308</v>
      </c>
      <c r="C116" s="239" t="n">
        <f aca="false">C114/C39</f>
        <v>0.246380330729531</v>
      </c>
      <c r="D116" s="239" t="n">
        <f aca="false">D114/D39</f>
        <v>0.193417126103177</v>
      </c>
      <c r="E116" s="239" t="n">
        <f aca="false">E114/E39</f>
        <v>0.152411506992873</v>
      </c>
      <c r="F116" s="239" t="n">
        <f aca="false">F114/F39</f>
        <v>0.154396654587493</v>
      </c>
      <c r="G116" s="239" t="n">
        <f aca="false">G114/G39</f>
        <v>0.164423602289544</v>
      </c>
      <c r="H116" s="239" t="n">
        <f aca="false">H114/H39</f>
        <v>0.181613122813327</v>
      </c>
      <c r="I116" s="239" t="n">
        <f aca="false">I114/I39</f>
        <v>0.186605899258752</v>
      </c>
      <c r="J116" s="239" t="n">
        <f aca="false">J114/J39</f>
        <v>0.183416959692376</v>
      </c>
    </row>
    <row r="118" customFormat="false" ht="15" hidden="false" customHeight="false" outlineLevel="0" collapsed="false">
      <c r="A118" s="275" t="s">
        <v>428</v>
      </c>
      <c r="B118" s="276"/>
      <c r="C118" s="276"/>
      <c r="D118" s="276"/>
      <c r="E118" s="276"/>
      <c r="F118" s="276"/>
      <c r="G118" s="276"/>
      <c r="H118" s="276"/>
      <c r="I118" s="276"/>
      <c r="J118" s="276"/>
      <c r="K118" s="276"/>
    </row>
    <row r="119" customFormat="false" ht="15" hidden="false" customHeight="false" outlineLevel="0" collapsed="false">
      <c r="A119" s="234" t="s">
        <v>429</v>
      </c>
      <c r="B119" s="247" t="s">
        <v>308</v>
      </c>
      <c r="F119" s="290" t="n">
        <v>0.05</v>
      </c>
      <c r="G119" s="290" t="n">
        <v>0.05</v>
      </c>
      <c r="H119" s="290" t="n">
        <v>0.05</v>
      </c>
      <c r="I119" s="290" t="n">
        <v>0.05</v>
      </c>
      <c r="J119" s="290" t="n">
        <v>0.05</v>
      </c>
      <c r="K119" s="280" t="s">
        <v>430</v>
      </c>
    </row>
    <row r="120" customFormat="false" ht="15" hidden="false" customHeight="false" outlineLevel="0" collapsed="false">
      <c r="A120" s="234" t="s">
        <v>431</v>
      </c>
      <c r="B120" s="247" t="s">
        <v>311</v>
      </c>
      <c r="F120" s="281" t="n">
        <f aca="false">F39*F119</f>
        <v>3183690.849498</v>
      </c>
      <c r="G120" s="281" t="n">
        <f aca="false">G39*G119</f>
        <v>3987031.00414762</v>
      </c>
      <c r="H120" s="281" t="n">
        <f aca="false">H39*H119</f>
        <v>5520083.24596771</v>
      </c>
      <c r="I120" s="281" t="n">
        <f aca="false">I39*I119</f>
        <v>7080216.62942257</v>
      </c>
      <c r="J120" s="281" t="n">
        <f aca="false">J39*J119</f>
        <v>8515887.40232035</v>
      </c>
    </row>
    <row r="121" customFormat="false" ht="15" hidden="false" customHeight="false" outlineLevel="0" collapsed="false">
      <c r="A121" s="234" t="s">
        <v>432</v>
      </c>
      <c r="B121" s="247" t="s">
        <v>311</v>
      </c>
      <c r="C121" s="289" t="n">
        <f aca="false">'Balance Sheet'!E48</f>
        <v>90000</v>
      </c>
      <c r="D121" s="289" t="n">
        <f aca="false">'Balance Sheet'!F48</f>
        <v>108000</v>
      </c>
      <c r="E121" s="289" t="n">
        <f aca="false">'Balance Sheet'!G48</f>
        <v>102600</v>
      </c>
      <c r="F121" s="281" t="n">
        <f aca="false">E121</f>
        <v>102600</v>
      </c>
      <c r="G121" s="281" t="n">
        <f aca="false">F121</f>
        <v>102600</v>
      </c>
      <c r="H121" s="281" t="n">
        <f aca="false">G121</f>
        <v>102600</v>
      </c>
      <c r="I121" s="281" t="n">
        <f aca="false">H121</f>
        <v>102600</v>
      </c>
      <c r="J121" s="281" t="n">
        <f aca="false">I121</f>
        <v>102600</v>
      </c>
      <c r="K121" s="280" t="s">
        <v>433</v>
      </c>
    </row>
    <row r="122" customFormat="false" ht="15" hidden="false" customHeight="false" outlineLevel="0" collapsed="false">
      <c r="A122" s="234" t="s">
        <v>434</v>
      </c>
      <c r="B122" s="247" t="s">
        <v>311</v>
      </c>
      <c r="C122" s="289" t="n">
        <f aca="false">'Balance Sheet'!E61</f>
        <v>1200000</v>
      </c>
      <c r="D122" s="289" t="n">
        <f aca="false">'Balance Sheet'!F61</f>
        <v>1500000</v>
      </c>
      <c r="E122" s="289" t="n">
        <f aca="false">'Balance Sheet'!G61</f>
        <v>1500000</v>
      </c>
      <c r="F122" s="281" t="n">
        <f aca="false">E122</f>
        <v>1500000</v>
      </c>
      <c r="G122" s="281" t="n">
        <f aca="false">F122</f>
        <v>1500000</v>
      </c>
      <c r="H122" s="281" t="n">
        <f aca="false">G122</f>
        <v>1500000</v>
      </c>
      <c r="I122" s="281" t="n">
        <f aca="false">H122</f>
        <v>1500000</v>
      </c>
      <c r="J122" s="281" t="n">
        <f aca="false">I122</f>
        <v>1500000</v>
      </c>
      <c r="K122" s="280" t="s">
        <v>435</v>
      </c>
    </row>
    <row r="123" customFormat="false" ht="20.25" hidden="false" customHeight="true" outlineLevel="0" collapsed="false">
      <c r="A123" s="234" t="s">
        <v>436</v>
      </c>
      <c r="B123" s="247" t="s">
        <v>308</v>
      </c>
      <c r="E123" s="290" t="n">
        <v>0.6</v>
      </c>
      <c r="K123" s="280" t="s">
        <v>437</v>
      </c>
    </row>
    <row r="124" customFormat="false" ht="15" hidden="false" customHeight="false" outlineLevel="0" collapsed="false">
      <c r="A124" s="234" t="s">
        <v>438</v>
      </c>
      <c r="B124" s="247" t="s">
        <v>311</v>
      </c>
      <c r="F124" s="281" t="n">
        <f aca="false">IF(F$7=$C$4,F95*$E$123,0)</f>
        <v>0</v>
      </c>
      <c r="G124" s="281" t="n">
        <f aca="false">IF(G$7=$C$4,G95*$E$123,0)</f>
        <v>31098841.8323515</v>
      </c>
      <c r="H124" s="281" t="n">
        <f aca="false">IF(H$7=$C$4,H95*$E$123,0)</f>
        <v>0</v>
      </c>
      <c r="I124" s="281" t="n">
        <f aca="false">IF(I$7=$C$4,I95*$E$123,0)</f>
        <v>0</v>
      </c>
      <c r="J124" s="281" t="n">
        <f aca="false">IF(J$7=$C$4,J95*$E$123,0)</f>
        <v>0</v>
      </c>
    </row>
    <row r="125" customFormat="false" ht="15" hidden="false" customHeight="false" outlineLevel="0" collapsed="false">
      <c r="A125" s="234" t="s">
        <v>439</v>
      </c>
      <c r="B125" s="247" t="s">
        <v>311</v>
      </c>
      <c r="F125" s="281" t="n">
        <f aca="false">IF(AND(F$7&gt;=$C$4+2,F$7&lt;=$C$4+6),SUM($F$124:$J$124)/5,0)</f>
        <v>0</v>
      </c>
      <c r="G125" s="281" t="n">
        <f aca="false">IF(AND(G$7&gt;=$C$4+2,G$7&lt;=$C$4+6),SUM($F$124:$J$124)/5,0)</f>
        <v>0</v>
      </c>
      <c r="H125" s="281" t="n">
        <f aca="false">IF(AND(H$7&gt;=$C$4+2,H$7&lt;=$C$4+6),SUM($F$124:$J$124)/5,0)</f>
        <v>0</v>
      </c>
      <c r="I125" s="281" t="n">
        <f aca="false">IF(AND(I$7&gt;=$C$4+2,I$7&lt;=$C$4+6),SUM($F$124:$J$124)/5,0)</f>
        <v>6219768.36647029</v>
      </c>
      <c r="J125" s="281" t="n">
        <f aca="false">IF(AND(J$7&gt;=$C$4+2,J$7&lt;=$C$4+6),SUM($F$124:$J$124)/5,0)</f>
        <v>6219768.36647029</v>
      </c>
      <c r="K125" s="280" t="s">
        <v>440</v>
      </c>
    </row>
    <row r="126" customFormat="false" ht="15" hidden="false" customHeight="false" outlineLevel="0" collapsed="false">
      <c r="A126" s="234" t="s">
        <v>441</v>
      </c>
      <c r="B126" s="247" t="s">
        <v>311</v>
      </c>
      <c r="E126" s="284" t="n">
        <v>0</v>
      </c>
      <c r="F126" s="281" t="n">
        <f aca="false">E126+F124-F125</f>
        <v>0</v>
      </c>
      <c r="G126" s="281" t="n">
        <f aca="false">F126+G124-G125</f>
        <v>31098841.8323515</v>
      </c>
      <c r="H126" s="281" t="n">
        <f aca="false">G126+H124-H125</f>
        <v>31098841.8323515</v>
      </c>
      <c r="I126" s="281" t="n">
        <f aca="false">H126+I124-I125</f>
        <v>24879073.4658812</v>
      </c>
      <c r="J126" s="281" t="n">
        <f aca="false">I126+J124-J125</f>
        <v>18659305.0994109</v>
      </c>
      <c r="K126" s="280" t="s">
        <v>442</v>
      </c>
    </row>
    <row r="127" customFormat="false" ht="15" hidden="false" customHeight="false" outlineLevel="0" collapsed="false">
      <c r="A127" s="198" t="s">
        <v>443</v>
      </c>
      <c r="B127" s="247" t="s">
        <v>311</v>
      </c>
      <c r="C127" s="283" t="n">
        <f aca="false">C122</f>
        <v>1200000</v>
      </c>
      <c r="D127" s="283" t="n">
        <f aca="false">D122</f>
        <v>1500000</v>
      </c>
      <c r="E127" s="283" t="n">
        <f aca="false">E122</f>
        <v>1500000</v>
      </c>
      <c r="F127" s="283" t="n">
        <f aca="false">F122+F126</f>
        <v>1500000</v>
      </c>
      <c r="G127" s="283" t="n">
        <f aca="false">G122+G126</f>
        <v>32598841.8323515</v>
      </c>
      <c r="H127" s="283" t="n">
        <f aca="false">H122+H126</f>
        <v>32598841.8323515</v>
      </c>
      <c r="I127" s="283" t="n">
        <f aca="false">I122+I126</f>
        <v>26379073.4658812</v>
      </c>
      <c r="J127" s="283" t="n">
        <f aca="false">J122+J126</f>
        <v>20159305.0994109</v>
      </c>
    </row>
    <row r="128" customFormat="false" ht="15" hidden="false" customHeight="false" outlineLevel="0" collapsed="false">
      <c r="A128" s="234" t="s">
        <v>444</v>
      </c>
      <c r="B128" s="247" t="s">
        <v>308</v>
      </c>
      <c r="F128" s="240" t="n">
        <f aca="false">'Discount rate'!$B$15</f>
        <v>0.1</v>
      </c>
      <c r="G128" s="240" t="n">
        <f aca="false">'Discount rate'!$B$15</f>
        <v>0.1</v>
      </c>
      <c r="H128" s="240" t="n">
        <f aca="false">'Discount rate'!$B$15</f>
        <v>0.1</v>
      </c>
      <c r="I128" s="240" t="n">
        <f aca="false">'Discount rate'!$B$15</f>
        <v>0.1</v>
      </c>
      <c r="J128" s="240" t="n">
        <f aca="false">'Discount rate'!$B$15</f>
        <v>0.1</v>
      </c>
      <c r="K128" s="280" t="s">
        <v>216</v>
      </c>
    </row>
    <row r="129" customFormat="false" ht="15" hidden="false" customHeight="false" outlineLevel="0" collapsed="false">
      <c r="A129" s="234" t="s">
        <v>445</v>
      </c>
      <c r="B129" s="247" t="s">
        <v>311</v>
      </c>
      <c r="C129" s="289" t="n">
        <f aca="false">'Income Statement'!B69</f>
        <v>114300</v>
      </c>
      <c r="D129" s="289" t="n">
        <f aca="false">'Income Statement'!C69</f>
        <v>142560</v>
      </c>
      <c r="E129" s="289" t="n">
        <f aca="false">'Income Statement'!D69</f>
        <v>142182</v>
      </c>
      <c r="F129" s="281" t="n">
        <f aca="false">F128*((E121+E127)+(F121+F127))/2</f>
        <v>160260</v>
      </c>
      <c r="G129" s="281" t="n">
        <f aca="false">G128*((F121+F127)+(G121+G127))/2</f>
        <v>1715202.09161757</v>
      </c>
      <c r="H129" s="281" t="n">
        <f aca="false">H128*((G121+G127)+(H121+H127))/2</f>
        <v>3270144.18323515</v>
      </c>
      <c r="I129" s="281" t="n">
        <f aca="false">I128*((H121+H127)+(I121+I127))/2</f>
        <v>2959155.76491163</v>
      </c>
      <c r="J129" s="281" t="n">
        <f aca="false">J128*((I121+I127)+(J121+J127))/2</f>
        <v>2337178.9282646</v>
      </c>
      <c r="K129" s="247" t="s">
        <v>446</v>
      </c>
    </row>
    <row r="130" customFormat="false" ht="15" hidden="false" customHeight="false" outlineLevel="0" collapsed="false">
      <c r="A130" s="234" t="s">
        <v>447</v>
      </c>
      <c r="B130" s="247" t="s">
        <v>308</v>
      </c>
      <c r="C130" s="235" t="n">
        <f aca="false">C129/C39</f>
        <v>0.0058801619899744</v>
      </c>
      <c r="D130" s="235" t="n">
        <f aca="false">D129/D39</f>
        <v>0.00460937294130599</v>
      </c>
      <c r="E130" s="235" t="n">
        <f aca="false">E129/E39</f>
        <v>0.00299037607332679</v>
      </c>
      <c r="F130" s="235" t="n">
        <f aca="false">F129/F39</f>
        <v>0.00251689010610546</v>
      </c>
      <c r="G130" s="235" t="n">
        <f aca="false">G129/G39</f>
        <v>0.0215097661622556</v>
      </c>
      <c r="H130" s="235" t="n">
        <f aca="false">H129/H39</f>
        <v>0.029620424525517</v>
      </c>
      <c r="I130" s="235" t="n">
        <f aca="false">I129/I39</f>
        <v>0.0208973532858766</v>
      </c>
      <c r="J130" s="235" t="n">
        <f aca="false">J129/J39</f>
        <v>0.0137224626034146</v>
      </c>
    </row>
    <row r="131" customFormat="false" ht="15" hidden="false" customHeight="false" outlineLevel="0" collapsed="false">
      <c r="A131" s="198" t="s">
        <v>448</v>
      </c>
      <c r="B131" s="247" t="s">
        <v>311</v>
      </c>
      <c r="F131" s="283" t="n">
        <f aca="false">IF(F$7=2026,'Pro Forma'!$B$63,0)</f>
        <v>37610763.0979458</v>
      </c>
      <c r="G131" s="283" t="n">
        <f aca="false">IF(G$7=2026,'Pro Forma'!$B$63,0)</f>
        <v>0</v>
      </c>
      <c r="H131" s="283" t="n">
        <f aca="false">IF(H$7=2026,'Pro Forma'!$B$63,0)</f>
        <v>0</v>
      </c>
      <c r="I131" s="283" t="n">
        <f aca="false">IF(I$7=2026,'Pro Forma'!$B$63,0)</f>
        <v>0</v>
      </c>
      <c r="J131" s="283" t="n">
        <f aca="false">IF(J$7=2026,'Pro Forma'!$B$63,0)</f>
        <v>0</v>
      </c>
      <c r="K131" s="280" t="s">
        <v>449</v>
      </c>
    </row>
    <row r="132" customFormat="false" ht="15" hidden="false" customHeight="false" outlineLevel="0" collapsed="false">
      <c r="A132" s="234" t="s">
        <v>450</v>
      </c>
      <c r="B132" s="247" t="s">
        <v>311</v>
      </c>
      <c r="F132" s="281" t="n">
        <f aca="false">E134</f>
        <v>2171792.2345</v>
      </c>
      <c r="G132" s="281" t="n">
        <f aca="false">F134</f>
        <v>0</v>
      </c>
      <c r="H132" s="281" t="n">
        <f aca="false">G134</f>
        <v>0</v>
      </c>
      <c r="I132" s="281" t="n">
        <f aca="false">H134</f>
        <v>0</v>
      </c>
      <c r="J132" s="281" t="n">
        <f aca="false">I134</f>
        <v>0</v>
      </c>
    </row>
    <row r="133" customFormat="false" ht="15" hidden="false" customHeight="false" outlineLevel="0" collapsed="false">
      <c r="A133" s="234" t="s">
        <v>451</v>
      </c>
      <c r="B133" s="247" t="s">
        <v>311</v>
      </c>
      <c r="F133" s="281" t="n">
        <f aca="false">MIN(F132,MAX(0,F136))</f>
        <v>2171792.2345</v>
      </c>
      <c r="G133" s="281" t="n">
        <f aca="false">MIN(G132,MAX(0,G136))</f>
        <v>0</v>
      </c>
      <c r="H133" s="281" t="n">
        <f aca="false">MIN(H132,MAX(0,H136))</f>
        <v>0</v>
      </c>
      <c r="I133" s="281" t="n">
        <f aca="false">MIN(I132,MAX(0,I136))</f>
        <v>0</v>
      </c>
      <c r="J133" s="281" t="n">
        <f aca="false">MIN(J132,MAX(0,J136))</f>
        <v>0</v>
      </c>
    </row>
    <row r="134" customFormat="false" ht="15" hidden="false" customHeight="false" outlineLevel="0" collapsed="false">
      <c r="A134" s="234" t="s">
        <v>452</v>
      </c>
      <c r="B134" s="247" t="s">
        <v>311</v>
      </c>
      <c r="E134" s="289" t="n">
        <f aca="false">-'Balance Sheet'!G75</f>
        <v>2171792.2345</v>
      </c>
      <c r="F134" s="281" t="n">
        <f aca="false">F132-F133+MAX(0,-F136)</f>
        <v>0</v>
      </c>
      <c r="G134" s="281" t="n">
        <f aca="false">G132-G133+MAX(0,-G136)</f>
        <v>0</v>
      </c>
      <c r="H134" s="281" t="n">
        <f aca="false">H132-H133+MAX(0,-H136)</f>
        <v>0</v>
      </c>
      <c r="I134" s="281" t="n">
        <f aca="false">I132-I133+MAX(0,-I136)</f>
        <v>0</v>
      </c>
      <c r="J134" s="281" t="n">
        <f aca="false">J132-J133+MAX(0,-J136)</f>
        <v>0</v>
      </c>
      <c r="K134" s="280" t="s">
        <v>453</v>
      </c>
    </row>
    <row r="135" customFormat="false" ht="20.25" hidden="false" customHeight="true" outlineLevel="0" collapsed="false">
      <c r="A135" s="234" t="s">
        <v>454</v>
      </c>
      <c r="B135" s="247" t="s">
        <v>308</v>
      </c>
      <c r="F135" s="239" t="n">
        <f aca="false">IF(E39&lt;=$C$166,$C$165,Assumption!$D$15)</f>
        <v>0.17</v>
      </c>
      <c r="G135" s="239" t="n">
        <f aca="false">IF(F39&lt;=$C$166,$C$165,Assumption!$D$15)</f>
        <v>0.2</v>
      </c>
      <c r="H135" s="239" t="n">
        <f aca="false">IF(G39&lt;=$C$166,$C$165,Assumption!$D$15)</f>
        <v>0.2</v>
      </c>
      <c r="I135" s="239" t="n">
        <f aca="false">IF(H39&lt;=$C$166,$C$165,Assumption!$D$15)</f>
        <v>0.2</v>
      </c>
      <c r="J135" s="239" t="n">
        <f aca="false">IF(I39&lt;=$C$166,$C$165,Assumption!$D$15)</f>
        <v>0.2</v>
      </c>
      <c r="K135" s="280" t="s">
        <v>455</v>
      </c>
    </row>
    <row r="136" customFormat="false" ht="15" hidden="false" customHeight="false" outlineLevel="0" collapsed="false">
      <c r="A136" s="234" t="s">
        <v>456</v>
      </c>
      <c r="B136" s="247" t="s">
        <v>311</v>
      </c>
      <c r="F136" s="289" t="n">
        <f aca="false">'Income Statement'!E76</f>
        <v>7481849.63464664</v>
      </c>
      <c r="G136" s="289" t="n">
        <f aca="false">'Income Statement'!F76</f>
        <v>7284306.48321796</v>
      </c>
      <c r="H136" s="289" t="n">
        <f aca="false">'Income Statement'!G76</f>
        <v>2997336.00560627</v>
      </c>
      <c r="I136" s="289" t="n">
        <f aca="false">'Income Statement'!H76</f>
        <v>10887690.1384973</v>
      </c>
      <c r="J136" s="289" t="n">
        <f aca="false">'Income Statement'!I76</f>
        <v>17318385.1318422</v>
      </c>
    </row>
    <row r="137" customFormat="false" ht="15" hidden="false" customHeight="false" outlineLevel="0" collapsed="false">
      <c r="A137" s="198" t="s">
        <v>457</v>
      </c>
      <c r="B137" s="247" t="s">
        <v>311</v>
      </c>
      <c r="C137" s="282" t="n">
        <f aca="false">N('Income Statement'!B78)</f>
        <v>0</v>
      </c>
      <c r="D137" s="282" t="n">
        <f aca="false">N('Income Statement'!C78)</f>
        <v>0</v>
      </c>
      <c r="E137" s="282" t="n">
        <f aca="false">N('Income Statement'!D78)</f>
        <v>0</v>
      </c>
      <c r="F137" s="283" t="n">
        <f aca="false">F135*MAX(0,F136-F133)</f>
        <v>902709.758024928</v>
      </c>
      <c r="G137" s="283" t="n">
        <f aca="false">G135*MAX(0,G136-G133)</f>
        <v>1456861.29664359</v>
      </c>
      <c r="H137" s="283" t="n">
        <f aca="false">H135*MAX(0,H136-H133)</f>
        <v>599467.201121254</v>
      </c>
      <c r="I137" s="283" t="n">
        <f aca="false">I135*MAX(0,I136-I133)</f>
        <v>2177538.02769947</v>
      </c>
      <c r="J137" s="283" t="n">
        <f aca="false">J135*MAX(0,J136-J133)</f>
        <v>3463677.02636844</v>
      </c>
    </row>
    <row r="138" customFormat="false" ht="15" hidden="false" customHeight="false" outlineLevel="0" collapsed="false">
      <c r="A138" s="234" t="s">
        <v>458</v>
      </c>
      <c r="B138" s="247" t="s">
        <v>308</v>
      </c>
      <c r="F138" s="239" t="n">
        <f aca="false">IF(F136&gt;0,F137/F136,0)</f>
        <v>0.120653287904197</v>
      </c>
      <c r="G138" s="239" t="n">
        <f aca="false">IF(G136&gt;0,G137/G136,0)</f>
        <v>0.2</v>
      </c>
      <c r="H138" s="239" t="n">
        <f aca="false">IF(H136&gt;0,H137/H136,0)</f>
        <v>0.2</v>
      </c>
      <c r="I138" s="239" t="n">
        <f aca="false">IF(I136&gt;0,I137/I136,0)</f>
        <v>0.2</v>
      </c>
      <c r="J138" s="239" t="n">
        <f aca="false">IF(J136&gt;0,J137/J136,0)</f>
        <v>0.2</v>
      </c>
    </row>
    <row r="140" customFormat="false" ht="15" hidden="false" customHeight="false" outlineLevel="0" collapsed="false">
      <c r="A140" s="275" t="s">
        <v>459</v>
      </c>
      <c r="B140" s="276"/>
      <c r="C140" s="276"/>
      <c r="D140" s="276"/>
      <c r="E140" s="276"/>
      <c r="F140" s="276"/>
      <c r="G140" s="276"/>
      <c r="H140" s="276"/>
      <c r="I140" s="276"/>
      <c r="J140" s="276"/>
      <c r="K140" s="276"/>
    </row>
    <row r="141" customFormat="false" ht="15" hidden="false" customHeight="false" outlineLevel="0" collapsed="false">
      <c r="A141" s="198" t="s">
        <v>460</v>
      </c>
      <c r="C141" s="273" t="s">
        <v>461</v>
      </c>
      <c r="D141" s="273" t="s">
        <v>462</v>
      </c>
      <c r="E141" s="273" t="s">
        <v>463</v>
      </c>
    </row>
    <row r="142" customFormat="false" ht="20.85" hidden="false" customHeight="false" outlineLevel="0" collapsed="false">
      <c r="A142" s="234" t="s">
        <v>464</v>
      </c>
      <c r="C142" s="238" t="n">
        <v>0.7</v>
      </c>
      <c r="D142" s="238" t="n">
        <v>1</v>
      </c>
      <c r="E142" s="238" t="n">
        <v>1.2</v>
      </c>
      <c r="K142" s="280" t="s">
        <v>465</v>
      </c>
    </row>
    <row r="143" customFormat="false" ht="15" hidden="false" customHeight="false" outlineLevel="0" collapsed="false">
      <c r="A143" s="234" t="s">
        <v>466</v>
      </c>
      <c r="C143" s="290" t="n">
        <v>0.01</v>
      </c>
      <c r="D143" s="290" t="n">
        <v>0.02</v>
      </c>
      <c r="E143" s="290" t="n">
        <v>0.025</v>
      </c>
      <c r="K143" s="280" t="s">
        <v>467</v>
      </c>
    </row>
    <row r="144" customFormat="false" ht="15" hidden="false" customHeight="false" outlineLevel="0" collapsed="false">
      <c r="A144" s="234" t="s">
        <v>468</v>
      </c>
      <c r="C144" s="290" t="n">
        <v>0.005</v>
      </c>
      <c r="D144" s="290" t="n">
        <v>0.015</v>
      </c>
      <c r="E144" s="290" t="n">
        <v>0.02</v>
      </c>
      <c r="K144" s="280" t="s">
        <v>469</v>
      </c>
    </row>
    <row r="145" customFormat="false" ht="15" hidden="false" customHeight="false" outlineLevel="0" collapsed="false">
      <c r="A145" s="234" t="s">
        <v>470</v>
      </c>
      <c r="C145" s="290" t="n">
        <v>0.01</v>
      </c>
      <c r="D145" s="290" t="n">
        <v>0</v>
      </c>
      <c r="E145" s="290" t="n">
        <v>-0.005</v>
      </c>
      <c r="K145" s="280" t="s">
        <v>471</v>
      </c>
    </row>
    <row r="146" customFormat="false" ht="15" hidden="false" customHeight="false" outlineLevel="0" collapsed="false">
      <c r="A146" s="234" t="s">
        <v>472</v>
      </c>
      <c r="C146" s="290" t="n">
        <v>0.005</v>
      </c>
      <c r="D146" s="290" t="n">
        <v>0</v>
      </c>
      <c r="E146" s="290" t="n">
        <v>-0.005</v>
      </c>
      <c r="K146" s="280" t="s">
        <v>473</v>
      </c>
    </row>
    <row r="148" customFormat="false" ht="15" hidden="false" customHeight="false" outlineLevel="0" collapsed="false">
      <c r="A148" s="198" t="s">
        <v>474</v>
      </c>
      <c r="F148" s="273" t="s">
        <v>290</v>
      </c>
      <c r="G148" s="273" t="s">
        <v>291</v>
      </c>
      <c r="H148" s="273" t="s">
        <v>292</v>
      </c>
      <c r="I148" s="273" t="s">
        <v>293</v>
      </c>
      <c r="J148" s="273" t="s">
        <v>294</v>
      </c>
    </row>
    <row r="149" customFormat="false" ht="15" hidden="false" customHeight="false" outlineLevel="0" collapsed="false">
      <c r="A149" s="234" t="s">
        <v>475</v>
      </c>
      <c r="F149" s="290" t="n">
        <v>0.32</v>
      </c>
      <c r="G149" s="290" t="n">
        <v>0.22</v>
      </c>
      <c r="H149" s="290" t="n">
        <v>0.35</v>
      </c>
      <c r="I149" s="290" t="n">
        <v>0.25</v>
      </c>
      <c r="J149" s="290" t="n">
        <v>0.17</v>
      </c>
      <c r="K149" s="280" t="s">
        <v>476</v>
      </c>
    </row>
    <row r="150" customFormat="false" ht="15" hidden="false" customHeight="false" outlineLevel="0" collapsed="false">
      <c r="A150" s="234" t="s">
        <v>477</v>
      </c>
      <c r="F150" s="290" t="n">
        <v>0.32</v>
      </c>
      <c r="G150" s="290" t="n">
        <v>0.25</v>
      </c>
      <c r="H150" s="290" t="n">
        <v>0.18</v>
      </c>
      <c r="I150" s="290" t="n">
        <v>0.35</v>
      </c>
      <c r="J150" s="290" t="n">
        <v>0.25</v>
      </c>
      <c r="K150" s="280" t="s">
        <v>478</v>
      </c>
    </row>
    <row r="151" customFormat="false" ht="15" hidden="false" customHeight="false" outlineLevel="0" collapsed="false">
      <c r="A151" s="234" t="s">
        <v>319</v>
      </c>
      <c r="F151" s="290" t="n">
        <v>0.22</v>
      </c>
      <c r="G151" s="290" t="n">
        <v>0.18</v>
      </c>
      <c r="H151" s="290" t="n">
        <v>0.28</v>
      </c>
      <c r="I151" s="290" t="n">
        <v>0.2</v>
      </c>
      <c r="J151" s="290" t="n">
        <v>0.15</v>
      </c>
      <c r="K151" s="280" t="s">
        <v>479</v>
      </c>
    </row>
    <row r="152" customFormat="false" ht="15" hidden="false" customHeight="false" outlineLevel="0" collapsed="false">
      <c r="A152" s="234" t="s">
        <v>480</v>
      </c>
      <c r="F152" s="290" t="n">
        <v>0.3</v>
      </c>
      <c r="G152" s="290" t="n">
        <v>0.3</v>
      </c>
      <c r="H152" s="290" t="n">
        <v>0.4</v>
      </c>
      <c r="I152" s="290" t="n">
        <v>0.32</v>
      </c>
      <c r="J152" s="290" t="n">
        <v>0.25</v>
      </c>
      <c r="K152" s="280" t="s">
        <v>481</v>
      </c>
    </row>
    <row r="153" customFormat="false" ht="15" hidden="false" customHeight="false" outlineLevel="0" collapsed="false">
      <c r="A153" s="234" t="s">
        <v>482</v>
      </c>
      <c r="F153" s="290" t="n">
        <v>0.6</v>
      </c>
      <c r="G153" s="290" t="n">
        <v>0.5</v>
      </c>
      <c r="H153" s="290" t="n">
        <v>0.7</v>
      </c>
      <c r="I153" s="290" t="n">
        <v>0.45</v>
      </c>
      <c r="J153" s="290" t="n">
        <v>0.3</v>
      </c>
      <c r="K153" s="280" t="s">
        <v>483</v>
      </c>
    </row>
    <row r="154" customFormat="false" ht="20.25" hidden="false" customHeight="true" outlineLevel="0" collapsed="false">
      <c r="A154" s="234" t="s">
        <v>484</v>
      </c>
      <c r="F154" s="290" t="n">
        <v>0.25</v>
      </c>
      <c r="G154" s="290" t="n">
        <v>0.255</v>
      </c>
      <c r="H154" s="290" t="n">
        <v>0.27</v>
      </c>
      <c r="I154" s="290" t="n">
        <v>0.265</v>
      </c>
      <c r="J154" s="290" t="n">
        <v>0.27</v>
      </c>
      <c r="K154" s="280" t="s">
        <v>485</v>
      </c>
    </row>
    <row r="155" customFormat="false" ht="15" hidden="false" customHeight="false" outlineLevel="0" collapsed="false">
      <c r="A155" s="234" t="s">
        <v>486</v>
      </c>
      <c r="F155" s="290" t="n">
        <v>0.225</v>
      </c>
      <c r="G155" s="290" t="n">
        <v>0.23</v>
      </c>
      <c r="H155" s="290" t="n">
        <v>0.235</v>
      </c>
      <c r="I155" s="290" t="n">
        <v>0.23</v>
      </c>
      <c r="J155" s="290" t="n">
        <v>0.225</v>
      </c>
      <c r="K155" s="280" t="s">
        <v>487</v>
      </c>
    </row>
    <row r="157" customFormat="false" ht="15" hidden="false" customHeight="false" outlineLevel="0" collapsed="false">
      <c r="A157" s="198" t="s">
        <v>488</v>
      </c>
    </row>
    <row r="158" customFormat="false" ht="15" hidden="false" customHeight="false" outlineLevel="0" collapsed="false">
      <c r="A158" s="234" t="s">
        <v>489</v>
      </c>
      <c r="C158" s="290" t="n">
        <v>0.65</v>
      </c>
      <c r="K158" s="280" t="s">
        <v>490</v>
      </c>
    </row>
    <row r="159" customFormat="false" ht="15" hidden="false" customHeight="false" outlineLevel="0" collapsed="false">
      <c r="A159" s="234" t="s">
        <v>491</v>
      </c>
      <c r="C159" s="290" t="n">
        <v>0.12</v>
      </c>
      <c r="K159" s="280" t="s">
        <v>492</v>
      </c>
    </row>
    <row r="160" customFormat="false" ht="15" hidden="false" customHeight="false" outlineLevel="0" collapsed="false">
      <c r="A160" s="234" t="s">
        <v>493</v>
      </c>
      <c r="C160" s="284" t="n">
        <v>900000</v>
      </c>
      <c r="K160" s="280" t="s">
        <v>494</v>
      </c>
    </row>
    <row r="161" customFormat="false" ht="15" hidden="false" customHeight="false" outlineLevel="0" collapsed="false">
      <c r="A161" s="234" t="s">
        <v>495</v>
      </c>
      <c r="C161" s="290" t="n">
        <v>0.12</v>
      </c>
      <c r="K161" s="280" t="s">
        <v>496</v>
      </c>
    </row>
    <row r="162" customFormat="false" ht="15" hidden="false" customHeight="false" outlineLevel="0" collapsed="false">
      <c r="A162" s="234" t="s">
        <v>497</v>
      </c>
      <c r="C162" s="290" t="n">
        <v>0.15</v>
      </c>
      <c r="K162" s="280" t="s">
        <v>498</v>
      </c>
    </row>
    <row r="163" customFormat="false" ht="15" hidden="false" customHeight="false" outlineLevel="0" collapsed="false">
      <c r="A163" s="234" t="s">
        <v>499</v>
      </c>
      <c r="C163" s="290" t="n">
        <v>0.3</v>
      </c>
      <c r="K163" s="280" t="s">
        <v>500</v>
      </c>
    </row>
    <row r="164" customFormat="false" ht="15" hidden="false" customHeight="false" outlineLevel="0" collapsed="false">
      <c r="A164" s="234" t="s">
        <v>501</v>
      </c>
      <c r="C164" s="290" t="n">
        <v>0.12</v>
      </c>
      <c r="K164" s="280" t="s">
        <v>502</v>
      </c>
    </row>
    <row r="165" customFormat="false" ht="15" hidden="false" customHeight="false" outlineLevel="0" collapsed="false">
      <c r="A165" s="234" t="s">
        <v>503</v>
      </c>
      <c r="C165" s="290" t="n">
        <v>0.17</v>
      </c>
      <c r="K165" s="280" t="s">
        <v>504</v>
      </c>
    </row>
    <row r="166" customFormat="false" ht="15" hidden="false" customHeight="false" outlineLevel="0" collapsed="false">
      <c r="A166" s="234" t="s">
        <v>505</v>
      </c>
      <c r="C166" s="284" t="n">
        <v>50000000</v>
      </c>
      <c r="K166" s="280" t="s">
        <v>506</v>
      </c>
    </row>
    <row r="167" customFormat="false" ht="20.25" hidden="false" customHeight="true" outlineLevel="0" collapsed="false">
      <c r="A167" s="234" t="s">
        <v>507</v>
      </c>
      <c r="C167" s="290" t="n">
        <v>0.7</v>
      </c>
      <c r="K167" s="280" t="s">
        <v>508</v>
      </c>
    </row>
    <row r="168" customFormat="false" ht="20.25" hidden="false" customHeight="true" outlineLevel="0" collapsed="false">
      <c r="A168" s="234" t="s">
        <v>509</v>
      </c>
      <c r="C168" s="290" t="n">
        <v>0.9</v>
      </c>
      <c r="K168" s="280" t="s">
        <v>510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H64"/>
  <sheetViews>
    <sheetView showFormulas="false" showGridLines="true" showRowColHeaders="true" showZeros="true" rightToLeft="false" tabSelected="false" showOutlineSymbols="true" defaultGridColor="true" view="normal" topLeftCell="A39" colorId="64" zoomScale="95" zoomScaleNormal="95" zoomScalePageLayoutView="100" workbookViewId="0">
      <selection pane="topLeft" activeCell="A55" activeCellId="0" sqref="A55"/>
    </sheetView>
  </sheetViews>
  <sheetFormatPr defaultColWidth="7.2734375" defaultRowHeight="13.5" zeroHeight="false" outlineLevelRow="0" outlineLevelCol="0"/>
  <cols>
    <col collapsed="false" customWidth="true" hidden="false" outlineLevel="0" max="1" min="1" style="293" width="53.73"/>
    <col collapsed="false" customWidth="true" hidden="false" outlineLevel="0" max="2" min="2" style="294" width="18.91"/>
    <col collapsed="false" customWidth="true" hidden="false" outlineLevel="0" max="3" min="3" style="294" width="14.45"/>
    <col collapsed="false" customWidth="true" hidden="false" outlineLevel="0" max="5" min="4" style="294" width="15.09"/>
    <col collapsed="false" customWidth="true" hidden="false" outlineLevel="0" max="7" min="6" style="294" width="15.45"/>
    <col collapsed="false" customWidth="true" hidden="false" outlineLevel="0" max="8" min="8" style="294" width="39.36"/>
    <col collapsed="false" customWidth="false" hidden="false" outlineLevel="0" max="16384" min="9" style="293" width="7.27"/>
  </cols>
  <sheetData>
    <row r="1" customFormat="false" ht="36" hidden="false" customHeight="true" outlineLevel="0" collapsed="false">
      <c r="A1" s="295" t="s">
        <v>511</v>
      </c>
      <c r="B1" s="296"/>
      <c r="C1" s="297"/>
      <c r="E1" s="298"/>
    </row>
    <row r="2" s="299" customFormat="true" ht="13.5" hidden="false" customHeight="false" outlineLevel="0" collapsed="false">
      <c r="B2" s="300" t="n">
        <v>0</v>
      </c>
      <c r="C2" s="300" t="n">
        <v>1</v>
      </c>
      <c r="D2" s="300" t="n">
        <v>2</v>
      </c>
      <c r="E2" s="300" t="n">
        <v>3</v>
      </c>
      <c r="F2" s="300" t="n">
        <v>4</v>
      </c>
      <c r="G2" s="300" t="n">
        <v>5</v>
      </c>
      <c r="H2" s="301"/>
    </row>
    <row r="3" customFormat="false" ht="14.25" hidden="false" customHeight="true" outlineLevel="0" collapsed="false">
      <c r="A3" s="302"/>
      <c r="B3" s="303" t="n">
        <f aca="false">'Income Statement'!D4</f>
        <v>2025</v>
      </c>
      <c r="C3" s="303" t="n">
        <f aca="false">B3+1</f>
        <v>2026</v>
      </c>
      <c r="D3" s="303" t="n">
        <f aca="false">C3+1</f>
        <v>2027</v>
      </c>
      <c r="E3" s="303" t="n">
        <f aca="false">D3+1</f>
        <v>2028</v>
      </c>
      <c r="F3" s="303" t="n">
        <f aca="false">E3+1</f>
        <v>2029</v>
      </c>
      <c r="G3" s="303" t="n">
        <f aca="false">F3+1</f>
        <v>2030</v>
      </c>
      <c r="H3" s="304"/>
    </row>
    <row r="4" customFormat="false" ht="13.5" hidden="false" customHeight="false" outlineLevel="0" collapsed="false">
      <c r="A4" s="293" t="s">
        <v>512</v>
      </c>
      <c r="B4" s="305" t="n">
        <f aca="false">'Income Statement'!D13</f>
        <v>47546528.1</v>
      </c>
      <c r="C4" s="306" t="n">
        <f aca="false">B4*(1+Assumption!E4)</f>
        <v>63673816.98996</v>
      </c>
      <c r="D4" s="306" t="n">
        <f aca="false">C4*(1+Assumption!F4)</f>
        <v>79740620.0829525</v>
      </c>
      <c r="E4" s="306" t="n">
        <f aca="false">D4*(1+Assumption!G4)</f>
        <v>110401664.919354</v>
      </c>
      <c r="F4" s="306" t="n">
        <f aca="false">E4*(1+Assumption!H4)</f>
        <v>141604332.588451</v>
      </c>
      <c r="G4" s="306" t="n">
        <f aca="false">F4*(1+Assumption!I4)</f>
        <v>170317748.046407</v>
      </c>
      <c r="H4" s="305"/>
    </row>
    <row r="5" customFormat="false" ht="13.5" hidden="false" customHeight="false" outlineLevel="0" collapsed="false">
      <c r="A5" s="293" t="s">
        <v>513</v>
      </c>
      <c r="B5" s="305" t="n">
        <f aca="false">'Income Statement'!D20</f>
        <v>23281582.1845</v>
      </c>
      <c r="C5" s="306" t="n">
        <f aca="false">C4*Assumption!E5</f>
        <v>30719170.3834087</v>
      </c>
      <c r="D5" s="306" t="n">
        <f aca="false">D4*Assumption!F5</f>
        <v>39459962.8614914</v>
      </c>
      <c r="E5" s="306" t="n">
        <f aca="false">E4*Assumption!G5</f>
        <v>60909642.3942658</v>
      </c>
      <c r="F5" s="306" t="n">
        <f aca="false">F4*Assumption!H5</f>
        <v>74954279.0518415</v>
      </c>
      <c r="G5" s="306" t="n">
        <f aca="false">G4*Assumption!I5</f>
        <v>89256897.1364555</v>
      </c>
      <c r="H5" s="305"/>
    </row>
    <row r="6" s="311" customFormat="true" ht="13.5" hidden="false" customHeight="false" outlineLevel="0" collapsed="false">
      <c r="A6" s="307" t="s">
        <v>56</v>
      </c>
      <c r="B6" s="308" t="n">
        <f aca="false">B4-B5</f>
        <v>24264945.9155</v>
      </c>
      <c r="C6" s="309" t="n">
        <f aca="false">C4-C5</f>
        <v>32954646.6065513</v>
      </c>
      <c r="D6" s="309" t="n">
        <f aca="false">D4-D5</f>
        <v>40280657.2214611</v>
      </c>
      <c r="E6" s="309" t="n">
        <f aca="false">E4-E5</f>
        <v>49492022.5250884</v>
      </c>
      <c r="F6" s="309" t="n">
        <f aca="false">F4-F5</f>
        <v>66650053.5366099</v>
      </c>
      <c r="G6" s="309" t="n">
        <f aca="false">G4-G5</f>
        <v>81060850.9099515</v>
      </c>
      <c r="H6" s="310"/>
    </row>
    <row r="7" customFormat="false" ht="13.5" hidden="false" customHeight="false" outlineLevel="0" collapsed="false">
      <c r="A7" s="293" t="s">
        <v>514</v>
      </c>
      <c r="B7" s="305" t="n">
        <f aca="false">'Income Statement'!D63</f>
        <v>19702268.7</v>
      </c>
      <c r="C7" s="306" t="n">
        <f aca="false">C4*Assumption!E6</f>
        <v>25312536.9719047</v>
      </c>
      <c r="D7" s="306" t="n">
        <f aca="false">D4*Assumption!F6</f>
        <v>31281148.6466256</v>
      </c>
      <c r="E7" s="306" t="n">
        <f aca="false">E4*Assumption!G6</f>
        <v>43224542.3362469</v>
      </c>
      <c r="F7" s="306" t="n">
        <f aca="false">F4*Assumption!H6</f>
        <v>52803207.6332009</v>
      </c>
      <c r="G7" s="306" t="n">
        <f aca="false">G4*Assumption!I6</f>
        <v>61405286.8498447</v>
      </c>
      <c r="H7" s="305"/>
    </row>
    <row r="8" customFormat="false" ht="13.5" hidden="true" customHeight="false" outlineLevel="0" collapsed="false">
      <c r="A8" s="293" t="s">
        <v>515</v>
      </c>
      <c r="B8" s="305" t="n">
        <v>0</v>
      </c>
      <c r="C8" s="306" t="n">
        <v>0</v>
      </c>
      <c r="D8" s="306" t="n">
        <v>0</v>
      </c>
      <c r="E8" s="306" t="n">
        <v>0</v>
      </c>
      <c r="F8" s="306" t="n">
        <v>0</v>
      </c>
      <c r="G8" s="306" t="n">
        <v>0</v>
      </c>
      <c r="H8" s="305"/>
    </row>
    <row r="9" customFormat="false" ht="13.5" hidden="false" customHeight="false" outlineLevel="0" collapsed="false">
      <c r="A9" s="312" t="s">
        <v>516</v>
      </c>
      <c r="B9" s="305" t="n">
        <f aca="false">'Income Statement'!D71</f>
        <v>3131952</v>
      </c>
      <c r="C9" s="306" t="n">
        <f aca="false">Assumption!$D$17*B22</f>
        <v>3742094.4</v>
      </c>
      <c r="D9" s="306" t="n">
        <f aca="false">Assumption!$D$17*C22</f>
        <v>5270266.00775904</v>
      </c>
      <c r="E9" s="306" t="n">
        <f aca="false">Assumption!$D$17*D22</f>
        <v>11490034.3742293</v>
      </c>
      <c r="F9" s="306" t="n">
        <f aca="false">Assumption!$D$17*E22</f>
        <v>13079818.349068</v>
      </c>
      <c r="G9" s="306" t="n">
        <f aca="false">Assumption!$D$17*F22</f>
        <v>14779070.3401295</v>
      </c>
      <c r="H9" s="313"/>
    </row>
    <row r="10" s="311" customFormat="true" ht="13.5" hidden="false" customHeight="false" outlineLevel="0" collapsed="false">
      <c r="A10" s="307" t="s">
        <v>517</v>
      </c>
      <c r="B10" s="308" t="n">
        <f aca="false">B6-B7-B8</f>
        <v>4562677.2155</v>
      </c>
      <c r="C10" s="309" t="n">
        <f aca="false">C6-C7-C8</f>
        <v>7642109.63464663</v>
      </c>
      <c r="D10" s="309" t="n">
        <f aca="false">D6-D7-D8</f>
        <v>8999508.57483552</v>
      </c>
      <c r="E10" s="309" t="n">
        <f aca="false">E6-E7-E8</f>
        <v>6267480.18884142</v>
      </c>
      <c r="F10" s="309" t="n">
        <f aca="false">F6-F7-F8</f>
        <v>13846845.903409</v>
      </c>
      <c r="G10" s="309" t="n">
        <f aca="false">G6-G7-G8</f>
        <v>19655564.0601068</v>
      </c>
      <c r="H10" s="310"/>
    </row>
    <row r="11" customFormat="false" ht="13.5" hidden="false" customHeight="false" outlineLevel="0" collapsed="false">
      <c r="A11" s="293" t="s">
        <v>101</v>
      </c>
      <c r="B11" s="305" t="n">
        <f aca="false">'Income Statement'!D69</f>
        <v>142182</v>
      </c>
      <c r="C11" s="314" t="n">
        <f aca="false">C4*Assumption!E7</f>
        <v>160260</v>
      </c>
      <c r="D11" s="314" t="n">
        <f aca="false">D4*Assumption!F7</f>
        <v>1715202.09161757</v>
      </c>
      <c r="E11" s="314" t="n">
        <f aca="false">E4*Assumption!G7</f>
        <v>3270144.18323515</v>
      </c>
      <c r="F11" s="314" t="n">
        <f aca="false">F4*Assumption!H7</f>
        <v>2959155.76491163</v>
      </c>
      <c r="G11" s="314" t="n">
        <f aca="false">G4*Assumption!I7</f>
        <v>2337178.9282646</v>
      </c>
      <c r="H11" s="305"/>
    </row>
    <row r="12" customFormat="false" ht="13.5" hidden="false" customHeight="false" outlineLevel="0" collapsed="false">
      <c r="A12" s="315" t="s">
        <v>106</v>
      </c>
      <c r="B12" s="316" t="n">
        <f aca="false">B10-B11</f>
        <v>4420495.2155</v>
      </c>
      <c r="C12" s="317" t="n">
        <f aca="false">C10-C11</f>
        <v>7481849.63464663</v>
      </c>
      <c r="D12" s="317" t="n">
        <f aca="false">D10-D11</f>
        <v>7284306.48321794</v>
      </c>
      <c r="E12" s="317" t="n">
        <f aca="false">E10-E11</f>
        <v>2997336.00560627</v>
      </c>
      <c r="F12" s="317" t="n">
        <f aca="false">F10-F11</f>
        <v>10887690.1384973</v>
      </c>
      <c r="G12" s="317" t="n">
        <f aca="false">G10-G11</f>
        <v>17318385.1318422</v>
      </c>
      <c r="H12" s="305"/>
    </row>
    <row r="13" customFormat="false" ht="13.5" hidden="false" customHeight="false" outlineLevel="0" collapsed="false">
      <c r="A13" s="293" t="s">
        <v>457</v>
      </c>
      <c r="B13" s="305" t="n">
        <v>0</v>
      </c>
      <c r="C13" s="314" t="n">
        <f aca="false">Drivers!F137</f>
        <v>902709.758024928</v>
      </c>
      <c r="D13" s="314" t="n">
        <f aca="false">Drivers!G137</f>
        <v>1456861.29664359</v>
      </c>
      <c r="E13" s="314" t="n">
        <f aca="false">Drivers!H137</f>
        <v>599467.201121254</v>
      </c>
      <c r="F13" s="314" t="n">
        <f aca="false">Drivers!I137</f>
        <v>2177538.02769947</v>
      </c>
      <c r="G13" s="314" t="n">
        <f aca="false">Drivers!J137</f>
        <v>3463677.02636844</v>
      </c>
      <c r="H13" s="305"/>
    </row>
    <row r="14" s="311" customFormat="true" ht="13.5" hidden="false" customHeight="false" outlineLevel="0" collapsed="false">
      <c r="A14" s="307" t="s">
        <v>109</v>
      </c>
      <c r="B14" s="308" t="n">
        <f aca="false">B12-B13</f>
        <v>4420495.2155</v>
      </c>
      <c r="C14" s="309" t="n">
        <f aca="false">C12-C13</f>
        <v>6579139.8766217</v>
      </c>
      <c r="D14" s="309" t="n">
        <f aca="false">D12-D13</f>
        <v>5827445.18657435</v>
      </c>
      <c r="E14" s="309" t="n">
        <f aca="false">E12-E13</f>
        <v>2397868.80448502</v>
      </c>
      <c r="F14" s="309" t="n">
        <f aca="false">F12-F13</f>
        <v>8710152.11079785</v>
      </c>
      <c r="G14" s="309" t="n">
        <f aca="false">G12-G13</f>
        <v>13854708.1054737</v>
      </c>
      <c r="H14" s="310"/>
    </row>
    <row r="15" customFormat="false" ht="13.5" hidden="false" customHeight="false" outlineLevel="0" collapsed="false">
      <c r="B15" s="305"/>
      <c r="C15" s="305"/>
      <c r="D15" s="305"/>
      <c r="E15" s="305"/>
      <c r="F15" s="305"/>
      <c r="G15" s="305"/>
      <c r="H15" s="305"/>
    </row>
    <row r="16" customFormat="false" ht="13.5" hidden="false" customHeight="false" outlineLevel="0" collapsed="false">
      <c r="B16" s="305"/>
      <c r="C16" s="305"/>
      <c r="D16" s="305"/>
      <c r="E16" s="305"/>
      <c r="F16" s="305"/>
      <c r="G16" s="305"/>
      <c r="H16" s="305"/>
    </row>
    <row r="17" customFormat="false" ht="15.75" hidden="false" customHeight="true" outlineLevel="0" collapsed="false">
      <c r="A17" s="318" t="s">
        <v>518</v>
      </c>
      <c r="B17" s="305"/>
      <c r="C17" s="305"/>
      <c r="D17" s="305"/>
      <c r="E17" s="305"/>
      <c r="F17" s="305"/>
      <c r="G17" s="305"/>
      <c r="H17" s="305"/>
    </row>
    <row r="18" customFormat="false" ht="13.5" hidden="false" customHeight="false" outlineLevel="0" collapsed="false">
      <c r="B18" s="305"/>
      <c r="C18" s="305"/>
      <c r="D18" s="305"/>
      <c r="E18" s="305"/>
      <c r="F18" s="305"/>
      <c r="G18" s="305"/>
      <c r="H18" s="305"/>
    </row>
    <row r="19" customFormat="false" ht="15.75" hidden="false" customHeight="true" outlineLevel="0" collapsed="false">
      <c r="A19" s="319" t="s">
        <v>519</v>
      </c>
      <c r="B19" s="305"/>
      <c r="C19" s="320"/>
      <c r="D19" s="305"/>
      <c r="E19" s="305"/>
      <c r="F19" s="320"/>
      <c r="G19" s="305"/>
      <c r="H19" s="305"/>
    </row>
    <row r="20" customFormat="false" ht="13.5" hidden="false" customHeight="false" outlineLevel="0" collapsed="false">
      <c r="A20" s="311"/>
      <c r="B20" s="305"/>
      <c r="C20" s="305"/>
      <c r="D20" s="305"/>
      <c r="E20" s="305"/>
      <c r="F20" s="305"/>
      <c r="G20" s="305"/>
      <c r="H20" s="305"/>
    </row>
    <row r="21" customFormat="false" ht="14.25" hidden="false" customHeight="true" outlineLevel="0" collapsed="false">
      <c r="A21" s="302"/>
      <c r="B21" s="303" t="n">
        <f aca="false">B3</f>
        <v>2025</v>
      </c>
      <c r="C21" s="303" t="n">
        <f aca="false">B21+1</f>
        <v>2026</v>
      </c>
      <c r="D21" s="303" t="n">
        <f aca="false">C21+1</f>
        <v>2027</v>
      </c>
      <c r="E21" s="303" t="n">
        <f aca="false">D21+1</f>
        <v>2028</v>
      </c>
      <c r="F21" s="303" t="n">
        <f aca="false">E21+1</f>
        <v>2029</v>
      </c>
      <c r="G21" s="303" t="n">
        <f aca="false">F21+1</f>
        <v>2030</v>
      </c>
      <c r="H21" s="304"/>
    </row>
    <row r="22" customFormat="false" ht="22.5" hidden="false" customHeight="true" outlineLevel="0" collapsed="false">
      <c r="A22" s="293" t="s">
        <v>133</v>
      </c>
      <c r="B22" s="305" t="n">
        <f aca="false">SUM('Balance Sheet'!G29:G31)</f>
        <v>31184120</v>
      </c>
      <c r="C22" s="306" t="n">
        <f aca="false">B22+C25</f>
        <v>43918883.397992</v>
      </c>
      <c r="D22" s="306" t="n">
        <f aca="false">C22+D25</f>
        <v>95750286.4519111</v>
      </c>
      <c r="E22" s="306" t="n">
        <f aca="false">D22+E25</f>
        <v>108998486.242234</v>
      </c>
      <c r="F22" s="306" t="n">
        <f aca="false">E22+F25</f>
        <v>123158919.501079</v>
      </c>
      <c r="G22" s="306" t="n">
        <f aca="false">F22+G25</f>
        <v>140190694.305719</v>
      </c>
      <c r="H22" s="320"/>
    </row>
    <row r="23" customFormat="false" ht="13.5" hidden="false" customHeight="false" outlineLevel="0" collapsed="false">
      <c r="A23" s="293" t="s">
        <v>135</v>
      </c>
      <c r="B23" s="305" t="n">
        <f aca="false">'Balance Sheet'!G26</f>
        <v>9789432</v>
      </c>
      <c r="C23" s="314" t="n">
        <f aca="false">B23+C9</f>
        <v>13531526.4</v>
      </c>
      <c r="D23" s="314" t="n">
        <f aca="false">C23+D9</f>
        <v>18801792.407759</v>
      </c>
      <c r="E23" s="314" t="n">
        <f aca="false">D23+E9</f>
        <v>30291826.7819884</v>
      </c>
      <c r="F23" s="314" t="n">
        <f aca="false">E23+F9</f>
        <v>43371645.1310564</v>
      </c>
      <c r="G23" s="314" t="n">
        <f aca="false">F23+G9</f>
        <v>58150715.4711859</v>
      </c>
      <c r="H23" s="305"/>
    </row>
    <row r="24" customFormat="false" ht="13.5" hidden="false" customHeight="false" outlineLevel="0" collapsed="false">
      <c r="A24" s="293" t="s">
        <v>520</v>
      </c>
      <c r="B24" s="305" t="n">
        <f aca="false">B22-B23</f>
        <v>21394688</v>
      </c>
      <c r="C24" s="314" t="n">
        <f aca="false">C22-C23</f>
        <v>30387356.997992</v>
      </c>
      <c r="D24" s="314" t="n">
        <f aca="false">D22-D23</f>
        <v>76948494.0441521</v>
      </c>
      <c r="E24" s="314" t="n">
        <f aca="false">E22-E23</f>
        <v>78706659.4602453</v>
      </c>
      <c r="F24" s="314" t="n">
        <f aca="false">F22-F23</f>
        <v>79787274.3700223</v>
      </c>
      <c r="G24" s="314" t="n">
        <f aca="false">G22-G23</f>
        <v>82039978.8345336</v>
      </c>
      <c r="H24" s="305"/>
    </row>
    <row r="25" customFormat="false" ht="13.5" hidden="false" customHeight="false" outlineLevel="0" collapsed="false">
      <c r="A25" s="315" t="s">
        <v>406</v>
      </c>
      <c r="B25" s="316" t="n">
        <f aca="false">B22-SUM('Balance Sheet'!F29:F31)</f>
        <v>5084520</v>
      </c>
      <c r="C25" s="317" t="n">
        <f aca="false">C4*Assumption!E13</f>
        <v>12734763.397992</v>
      </c>
      <c r="D25" s="317" t="n">
        <f aca="false">D4*Assumption!F13</f>
        <v>51831403.0539191</v>
      </c>
      <c r="E25" s="317" t="n">
        <f aca="false">E4*Assumption!G13</f>
        <v>13248199.7903225</v>
      </c>
      <c r="F25" s="317" t="n">
        <f aca="false">F4*Assumption!H13</f>
        <v>14160433.2588451</v>
      </c>
      <c r="G25" s="317" t="n">
        <f aca="false">G4*Assumption!I13</f>
        <v>17031774.8046407</v>
      </c>
      <c r="H25" s="321"/>
    </row>
    <row r="26" customFormat="false" ht="13.5" hidden="false" customHeight="false" outlineLevel="0" collapsed="false">
      <c r="B26" s="322"/>
      <c r="C26" s="322"/>
      <c r="D26" s="322"/>
      <c r="E26" s="322"/>
      <c r="F26" s="322"/>
      <c r="G26" s="322"/>
      <c r="H26" s="305"/>
    </row>
    <row r="27" customFormat="false" ht="13.5" hidden="false" customHeight="false" outlineLevel="0" collapsed="false">
      <c r="H27" s="305"/>
    </row>
    <row r="28" customFormat="false" ht="15.75" hidden="false" customHeight="true" outlineLevel="0" collapsed="false">
      <c r="A28" s="319" t="s">
        <v>521</v>
      </c>
      <c r="B28" s="305"/>
      <c r="C28" s="305"/>
      <c r="D28" s="305"/>
      <c r="E28" s="305"/>
      <c r="F28" s="305"/>
      <c r="G28" s="305"/>
      <c r="H28" s="305"/>
    </row>
    <row r="29" customFormat="false" ht="13.5" hidden="false" customHeight="false" outlineLevel="0" collapsed="false">
      <c r="A29" s="311"/>
      <c r="B29" s="305"/>
      <c r="C29" s="305"/>
      <c r="D29" s="305"/>
      <c r="E29" s="305"/>
      <c r="F29" s="305"/>
      <c r="G29" s="305"/>
      <c r="H29" s="305"/>
    </row>
    <row r="30" customFormat="false" ht="14.25" hidden="false" customHeight="true" outlineLevel="0" collapsed="false">
      <c r="A30" s="302"/>
      <c r="B30" s="303" t="n">
        <f aca="false">B21</f>
        <v>2025</v>
      </c>
      <c r="C30" s="303" t="n">
        <f aca="false">B30+1</f>
        <v>2026</v>
      </c>
      <c r="D30" s="303" t="n">
        <f aca="false">C30+1</f>
        <v>2027</v>
      </c>
      <c r="E30" s="303" t="n">
        <f aca="false">D30+1</f>
        <v>2028</v>
      </c>
      <c r="F30" s="303" t="n">
        <f aca="false">E30+1</f>
        <v>2029</v>
      </c>
      <c r="G30" s="303" t="n">
        <f aca="false">F30+1</f>
        <v>2030</v>
      </c>
      <c r="H30" s="304"/>
    </row>
    <row r="31" customFormat="false" ht="13.5" hidden="false" customHeight="false" outlineLevel="0" collapsed="false">
      <c r="A31" s="293" t="s">
        <v>522</v>
      </c>
      <c r="B31" s="323" t="n">
        <f aca="false">'Balance Sheet'!G22-'Balance Sheet'!G7</f>
        <v>7589370.00000001</v>
      </c>
      <c r="C31" s="324" t="n">
        <f aca="false">C4*Assumption!E8</f>
        <v>10432965.3660868</v>
      </c>
      <c r="D31" s="324" t="n">
        <f aca="false">D4*Assumption!F8</f>
        <v>13990013.8552092</v>
      </c>
      <c r="E31" s="324" t="n">
        <f aca="false">E4*Assumption!G8</f>
        <v>21603011.0724369</v>
      </c>
      <c r="F31" s="324" t="n">
        <f aca="false">F4*Assumption!H8</f>
        <v>28367034.8836682</v>
      </c>
      <c r="G31" s="324" t="n">
        <f aca="false">G4*Assumption!I8</f>
        <v>33598868.4153633</v>
      </c>
      <c r="H31" s="304"/>
    </row>
    <row r="32" customFormat="false" ht="13.5" hidden="false" customHeight="false" outlineLevel="0" collapsed="false">
      <c r="A32" s="325" t="s">
        <v>523</v>
      </c>
      <c r="B32" s="326" t="n">
        <f aca="false">'Balance Sheet'!G10</f>
        <v>3748500</v>
      </c>
      <c r="C32" s="324" t="n">
        <f aca="false">C31*Assumption!E10</f>
        <v>4745934.04040822</v>
      </c>
      <c r="D32" s="324" t="n">
        <f aca="false">D31*Assumption!F10</f>
        <v>5994105.10168572</v>
      </c>
      <c r="E32" s="324" t="n">
        <f aca="false">E31*Assumption!G10</f>
        <v>9322716.28962655</v>
      </c>
      <c r="F32" s="324" t="n">
        <f aca="false">F31*Assumption!H10</f>
        <v>11064149.3125862</v>
      </c>
      <c r="G32" s="324" t="n">
        <f aca="false">G31*Assumption!I10</f>
        <v>12787439.4759941</v>
      </c>
      <c r="H32" s="304"/>
    </row>
    <row r="33" customFormat="false" ht="13.5" hidden="false" customHeight="false" outlineLevel="0" collapsed="false">
      <c r="A33" s="325" t="s">
        <v>524</v>
      </c>
      <c r="B33" s="327" t="n">
        <f aca="false">'Balance Sheet'!G13</f>
        <v>1767780</v>
      </c>
      <c r="C33" s="328" t="n">
        <f aca="false">C31*Assumption!E11</f>
        <v>3140078.64608022</v>
      </c>
      <c r="D33" s="328" t="n">
        <f aca="false">D31*Assumption!F11</f>
        <v>4806283.95020536</v>
      </c>
      <c r="E33" s="328" t="n">
        <f aca="false">E31*Assumption!G11</f>
        <v>7864228.18603619</v>
      </c>
      <c r="F33" s="328" t="n">
        <f aca="false">F31*Assumption!H11</f>
        <v>11638712.267544</v>
      </c>
      <c r="G33" s="328" t="n">
        <f aca="false">G31*Assumption!I11</f>
        <v>13998719.0175129</v>
      </c>
      <c r="H33" s="304"/>
    </row>
    <row r="34" customFormat="false" ht="13.5" hidden="false" customHeight="false" outlineLevel="0" collapsed="false">
      <c r="A34" s="293" t="s">
        <v>525</v>
      </c>
      <c r="B34" s="329" t="n">
        <f aca="false">'Balance Sheet'!G58-'Balance Sheet'!G48</f>
        <v>342732</v>
      </c>
      <c r="C34" s="330" t="n">
        <f aca="false">C4*Assumption!E9</f>
        <v>601941.038020742</v>
      </c>
      <c r="D34" s="330" t="n">
        <f aca="false">D4*Assumption!F9</f>
        <v>878773.852368192</v>
      </c>
      <c r="E34" s="330" t="n">
        <f aca="false">E4*Assumption!G9</f>
        <v>1552619.9426425</v>
      </c>
      <c r="F34" s="330" t="n">
        <f aca="false">F4*Assumption!H9</f>
        <v>1942831.06206483</v>
      </c>
      <c r="G34" s="330" t="n">
        <f aca="false">G4*Assumption!I9</f>
        <v>2359704.88703925</v>
      </c>
      <c r="H34" s="304"/>
    </row>
    <row r="35" customFormat="false" ht="13.5" hidden="false" customHeight="false" outlineLevel="0" collapsed="false">
      <c r="A35" s="331" t="s">
        <v>526</v>
      </c>
      <c r="B35" s="332" t="n">
        <f aca="false">'Balance Sheet'!G41</f>
        <v>263640</v>
      </c>
      <c r="C35" s="333" t="n">
        <f aca="false">C34*Assumption!E12</f>
        <v>474593.404040822</v>
      </c>
      <c r="D35" s="333" t="n">
        <f aca="false">D34*Assumption!F12</f>
        <v>719292.612202287</v>
      </c>
      <c r="E35" s="333" t="n">
        <f aca="false">E34*Assumption!G12</f>
        <v>1331816.61280379</v>
      </c>
      <c r="F35" s="333" t="n">
        <f aca="false">F34*Assumption!H12</f>
        <v>1659622.39688793</v>
      </c>
      <c r="G35" s="333" t="n">
        <f aca="false">G34*Assumption!I12</f>
        <v>2019069.39094643</v>
      </c>
      <c r="H35" s="334"/>
    </row>
    <row r="36" customFormat="false" ht="13.5" hidden="false" customHeight="false" outlineLevel="0" collapsed="false">
      <c r="A36" s="293" t="s">
        <v>527</v>
      </c>
      <c r="B36" s="335" t="n">
        <f aca="false">B31-B34</f>
        <v>7246638.00000001</v>
      </c>
      <c r="C36" s="336" t="n">
        <f aca="false">C31-C34</f>
        <v>9831024.3280661</v>
      </c>
      <c r="D36" s="336" t="n">
        <f aca="false">D31-D34</f>
        <v>13111240.002841</v>
      </c>
      <c r="E36" s="336" t="n">
        <f aca="false">E31-E34</f>
        <v>20050391.1297944</v>
      </c>
      <c r="F36" s="336" t="n">
        <f aca="false">F31-F34</f>
        <v>26424203.8216034</v>
      </c>
      <c r="G36" s="336" t="n">
        <f aca="false">G31-G34</f>
        <v>31239163.528324</v>
      </c>
      <c r="H36" s="305"/>
    </row>
    <row r="37" customFormat="false" ht="13.5" hidden="false" customHeight="false" outlineLevel="0" collapsed="false">
      <c r="A37" s="315" t="s">
        <v>528</v>
      </c>
      <c r="B37" s="337"/>
      <c r="C37" s="337" t="n">
        <f aca="false">C36-B36</f>
        <v>2584386.32806609</v>
      </c>
      <c r="D37" s="337" t="n">
        <f aca="false">D36-C36</f>
        <v>3280215.67477489</v>
      </c>
      <c r="E37" s="337" t="n">
        <f aca="false">E36-D36</f>
        <v>6939151.12695341</v>
      </c>
      <c r="F37" s="337" t="n">
        <f aca="false">F36-E36</f>
        <v>6373812.69180898</v>
      </c>
      <c r="G37" s="337" t="n">
        <f aca="false">G36-F36</f>
        <v>4814959.70672064</v>
      </c>
      <c r="H37" s="305"/>
    </row>
    <row r="38" s="293" customFormat="true" ht="13.5" hidden="false" customHeight="false" outlineLevel="0" collapsed="false">
      <c r="H38" s="338"/>
    </row>
    <row r="39" customFormat="false" ht="13.5" hidden="false" customHeight="false" outlineLevel="0" collapsed="false">
      <c r="B39" s="305"/>
      <c r="C39" s="305"/>
      <c r="D39" s="305"/>
      <c r="E39" s="305"/>
      <c r="F39" s="305"/>
      <c r="G39" s="305"/>
      <c r="H39" s="305"/>
    </row>
    <row r="40" customFormat="false" ht="31.5" hidden="false" customHeight="true" outlineLevel="0" collapsed="false">
      <c r="A40" s="339" t="s">
        <v>529</v>
      </c>
      <c r="B40" s="340"/>
      <c r="C40" s="340"/>
      <c r="D40" s="305"/>
      <c r="E40" s="305"/>
      <c r="F40" s="305"/>
      <c r="G40" s="305"/>
      <c r="H40" s="305"/>
    </row>
    <row r="41" customFormat="false" ht="31.5" hidden="false" customHeight="true" outlineLevel="0" collapsed="false">
      <c r="A41" s="341" t="s">
        <v>530</v>
      </c>
      <c r="B41" s="342"/>
      <c r="C41" s="342"/>
      <c r="D41" s="305"/>
      <c r="E41" s="305"/>
      <c r="F41" s="305"/>
      <c r="G41" s="305"/>
      <c r="H41" s="305"/>
    </row>
    <row r="42" s="299" customFormat="true" ht="17.25" hidden="false" customHeight="true" outlineLevel="0" collapsed="false">
      <c r="A42" s="343"/>
      <c r="B42" s="300" t="n">
        <v>0</v>
      </c>
      <c r="C42" s="300" t="n">
        <v>1</v>
      </c>
      <c r="D42" s="300" t="n">
        <v>2</v>
      </c>
      <c r="E42" s="300" t="n">
        <v>3</v>
      </c>
      <c r="F42" s="300" t="n">
        <v>4</v>
      </c>
      <c r="G42" s="300" t="n">
        <v>5</v>
      </c>
      <c r="H42" s="300"/>
    </row>
    <row r="43" s="346" customFormat="true" ht="20.25" hidden="false" customHeight="true" outlineLevel="0" collapsed="false">
      <c r="A43" s="344"/>
      <c r="B43" s="303" t="n">
        <f aca="false">B30</f>
        <v>2025</v>
      </c>
      <c r="C43" s="303" t="n">
        <f aca="false">B43+1</f>
        <v>2026</v>
      </c>
      <c r="D43" s="303" t="n">
        <f aca="false">C43+1</f>
        <v>2027</v>
      </c>
      <c r="E43" s="303" t="n">
        <f aca="false">D43+1</f>
        <v>2028</v>
      </c>
      <c r="F43" s="303" t="n">
        <f aca="false">E43+1</f>
        <v>2029</v>
      </c>
      <c r="G43" s="303" t="n">
        <f aca="false">F43+1</f>
        <v>2030</v>
      </c>
      <c r="H43" s="345"/>
    </row>
    <row r="44" customFormat="false" ht="13.5" hidden="false" customHeight="false" outlineLevel="0" collapsed="false">
      <c r="A44" s="311" t="str">
        <f aca="false">'Cash Flow Statement'!A5</f>
        <v>Hoạt động kinh doanh</v>
      </c>
      <c r="B44" s="305"/>
      <c r="C44" s="305"/>
      <c r="D44" s="305"/>
      <c r="E44" s="305"/>
      <c r="F44" s="305"/>
      <c r="G44" s="305"/>
      <c r="H44" s="305"/>
    </row>
    <row r="45" customFormat="false" ht="13.5" hidden="false" customHeight="false" outlineLevel="0" collapsed="false">
      <c r="A45" s="293" t="str">
        <f aca="false">'Cash Flow Statement'!B6</f>
        <v>Lợi nhuận sau thuế</v>
      </c>
      <c r="B45" s="305" t="n">
        <f aca="false">B14</f>
        <v>4420495.2155</v>
      </c>
      <c r="C45" s="305" t="n">
        <f aca="false">C14</f>
        <v>6579139.8766217</v>
      </c>
      <c r="D45" s="305" t="n">
        <f aca="false">D14</f>
        <v>5827445.18657435</v>
      </c>
      <c r="E45" s="305" t="n">
        <f aca="false">E14</f>
        <v>2397868.80448502</v>
      </c>
      <c r="F45" s="305" t="n">
        <f aca="false">F14</f>
        <v>8710152.11079785</v>
      </c>
      <c r="G45" s="305" t="n">
        <f aca="false">G14</f>
        <v>13854708.1054737</v>
      </c>
      <c r="H45" s="305"/>
    </row>
    <row r="46" customFormat="false" ht="13.5" hidden="false" customHeight="false" outlineLevel="0" collapsed="false">
      <c r="A46" s="293" t="str">
        <f aca="false">'Cash Flow Statement'!B8</f>
        <v>Khấu hao</v>
      </c>
      <c r="B46" s="305" t="n">
        <f aca="false">B9</f>
        <v>3131952</v>
      </c>
      <c r="C46" s="305" t="n">
        <f aca="false">C9</f>
        <v>3742094.4</v>
      </c>
      <c r="D46" s="305" t="n">
        <f aca="false">D9</f>
        <v>5270266.00775904</v>
      </c>
      <c r="E46" s="305" t="n">
        <f aca="false">E9</f>
        <v>11490034.3742293</v>
      </c>
      <c r="F46" s="305" t="n">
        <f aca="false">F9</f>
        <v>13079818.349068</v>
      </c>
      <c r="G46" s="305" t="n">
        <f aca="false">G9</f>
        <v>14779070.3401295</v>
      </c>
      <c r="H46" s="305"/>
    </row>
    <row r="47" customFormat="false" ht="13.5" hidden="false" customHeight="false" outlineLevel="0" collapsed="false">
      <c r="A47" s="293" t="s">
        <v>531</v>
      </c>
      <c r="B47" s="305" t="n">
        <f aca="false">SUM('Cash Flow Statement'!E11:E13)</f>
        <v>-1343670</v>
      </c>
      <c r="C47" s="305" t="n">
        <f aca="false">B31-C31</f>
        <v>-2843595.36608683</v>
      </c>
      <c r="D47" s="305" t="n">
        <f aca="false">C31-D31</f>
        <v>-3557048.48912234</v>
      </c>
      <c r="E47" s="305" t="n">
        <f aca="false">D31-E31</f>
        <v>-7612997.21722772</v>
      </c>
      <c r="F47" s="305" t="n">
        <f aca="false">E31-F31</f>
        <v>-6764023.81123132</v>
      </c>
      <c r="G47" s="305" t="n">
        <f aca="false">F31-G31</f>
        <v>-5231833.53169505</v>
      </c>
      <c r="H47" s="305"/>
    </row>
    <row r="48" customFormat="false" ht="13.5" hidden="false" customHeight="false" outlineLevel="0" collapsed="false">
      <c r="A48" s="293" t="s">
        <v>532</v>
      </c>
      <c r="B48" s="305" t="n">
        <f aca="false">SUM('Cash Flow Statement'!E15:E17)</f>
        <v>73692</v>
      </c>
      <c r="C48" s="305" t="n">
        <f aca="false">C34-B34</f>
        <v>259209.038020742</v>
      </c>
      <c r="D48" s="305" t="n">
        <f aca="false">D34-C34</f>
        <v>276832.81434745</v>
      </c>
      <c r="E48" s="305" t="n">
        <f aca="false">E34-D34</f>
        <v>673846.090274309</v>
      </c>
      <c r="F48" s="305" t="n">
        <f aca="false">F34-E34</f>
        <v>390211.119422332</v>
      </c>
      <c r="G48" s="305" t="n">
        <f aca="false">G34-F34</f>
        <v>416873.824974414</v>
      </c>
      <c r="H48" s="305"/>
    </row>
    <row r="49" s="347" customFormat="true" ht="13.5" hidden="false" customHeight="false" outlineLevel="0" collapsed="false">
      <c r="A49" s="293" t="s">
        <v>533</v>
      </c>
      <c r="B49" s="305" t="n">
        <f aca="false">SUM(B45:B48)</f>
        <v>6282469.2155</v>
      </c>
      <c r="C49" s="305" t="n">
        <f aca="false">SUM(C45:C48)</f>
        <v>7736847.94855562</v>
      </c>
      <c r="D49" s="305" t="n">
        <f aca="false">SUM(D45:D48)</f>
        <v>7817495.5195585</v>
      </c>
      <c r="E49" s="305" t="n">
        <f aca="false">SUM(E45:E48)</f>
        <v>6948752.05176094</v>
      </c>
      <c r="F49" s="305" t="n">
        <f aca="false">SUM(F45:F48)</f>
        <v>15416157.7680569</v>
      </c>
      <c r="G49" s="305" t="n">
        <f aca="false">SUM(G45:G48)</f>
        <v>23818818.7388826</v>
      </c>
      <c r="H49" s="305"/>
    </row>
    <row r="50" s="347" customFormat="true" ht="13.5" hidden="false" customHeight="false" outlineLevel="0" collapsed="false">
      <c r="A50" s="311" t="s">
        <v>534</v>
      </c>
      <c r="B50" s="305"/>
      <c r="C50" s="305"/>
      <c r="D50" s="305"/>
      <c r="E50" s="305"/>
      <c r="F50" s="305"/>
      <c r="G50" s="305"/>
      <c r="H50" s="305"/>
    </row>
    <row r="51" s="347" customFormat="true" ht="13.5" hidden="false" customHeight="false" outlineLevel="0" collapsed="false">
      <c r="A51" s="293" t="s">
        <v>535</v>
      </c>
      <c r="B51" s="305" t="n">
        <f aca="false">'Cash Flow Statement'!E22</f>
        <v>-5084520</v>
      </c>
      <c r="C51" s="305" t="n">
        <f aca="false">-C25</f>
        <v>-12734763.397992</v>
      </c>
      <c r="D51" s="305" t="n">
        <f aca="false">-D25</f>
        <v>-51831403.0539191</v>
      </c>
      <c r="E51" s="305" t="n">
        <f aca="false">-E25</f>
        <v>-13248199.7903225</v>
      </c>
      <c r="F51" s="305" t="n">
        <f aca="false">-F25</f>
        <v>-14160433.2588451</v>
      </c>
      <c r="G51" s="305" t="n">
        <f aca="false">-G25</f>
        <v>-17031774.8046407</v>
      </c>
      <c r="H51" s="305"/>
    </row>
    <row r="52" s="347" customFormat="true" ht="13.5" hidden="false" customHeight="false" outlineLevel="0" collapsed="false">
      <c r="A52" s="311" t="s">
        <v>536</v>
      </c>
      <c r="H52" s="305"/>
    </row>
    <row r="53" s="347" customFormat="true" ht="13.5" hidden="false" customHeight="false" outlineLevel="0" collapsed="false">
      <c r="A53" s="293" t="s">
        <v>537</v>
      </c>
      <c r="B53" s="305" t="n">
        <f aca="false">'Cash Flow Statement'!E30</f>
        <v>0</v>
      </c>
      <c r="C53" s="305" t="n">
        <f aca="false">(Drivers!F121-Drivers!E121)+(Drivers!F127-Drivers!E127)</f>
        <v>0</v>
      </c>
      <c r="D53" s="305" t="n">
        <f aca="false">(Drivers!G121-Drivers!F121)+(Drivers!G127-Drivers!F127)</f>
        <v>31098841.8323515</v>
      </c>
      <c r="E53" s="305" t="n">
        <f aca="false">(Drivers!H121-Drivers!G121)+(Drivers!H127-Drivers!G127)</f>
        <v>0</v>
      </c>
      <c r="F53" s="305" t="n">
        <f aca="false">(Drivers!I121-Drivers!H121)+(Drivers!I127-Drivers!H127)</f>
        <v>-6219768.36647029</v>
      </c>
      <c r="G53" s="305" t="n">
        <f aca="false">(Drivers!J121-Drivers!I121)+(Drivers!J127-Drivers!I127)</f>
        <v>-6219768.36647029</v>
      </c>
      <c r="H53" s="321"/>
    </row>
    <row r="54" s="347" customFormat="true" ht="13.5" hidden="false" customHeight="false" outlineLevel="0" collapsed="false">
      <c r="A54" s="293"/>
      <c r="B54" s="305"/>
      <c r="C54" s="305"/>
      <c r="D54" s="305"/>
      <c r="E54" s="305"/>
      <c r="F54" s="305"/>
      <c r="G54" s="305"/>
      <c r="H54" s="305"/>
    </row>
    <row r="55" customFormat="false" ht="13.5" hidden="false" customHeight="false" outlineLevel="0" collapsed="false">
      <c r="A55" s="348" t="s">
        <v>192</v>
      </c>
      <c r="B55" s="349" t="n">
        <f aca="false">'Cash Flow Statement'!E32</f>
        <v>1735532.55</v>
      </c>
      <c r="C55" s="349" t="n">
        <f aca="false">B59</f>
        <v>2933481.76549999</v>
      </c>
      <c r="D55" s="349" t="n">
        <f aca="false">C59</f>
        <v>-2064433.68393639</v>
      </c>
      <c r="E55" s="349" t="n">
        <f aca="false">D59</f>
        <v>-14979499.3859455</v>
      </c>
      <c r="F55" s="349" t="n">
        <f aca="false">E59</f>
        <v>-21278947.1245071</v>
      </c>
      <c r="G55" s="349" t="n">
        <f aca="false">F59</f>
        <v>-26242990.9817656</v>
      </c>
      <c r="H55" s="350"/>
    </row>
    <row r="56" customFormat="false" ht="13.5" hidden="false" customHeight="false" outlineLevel="0" collapsed="false">
      <c r="A56" s="351"/>
      <c r="H56" s="350"/>
    </row>
    <row r="57" customFormat="false" ht="13.5" hidden="false" customHeight="false" outlineLevel="0" collapsed="false">
      <c r="A57" s="351" t="s">
        <v>193</v>
      </c>
      <c r="B57" s="294" t="n">
        <f aca="false">'Cash Flow Statement'!E34</f>
        <v>1197949.21549999</v>
      </c>
      <c r="C57" s="294" t="n">
        <f aca="false">C49+C51+C53</f>
        <v>-4997915.44943638</v>
      </c>
      <c r="D57" s="294" t="n">
        <f aca="false">D49+D51+D53</f>
        <v>-12915065.7020091</v>
      </c>
      <c r="E57" s="294" t="n">
        <f aca="false">E49+E51+E53</f>
        <v>-6299447.73856155</v>
      </c>
      <c r="F57" s="294" t="n">
        <f aca="false">F49+F51+F53</f>
        <v>-4964043.85725853</v>
      </c>
      <c r="G57" s="294" t="n">
        <f aca="false">G49+G51+G53</f>
        <v>567275.567771573</v>
      </c>
    </row>
    <row r="58" customFormat="false" ht="13.5" hidden="false" customHeight="false" outlineLevel="0" collapsed="false">
      <c r="A58" s="351"/>
    </row>
    <row r="59" customFormat="false" ht="14.25" hidden="false" customHeight="true" outlineLevel="0" collapsed="false">
      <c r="A59" s="352" t="s">
        <v>194</v>
      </c>
      <c r="B59" s="353" t="n">
        <f aca="false">'Cash Flow Statement'!E36</f>
        <v>2933481.76549999</v>
      </c>
      <c r="C59" s="353" t="n">
        <f aca="false">C55+C57</f>
        <v>-2064433.68393639</v>
      </c>
      <c r="D59" s="353" t="n">
        <f aca="false">D55+D57</f>
        <v>-14979499.3859455</v>
      </c>
      <c r="E59" s="353" t="n">
        <f aca="false">E55+E57</f>
        <v>-21278947.1245071</v>
      </c>
      <c r="F59" s="353" t="n">
        <f aca="false">F55+F57</f>
        <v>-26242990.9817656</v>
      </c>
      <c r="G59" s="353" t="n">
        <f aca="false">G55+G57</f>
        <v>-25675715.413994</v>
      </c>
    </row>
    <row r="60" customFormat="false" ht="14.25" hidden="false" customHeight="true" outlineLevel="0" collapsed="false">
      <c r="A60" s="354" t="s">
        <v>538</v>
      </c>
      <c r="C60" s="355" t="n">
        <f aca="false">MAX(0,Drivers!F120-C59)</f>
        <v>5248124.53343439</v>
      </c>
      <c r="D60" s="355" t="n">
        <f aca="false">MAX(0,Drivers!G120-D59)</f>
        <v>18966530.3900932</v>
      </c>
      <c r="E60" s="355" t="n">
        <f aca="false">MAX(0,Drivers!H120-E59)</f>
        <v>26799030.3704748</v>
      </c>
      <c r="F60" s="355" t="n">
        <f aca="false">MAX(0,Drivers!I120-F59)</f>
        <v>33323207.6111882</v>
      </c>
      <c r="G60" s="355" t="n">
        <f aca="false">MAX(0,Drivers!J120-G59)</f>
        <v>34191602.8163144</v>
      </c>
    </row>
    <row r="61" customFormat="false" ht="22.5" hidden="false" customHeight="true" outlineLevel="0" collapsed="false">
      <c r="A61" s="356" t="s">
        <v>539</v>
      </c>
      <c r="B61" s="357" t="n">
        <f aca="false">MAX(C60:G60)</f>
        <v>34191602.8163144</v>
      </c>
      <c r="C61" s="293"/>
    </row>
    <row r="62" customFormat="false" ht="21" hidden="false" customHeight="true" outlineLevel="0" collapsed="false">
      <c r="A62" s="356" t="s">
        <v>540</v>
      </c>
      <c r="B62" s="358" t="n">
        <f aca="false">B61*0.1</f>
        <v>3419160.28163144</v>
      </c>
      <c r="C62" s="293"/>
    </row>
    <row r="63" customFormat="false" ht="24.75" hidden="false" customHeight="true" outlineLevel="0" collapsed="false">
      <c r="A63" s="359" t="s">
        <v>541</v>
      </c>
      <c r="B63" s="360" t="n">
        <f aca="false">B61+B62</f>
        <v>37610763.0979458</v>
      </c>
      <c r="C63" s="293"/>
    </row>
    <row r="64" customFormat="false" ht="13.5" hidden="false" customHeight="false" outlineLevel="0" collapsed="false">
      <c r="A64" s="243" t="s">
        <v>542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K41"/>
  <sheetViews>
    <sheetView showFormulas="false" showGridLines="true" showRowColHeaders="true" showZeros="true" rightToLeft="false" tabSelected="false" showOutlineSymbols="true" defaultGridColor="true" view="normal" topLeftCell="A10" colorId="64" zoomScale="85" zoomScaleNormal="85" zoomScalePageLayoutView="100" workbookViewId="0">
      <selection pane="topLeft" activeCell="B41" activeCellId="0" sqref="B41"/>
    </sheetView>
  </sheetViews>
  <sheetFormatPr defaultColWidth="7.2734375" defaultRowHeight="13.5" zeroHeight="false" outlineLevelRow="0" outlineLevelCol="0"/>
  <cols>
    <col collapsed="false" customWidth="true" hidden="false" outlineLevel="0" max="1" min="1" style="293" width="40.82"/>
    <col collapsed="false" customWidth="true" hidden="false" outlineLevel="0" max="5" min="2" style="294" width="14"/>
    <col collapsed="false" customWidth="true" hidden="false" outlineLevel="0" max="6" min="6" style="294" width="22.54"/>
    <col collapsed="false" customWidth="true" hidden="false" outlineLevel="0" max="7" min="7" style="293" width="16.73"/>
    <col collapsed="false" customWidth="true" hidden="false" outlineLevel="0" max="8" min="8" style="293" width="14.36"/>
    <col collapsed="false" customWidth="true" hidden="false" outlineLevel="0" max="9" min="9" style="293" width="14.45"/>
    <col collapsed="false" customWidth="true" hidden="false" outlineLevel="0" max="10" min="10" style="293" width="13"/>
    <col collapsed="false" customWidth="false" hidden="false" outlineLevel="0" max="16384" min="11" style="293" width="7.27"/>
  </cols>
  <sheetData>
    <row r="1" customFormat="false" ht="31.5" hidden="false" customHeight="true" outlineLevel="0" collapsed="false">
      <c r="A1" s="295" t="s">
        <v>543</v>
      </c>
      <c r="B1" s="295"/>
      <c r="C1" s="361"/>
      <c r="D1" s="361"/>
    </row>
    <row r="2" customFormat="false" ht="31.5" hidden="false" customHeight="true" outlineLevel="0" collapsed="false">
      <c r="A2" s="362"/>
      <c r="B2" s="362"/>
    </row>
    <row r="3" customFormat="false" ht="13.5" hidden="false" customHeight="false" outlineLevel="0" collapsed="false">
      <c r="C3" s="305" t="n">
        <v>1</v>
      </c>
      <c r="D3" s="305" t="n">
        <f aca="false">C3+1</f>
        <v>2</v>
      </c>
      <c r="E3" s="305" t="n">
        <f aca="false">D3+1</f>
        <v>3</v>
      </c>
      <c r="F3" s="305" t="n">
        <f aca="false">E3+1</f>
        <v>4</v>
      </c>
      <c r="G3" s="305" t="n">
        <f aca="false">F3+1</f>
        <v>5</v>
      </c>
    </row>
    <row r="4" customFormat="false" ht="13.5" hidden="false" customHeight="false" outlineLevel="0" collapsed="false">
      <c r="B4" s="363" t="n">
        <f aca="false">'Income Statement'!D4</f>
        <v>2025</v>
      </c>
      <c r="C4" s="363" t="n">
        <f aca="false">B4+1</f>
        <v>2026</v>
      </c>
      <c r="D4" s="363" t="n">
        <f aca="false">C4+1</f>
        <v>2027</v>
      </c>
      <c r="E4" s="363" t="n">
        <f aca="false">D4+1</f>
        <v>2028</v>
      </c>
      <c r="F4" s="363" t="n">
        <f aca="false">E4+1</f>
        <v>2029</v>
      </c>
      <c r="G4" s="363" t="n">
        <f aca="false">F4+1</f>
        <v>2030</v>
      </c>
      <c r="H4" s="363" t="n">
        <f aca="false">G4+1</f>
        <v>2031</v>
      </c>
    </row>
    <row r="5" customFormat="false" ht="18.75" hidden="false" customHeight="true" outlineLevel="0" collapsed="false">
      <c r="A5" s="364" t="s">
        <v>544</v>
      </c>
      <c r="B5" s="305"/>
      <c r="C5" s="314" t="n">
        <f aca="false">'Pro Forma'!C10-Drivers!F135*MAX(0,'Pro Forma'!C10-Drivers!F133)</f>
        <v>6712155.6766217</v>
      </c>
      <c r="D5" s="314" t="n">
        <f aca="false">'Pro Forma'!D10-Drivers!G135*MAX(0,'Pro Forma'!D10-Drivers!G133)</f>
        <v>7199606.85986841</v>
      </c>
      <c r="E5" s="314" t="n">
        <f aca="false">'Pro Forma'!E10-Drivers!H135*MAX(0,'Pro Forma'!E10-Drivers!H133)</f>
        <v>5013984.15107313</v>
      </c>
      <c r="F5" s="314" t="n">
        <f aca="false">'Pro Forma'!F10-Drivers!I135*MAX(0,'Pro Forma'!F10-Drivers!I133)</f>
        <v>11077476.7227272</v>
      </c>
      <c r="G5" s="314" t="n">
        <f aca="false">'Pro Forma'!G10-Drivers!J135*MAX(0,'Pro Forma'!G10-Drivers!J133)</f>
        <v>15724451.2480854</v>
      </c>
      <c r="H5" s="305"/>
    </row>
    <row r="6" customFormat="false" ht="18.75" hidden="false" customHeight="true" outlineLevel="0" collapsed="false">
      <c r="A6" s="293" t="s">
        <v>545</v>
      </c>
      <c r="B6" s="305"/>
      <c r="C6" s="314" t="n">
        <f aca="false">'Pro Forma'!C9</f>
        <v>3742094.4</v>
      </c>
      <c r="D6" s="314" t="n">
        <f aca="false">'Pro Forma'!D9</f>
        <v>5270266.00775904</v>
      </c>
      <c r="E6" s="314" t="n">
        <f aca="false">'Pro Forma'!E9</f>
        <v>11490034.3742293</v>
      </c>
      <c r="F6" s="314" t="n">
        <f aca="false">'Pro Forma'!F9</f>
        <v>13079818.349068</v>
      </c>
      <c r="G6" s="314" t="n">
        <f aca="false">'Pro Forma'!G9</f>
        <v>14779070.3401295</v>
      </c>
      <c r="H6" s="305"/>
    </row>
    <row r="7" customFormat="false" ht="18.75" hidden="false" customHeight="true" outlineLevel="0" collapsed="false">
      <c r="A7" s="293" t="s">
        <v>546</v>
      </c>
      <c r="B7" s="305"/>
      <c r="C7" s="314" t="n">
        <f aca="false">'Pro Forma'!C37</f>
        <v>2584386.32806609</v>
      </c>
      <c r="D7" s="314" t="n">
        <f aca="false">'Pro Forma'!D37</f>
        <v>3280215.67477489</v>
      </c>
      <c r="E7" s="314" t="n">
        <f aca="false">'Pro Forma'!E37</f>
        <v>6939151.12695341</v>
      </c>
      <c r="F7" s="314" t="n">
        <f aca="false">'Pro Forma'!F37</f>
        <v>6373812.69180898</v>
      </c>
      <c r="G7" s="314" t="n">
        <f aca="false">'Pro Forma'!G37</f>
        <v>4814959.70672064</v>
      </c>
      <c r="H7" s="305"/>
    </row>
    <row r="8" customFormat="false" ht="18.75" hidden="false" customHeight="true" outlineLevel="0" collapsed="false">
      <c r="A8" s="293" t="s">
        <v>547</v>
      </c>
      <c r="B8" s="305"/>
      <c r="C8" s="314" t="n">
        <f aca="false">'Pro Forma'!C25</f>
        <v>12734763.397992</v>
      </c>
      <c r="D8" s="314" t="n">
        <f aca="false">'Pro Forma'!D25</f>
        <v>51831403.0539191</v>
      </c>
      <c r="E8" s="314" t="n">
        <f aca="false">'Pro Forma'!E25</f>
        <v>13248199.7903225</v>
      </c>
      <c r="F8" s="314" t="n">
        <f aca="false">'Pro Forma'!F25</f>
        <v>14160433.2588451</v>
      </c>
      <c r="G8" s="314" t="n">
        <f aca="false">'Pro Forma'!G25</f>
        <v>17031774.8046407</v>
      </c>
      <c r="H8" s="305"/>
    </row>
    <row r="9" customFormat="false" ht="18.75" hidden="false" customHeight="true" outlineLevel="0" collapsed="false">
      <c r="B9" s="305"/>
      <c r="C9" s="305"/>
      <c r="D9" s="305"/>
      <c r="E9" s="305"/>
      <c r="F9" s="305"/>
      <c r="G9" s="305"/>
      <c r="H9" s="365" t="s">
        <v>548</v>
      </c>
    </row>
    <row r="10" s="311" customFormat="true" ht="18.75" hidden="false" customHeight="true" outlineLevel="0" collapsed="false">
      <c r="A10" s="366" t="s">
        <v>549</v>
      </c>
      <c r="B10" s="367"/>
      <c r="C10" s="367" t="n">
        <f aca="false">C5+C6-C7-C8</f>
        <v>-4864899.64943638</v>
      </c>
      <c r="D10" s="367" t="n">
        <f aca="false">D5+D6-D7-D8</f>
        <v>-42641745.8610666</v>
      </c>
      <c r="E10" s="367" t="n">
        <f aca="false">E5+E6-E7-E8</f>
        <v>-3683332.39197344</v>
      </c>
      <c r="F10" s="367" t="n">
        <f aca="false">F5+F6-F7-F8</f>
        <v>3623049.12114107</v>
      </c>
      <c r="G10" s="367" t="n">
        <f aca="false">G5+G6-G7-G8</f>
        <v>8656787.07685355</v>
      </c>
      <c r="H10" s="368" t="n">
        <f aca="false">G5*(1+Assumption!D16)*(1-Assumption!D16/Assumption!D19)</f>
        <v>10563518.8364397</v>
      </c>
      <c r="I10" s="222" t="s">
        <v>550</v>
      </c>
      <c r="J10" s="369"/>
      <c r="K10" s="370"/>
    </row>
    <row r="11" customFormat="false" ht="13.5" hidden="false" customHeight="true" outlineLevel="0" collapsed="false">
      <c r="B11" s="305"/>
      <c r="C11" s="305"/>
      <c r="D11" s="305"/>
      <c r="E11" s="305"/>
      <c r="F11" s="305"/>
      <c r="G11" s="371"/>
      <c r="H11" s="305"/>
      <c r="J11" s="372"/>
      <c r="K11" s="373"/>
    </row>
    <row r="12" customFormat="false" ht="27.75" hidden="false" customHeight="true" outlineLevel="0" collapsed="false">
      <c r="A12" s="325" t="s">
        <v>551</v>
      </c>
      <c r="B12" s="305"/>
      <c r="C12" s="305"/>
      <c r="D12" s="305"/>
      <c r="E12" s="305"/>
      <c r="G12" s="374" t="n">
        <f aca="false">H10/(Assumption!D18-Assumption!D16)</f>
        <v>122293619.555322</v>
      </c>
      <c r="H12" s="375"/>
    </row>
    <row r="13" customFormat="false" ht="15" hidden="false" customHeight="true" outlineLevel="0" collapsed="false">
      <c r="B13" s="305"/>
      <c r="C13" s="305"/>
      <c r="D13" s="305"/>
      <c r="E13" s="305"/>
      <c r="F13" s="305"/>
      <c r="G13" s="305"/>
      <c r="H13" s="305"/>
    </row>
    <row r="14" s="311" customFormat="true" ht="18.75" hidden="false" customHeight="true" outlineLevel="0" collapsed="false">
      <c r="A14" s="376" t="s">
        <v>552</v>
      </c>
      <c r="B14" s="368"/>
      <c r="C14" s="377" t="n">
        <f aca="false">C10/(1+Assumption!$D$18)^C3</f>
        <v>-4281056.32927654</v>
      </c>
      <c r="D14" s="377" t="n">
        <f aca="false">D10/(1+Assumption!$D$18)^D3</f>
        <v>-33020913.9424317</v>
      </c>
      <c r="E14" s="377" t="n">
        <f aca="false">E10/(1+Assumption!$D$18)^E3</f>
        <v>-2509990.51366287</v>
      </c>
      <c r="F14" s="377" t="n">
        <f aca="false">F10/(1+Assumption!$D$18)^F3</f>
        <v>2172613.36067415</v>
      </c>
      <c r="G14" s="378" t="n">
        <f aca="false">(G10+G12)/(1+Assumption!$D$18)^G3</f>
        <v>69102240.8629947</v>
      </c>
      <c r="H14" s="310"/>
    </row>
    <row r="15" customFormat="false" ht="13.5" hidden="false" customHeight="false" outlineLevel="0" collapsed="false">
      <c r="B15" s="305"/>
      <c r="C15" s="305"/>
      <c r="D15" s="305"/>
      <c r="E15" s="305"/>
      <c r="F15" s="305"/>
      <c r="G15" s="305"/>
      <c r="H15" s="305"/>
      <c r="J15" s="379"/>
    </row>
    <row r="16" s="385" customFormat="true" ht="28.5" hidden="false" customHeight="true" outlineLevel="0" collapsed="false">
      <c r="A16" s="380" t="s">
        <v>553</v>
      </c>
      <c r="B16" s="381"/>
      <c r="C16" s="381" t="n">
        <f aca="false">SUM(C14:G14)</f>
        <v>31462893.4382978</v>
      </c>
      <c r="D16" s="382"/>
      <c r="E16" s="383"/>
      <c r="F16" s="383"/>
      <c r="G16" s="384"/>
      <c r="H16" s="384"/>
      <c r="J16" s="372"/>
    </row>
    <row r="17" customFormat="false" ht="13.5" hidden="false" customHeight="false" outlineLevel="0" collapsed="false">
      <c r="B17" s="305"/>
      <c r="C17" s="305"/>
      <c r="D17" s="305"/>
      <c r="E17" s="305"/>
      <c r="F17" s="305"/>
      <c r="G17" s="379"/>
      <c r="H17" s="379"/>
    </row>
    <row r="18" s="293" customFormat="true" ht="13.5" hidden="false" customHeight="false" outlineLevel="0" collapsed="false">
      <c r="B18" s="386"/>
      <c r="C18" s="387"/>
      <c r="E18" s="305"/>
      <c r="F18" s="305"/>
      <c r="G18" s="379"/>
      <c r="H18" s="379"/>
    </row>
    <row r="19" s="293" customFormat="true" ht="13.5" hidden="false" customHeight="false" outlineLevel="0" collapsed="false">
      <c r="A19" s="388" t="s">
        <v>539</v>
      </c>
      <c r="B19" s="389" t="n">
        <f aca="false">'Pro Forma'!B63</f>
        <v>37610763.0979458</v>
      </c>
      <c r="C19" s="371"/>
      <c r="E19" s="305"/>
      <c r="F19" s="305"/>
      <c r="G19" s="379"/>
      <c r="H19" s="379"/>
    </row>
    <row r="20" customFormat="false" ht="13.5" hidden="false" customHeight="false" outlineLevel="0" collapsed="false">
      <c r="A20" s="388" t="s">
        <v>554</v>
      </c>
      <c r="B20" s="390" t="n">
        <f aca="false">B19/B21</f>
        <v>0.534209356458693</v>
      </c>
      <c r="C20" s="391"/>
      <c r="D20" s="293"/>
    </row>
    <row r="21" customFormat="false" ht="13.5" hidden="false" customHeight="false" outlineLevel="0" collapsed="false">
      <c r="A21" s="388" t="s">
        <v>555</v>
      </c>
      <c r="B21" s="357" t="n">
        <f aca="false">B22+B19</f>
        <v>70404538.3017436</v>
      </c>
      <c r="C21" s="392"/>
      <c r="D21" s="293"/>
    </row>
    <row r="22" customFormat="false" ht="15.75" hidden="false" customHeight="true" outlineLevel="0" collapsed="false">
      <c r="A22" s="388" t="s">
        <v>556</v>
      </c>
      <c r="B22" s="357" t="n">
        <f aca="false">C16+'Balance Sheet'!G7-'Balance Sheet'!G48-'Balance Sheet'!G61</f>
        <v>32793775.2037977</v>
      </c>
      <c r="C22" s="392"/>
      <c r="D22" s="393" t="s">
        <v>557</v>
      </c>
      <c r="E22" s="394" t="n">
        <f aca="false">B19</f>
        <v>37610763.0979458</v>
      </c>
      <c r="F22" s="395" t="s">
        <v>558</v>
      </c>
      <c r="G22" s="396" t="n">
        <f aca="false">B20</f>
        <v>0.534209356458693</v>
      </c>
      <c r="H22" s="397" t="s">
        <v>559</v>
      </c>
    </row>
    <row r="24" customFormat="false" ht="13.5" hidden="false" customHeight="false" outlineLevel="0" collapsed="false">
      <c r="B24" s="293"/>
      <c r="C24" s="398"/>
    </row>
    <row r="26" customFormat="false" ht="13.5" hidden="false" customHeight="false" outlineLevel="0" collapsed="false">
      <c r="A26" s="275" t="s">
        <v>560</v>
      </c>
    </row>
    <row r="27" customFormat="false" ht="13.5" hidden="false" customHeight="false" outlineLevel="0" collapsed="false">
      <c r="A27" s="234" t="s">
        <v>561</v>
      </c>
      <c r="B27" s="399" t="n">
        <f aca="false">SUM(C14:F14)+G10/(1+Assumption!D18)^G3</f>
        <v>-33071179.9705501</v>
      </c>
    </row>
    <row r="28" customFormat="false" ht="13.5" hidden="false" customHeight="false" outlineLevel="0" collapsed="false">
      <c r="A28" s="234" t="s">
        <v>562</v>
      </c>
      <c r="B28" s="399" t="n">
        <f aca="false">G12/(1+Assumption!D18)^G3</f>
        <v>64534073.4088479</v>
      </c>
    </row>
    <row r="29" customFormat="false" ht="13.5" hidden="false" customHeight="false" outlineLevel="0" collapsed="false">
      <c r="A29" s="234" t="s">
        <v>563</v>
      </c>
      <c r="B29" s="399" t="n">
        <f aca="false">C16</f>
        <v>31462893.4382978</v>
      </c>
    </row>
    <row r="30" customFormat="false" ht="13.5" hidden="false" customHeight="false" outlineLevel="0" collapsed="false">
      <c r="A30" s="234" t="s">
        <v>564</v>
      </c>
      <c r="B30" s="400" t="n">
        <f aca="false">B28/B29</f>
        <v>2.05111693034229</v>
      </c>
    </row>
    <row r="31" customFormat="false" ht="13.5" hidden="false" customHeight="false" outlineLevel="0" collapsed="false">
      <c r="A31" s="234" t="s">
        <v>565</v>
      </c>
      <c r="B31" s="399" t="n">
        <f aca="false">'Balance Sheet'!G7</f>
        <v>2933481.76549999</v>
      </c>
    </row>
    <row r="32" customFormat="false" ht="13.5" hidden="false" customHeight="false" outlineLevel="0" collapsed="false">
      <c r="A32" s="234" t="s">
        <v>566</v>
      </c>
      <c r="B32" s="399" t="n">
        <f aca="false">'Balance Sheet'!G48+'Balance Sheet'!G61</f>
        <v>1602600</v>
      </c>
    </row>
    <row r="33" customFormat="false" ht="13.5" hidden="false" customHeight="false" outlineLevel="0" collapsed="false">
      <c r="A33" s="234" t="s">
        <v>567</v>
      </c>
      <c r="B33" s="399" t="n">
        <f aca="false">B29+B31-B32</f>
        <v>32793775.2037977</v>
      </c>
    </row>
    <row r="34" customFormat="false" ht="13.5" hidden="false" customHeight="false" outlineLevel="0" collapsed="false">
      <c r="A34" s="234" t="s">
        <v>568</v>
      </c>
      <c r="B34" s="401" t="n">
        <f aca="false">B29/Drivers!E76</f>
        <v>4.08894211236575</v>
      </c>
    </row>
    <row r="35" customFormat="false" ht="13.5" hidden="false" customHeight="false" outlineLevel="0" collapsed="false">
      <c r="A35" s="234" t="s">
        <v>569</v>
      </c>
      <c r="B35" s="401" t="n">
        <f aca="false">B29/Drivers!F76</f>
        <v>2.76373239117498</v>
      </c>
    </row>
    <row r="36" customFormat="false" ht="13.5" hidden="false" customHeight="false" outlineLevel="0" collapsed="false">
      <c r="A36" s="234" t="s">
        <v>570</v>
      </c>
      <c r="B36" s="401" t="n">
        <f aca="false">B33/'Income Statement'!E80</f>
        <v>4.98450797806063</v>
      </c>
    </row>
    <row r="37" customFormat="false" ht="13.5" hidden="false" customHeight="false" outlineLevel="0" collapsed="false">
      <c r="A37" s="234" t="s">
        <v>571</v>
      </c>
      <c r="B37" s="286" t="n">
        <f aca="false">B33/'Balance Sheet'!G76</f>
        <v>1.09413945947437</v>
      </c>
    </row>
    <row r="38" customFormat="false" ht="13.5" hidden="false" customHeight="false" outlineLevel="0" collapsed="false">
      <c r="A38" s="234" t="s">
        <v>572</v>
      </c>
      <c r="B38" s="399" t="n">
        <f aca="false">G10*(1+Assumption!D16)/(Assumption!D18-Assumption!D16)</f>
        <v>105230400.383346</v>
      </c>
    </row>
    <row r="39" customFormat="false" ht="13.5" hidden="false" customHeight="false" outlineLevel="0" collapsed="false">
      <c r="A39" s="234" t="s">
        <v>573</v>
      </c>
      <c r="B39" s="400" t="n">
        <f aca="false">G5/('Pro Forma'!G24+'Pro Forma'!G36)</f>
        <v>0.138811531585547</v>
      </c>
    </row>
    <row r="40" customFormat="false" ht="13.5" hidden="false" customHeight="false" outlineLevel="0" collapsed="false">
      <c r="A40" s="234" t="s">
        <v>574</v>
      </c>
      <c r="B40" s="400" t="n">
        <f aca="false">Assumption!D16/Assumption!D19</f>
        <v>0.360200621871145</v>
      </c>
    </row>
    <row r="41" customFormat="false" ht="13.5" hidden="false" customHeight="false" outlineLevel="0" collapsed="false">
      <c r="A41" s="234" t="s">
        <v>575</v>
      </c>
      <c r="B41" s="399" t="n">
        <f aca="false">B33-B22</f>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E46"/>
  <sheetViews>
    <sheetView showFormulas="false" showGridLines="true" showRowColHeaders="true" showZeros="true" rightToLeft="false" tabSelected="false" showOutlineSymbols="true" defaultGridColor="true" view="normal" topLeftCell="A34" colorId="64" zoomScale="120" zoomScaleNormal="120" zoomScalePageLayoutView="100" workbookViewId="0">
      <selection pane="topLeft" activeCell="A46" activeCellId="0" sqref="A46"/>
    </sheetView>
  </sheetViews>
  <sheetFormatPr defaultColWidth="8.73046875" defaultRowHeight="13.5" zeroHeight="false" outlineLevelRow="0" outlineLevelCol="0"/>
  <cols>
    <col collapsed="false" customWidth="true" hidden="false" outlineLevel="0" max="1" min="1" style="224" width="48"/>
    <col collapsed="false" customWidth="true" hidden="false" outlineLevel="0" max="2" min="2" style="224" width="15.18"/>
    <col collapsed="false" customWidth="true" hidden="false" outlineLevel="0" max="3" min="3" style="224" width="20.54"/>
    <col collapsed="false" customWidth="true" hidden="false" outlineLevel="0" max="4" min="4" style="224" width="21.73"/>
    <col collapsed="false" customWidth="true" hidden="false" outlineLevel="0" max="5" min="5" style="224" width="14.82"/>
    <col collapsed="false" customWidth="false" hidden="false" outlineLevel="0" max="16384" min="6" style="224" width="8.73"/>
  </cols>
  <sheetData>
    <row r="1" customFormat="false" ht="19.5" hidden="false" customHeight="true" outlineLevel="0" collapsed="false">
      <c r="A1" s="402" t="s">
        <v>576</v>
      </c>
      <c r="B1" s="250"/>
      <c r="C1" s="403" t="n">
        <f aca="false">DCF!G4</f>
        <v>2030</v>
      </c>
      <c r="D1" s="404"/>
    </row>
    <row r="2" customFormat="false" ht="13.5" hidden="false" customHeight="false" outlineLevel="0" collapsed="false">
      <c r="A2" s="405"/>
      <c r="B2" s="404"/>
      <c r="C2" s="404"/>
      <c r="D2" s="404"/>
    </row>
    <row r="3" customFormat="false" ht="13.5" hidden="false" customHeight="false" outlineLevel="0" collapsed="false">
      <c r="A3" s="229" t="s">
        <v>577</v>
      </c>
    </row>
    <row r="4" customFormat="false" ht="13.5" hidden="false" customHeight="false" outlineLevel="0" collapsed="false">
      <c r="A4" s="229"/>
    </row>
    <row r="5" customFormat="false" ht="13.5" hidden="false" customHeight="false" outlineLevel="0" collapsed="false">
      <c r="A5" s="259" t="s">
        <v>578</v>
      </c>
      <c r="B5" s="406" t="n">
        <f aca="false">DCF!G3</f>
        <v>5</v>
      </c>
      <c r="D5" s="259" t="s">
        <v>539</v>
      </c>
      <c r="E5" s="407" t="n">
        <f aca="false">DCF!B19</f>
        <v>37610763.0979458</v>
      </c>
    </row>
    <row r="6" customFormat="false" ht="45.75" hidden="false" customHeight="true" outlineLevel="0" collapsed="false">
      <c r="A6" s="259" t="s">
        <v>579</v>
      </c>
      <c r="B6" s="408" t="n">
        <v>0.4</v>
      </c>
      <c r="C6" s="409" t="s">
        <v>580</v>
      </c>
      <c r="D6" s="259" t="s">
        <v>581</v>
      </c>
      <c r="E6" s="406" t="n">
        <f aca="false">B39</f>
        <v>198692236.988942</v>
      </c>
    </row>
    <row r="7" customFormat="false" ht="13.5" hidden="false" customHeight="false" outlineLevel="0" collapsed="false">
      <c r="A7" s="259" t="s">
        <v>582</v>
      </c>
      <c r="B7" s="410" t="n">
        <f aca="false">'Discount rate'!E5</f>
        <v>0.136378331713872</v>
      </c>
      <c r="D7" s="411"/>
      <c r="E7" s="412"/>
    </row>
    <row r="8" customFormat="false" ht="13.5" hidden="false" customHeight="false" outlineLevel="0" collapsed="false">
      <c r="A8" s="413"/>
      <c r="B8" s="412"/>
      <c r="D8" s="259" t="s">
        <v>583</v>
      </c>
      <c r="E8" s="414" t="n">
        <f aca="false">E6/(1+B9)^B5</f>
        <v>62909673.2318668</v>
      </c>
    </row>
    <row r="9" customFormat="false" ht="45.75" hidden="false" customHeight="true" outlineLevel="0" collapsed="false">
      <c r="A9" s="259" t="s">
        <v>584</v>
      </c>
      <c r="B9" s="415" t="n">
        <f aca="false">(1+B7)/(1-B6)^(1/B5)-1</f>
        <v>0.258614393402926</v>
      </c>
      <c r="C9" s="409" t="s">
        <v>585</v>
      </c>
      <c r="D9" s="259" t="s">
        <v>586</v>
      </c>
      <c r="E9" s="416" t="n">
        <f aca="false">E5/E8</f>
        <v>0.597853416903367</v>
      </c>
    </row>
    <row r="10" customFormat="false" ht="13.5" hidden="false" customHeight="false" outlineLevel="0" collapsed="false">
      <c r="A10" s="218"/>
      <c r="B10" s="417"/>
      <c r="D10" s="411"/>
      <c r="E10" s="412"/>
    </row>
    <row r="11" customFormat="false" ht="13.5" hidden="false" customHeight="false" outlineLevel="0" collapsed="false">
      <c r="A11" s="218"/>
      <c r="B11" s="417"/>
      <c r="D11" s="259" t="s">
        <v>556</v>
      </c>
      <c r="E11" s="418" t="n">
        <f aca="false">E8-E5</f>
        <v>25298910.1339209</v>
      </c>
    </row>
    <row r="12" customFormat="false" ht="13.5" hidden="false" customHeight="false" outlineLevel="0" collapsed="false">
      <c r="A12" s="218"/>
      <c r="B12" s="417"/>
      <c r="D12" s="259" t="s">
        <v>587</v>
      </c>
      <c r="E12" s="416" t="n">
        <f aca="false">1-E9</f>
        <v>0.402146583096633</v>
      </c>
    </row>
    <row r="13" customFormat="false" ht="13.5" hidden="false" customHeight="false" outlineLevel="0" collapsed="false">
      <c r="A13" s="218"/>
      <c r="B13" s="417"/>
      <c r="D13" s="218"/>
      <c r="E13" s="419"/>
    </row>
    <row r="15" customFormat="false" ht="13.5" hidden="false" customHeight="false" outlineLevel="0" collapsed="false">
      <c r="A15" s="420" t="s">
        <v>557</v>
      </c>
      <c r="B15" s="421" t="n">
        <f aca="false">E5</f>
        <v>37610763.0979458</v>
      </c>
      <c r="C15" s="422" t="s">
        <v>558</v>
      </c>
      <c r="D15" s="423" t="n">
        <f aca="false">E9</f>
        <v>0.597853416903367</v>
      </c>
      <c r="E15" s="397" t="s">
        <v>559</v>
      </c>
    </row>
    <row r="19" customFormat="false" ht="13.5" hidden="false" customHeight="false" outlineLevel="0" collapsed="false">
      <c r="A19" s="275" t="s">
        <v>588</v>
      </c>
      <c r="B19" s="273" t="s">
        <v>589</v>
      </c>
      <c r="C19" s="273" t="s">
        <v>590</v>
      </c>
      <c r="D19" s="273" t="s">
        <v>591</v>
      </c>
    </row>
    <row r="20" customFormat="false" ht="13.5" hidden="false" customHeight="false" outlineLevel="0" collapsed="false">
      <c r="A20" s="234" t="s">
        <v>592</v>
      </c>
      <c r="B20" s="424" t="n">
        <v>0.65</v>
      </c>
      <c r="C20" s="424" t="n">
        <v>0.8</v>
      </c>
      <c r="D20" s="400" t="n">
        <f aca="false">AVERAGE(B20:C20)</f>
        <v>0.725</v>
      </c>
      <c r="E20" s="425" t="s">
        <v>593</v>
      </c>
    </row>
    <row r="21" customFormat="false" ht="13.5" hidden="false" customHeight="false" outlineLevel="0" collapsed="false">
      <c r="A21" s="234" t="s">
        <v>594</v>
      </c>
      <c r="B21" s="424" t="n">
        <v>0.5</v>
      </c>
      <c r="C21" s="424" t="n">
        <v>0.65</v>
      </c>
      <c r="D21" s="400" t="n">
        <f aca="false">AVERAGE(B21:C21)</f>
        <v>0.575</v>
      </c>
      <c r="E21" s="426"/>
    </row>
    <row r="22" customFormat="false" ht="13.5" hidden="false" customHeight="false" outlineLevel="0" collapsed="false">
      <c r="A22" s="234" t="s">
        <v>595</v>
      </c>
      <c r="B22" s="424" t="n">
        <v>0.35</v>
      </c>
      <c r="C22" s="424" t="n">
        <v>0.45</v>
      </c>
      <c r="D22" s="400" t="n">
        <f aca="false">AVERAGE(B22:C22)</f>
        <v>0.4</v>
      </c>
    </row>
    <row r="23" customFormat="false" ht="13.5" hidden="false" customHeight="false" outlineLevel="0" collapsed="false">
      <c r="A23" s="234" t="s">
        <v>596</v>
      </c>
      <c r="B23" s="424" t="n">
        <v>0.2</v>
      </c>
      <c r="C23" s="424" t="n">
        <v>0.3</v>
      </c>
      <c r="D23" s="400" t="n">
        <f aca="false">AVERAGE(B23:C23)</f>
        <v>0.25</v>
      </c>
    </row>
    <row r="25" customFormat="false" ht="13.5" hidden="false" customHeight="false" outlineLevel="0" collapsed="false">
      <c r="A25" s="198" t="s">
        <v>597</v>
      </c>
      <c r="B25" s="427" t="s">
        <v>595</v>
      </c>
      <c r="C25" s="236" t="s">
        <v>598</v>
      </c>
    </row>
    <row r="27" customFormat="false" ht="13.5" hidden="false" customHeight="false" outlineLevel="0" collapsed="false">
      <c r="A27" s="275" t="s">
        <v>599</v>
      </c>
    </row>
    <row r="28" customFormat="false" ht="13.5" hidden="false" customHeight="false" outlineLevel="0" collapsed="false">
      <c r="A28" s="234" t="s">
        <v>600</v>
      </c>
      <c r="B28" s="428" t="n">
        <f aca="false">'Income Statement'!I80</f>
        <v>13854708.1054738</v>
      </c>
    </row>
    <row r="29" customFormat="false" ht="13.5" hidden="false" customHeight="false" outlineLevel="0" collapsed="false">
      <c r="A29" s="234" t="s">
        <v>601</v>
      </c>
      <c r="B29" s="429" t="n">
        <v>9.4</v>
      </c>
      <c r="C29" s="236" t="s">
        <v>602</v>
      </c>
    </row>
    <row r="30" customFormat="false" ht="13.5" hidden="false" customHeight="false" outlineLevel="0" collapsed="false">
      <c r="A30" s="234" t="s">
        <v>603</v>
      </c>
      <c r="B30" s="399" t="n">
        <f aca="false">B28*B29</f>
        <v>130234256.191453</v>
      </c>
    </row>
    <row r="31" customFormat="false" ht="13.5" hidden="false" customHeight="false" outlineLevel="0" collapsed="false">
      <c r="A31" s="234" t="s">
        <v>604</v>
      </c>
      <c r="B31" s="428" t="n">
        <f aca="false">'Income Statement'!I82</f>
        <v>34434634.4002363</v>
      </c>
    </row>
    <row r="32" customFormat="false" ht="13.5" hidden="false" customHeight="false" outlineLevel="0" collapsed="false">
      <c r="A32" s="234" t="s">
        <v>605</v>
      </c>
      <c r="B32" s="429" t="n">
        <v>8</v>
      </c>
      <c r="C32" s="236" t="s">
        <v>606</v>
      </c>
    </row>
    <row r="33" customFormat="false" ht="13.5" hidden="false" customHeight="false" outlineLevel="0" collapsed="false">
      <c r="A33" s="234" t="s">
        <v>607</v>
      </c>
      <c r="B33" s="399" t="n">
        <f aca="false">B31*B32</f>
        <v>275477075.20189</v>
      </c>
    </row>
    <row r="34" customFormat="false" ht="13.5" hidden="false" customHeight="false" outlineLevel="0" collapsed="false">
      <c r="A34" s="234" t="s">
        <v>608</v>
      </c>
      <c r="B34" s="428" t="n">
        <f aca="false">'Balance Sheet'!L7</f>
        <v>11935047.6839518</v>
      </c>
    </row>
    <row r="35" customFormat="false" ht="13.5" hidden="false" customHeight="false" outlineLevel="0" collapsed="false">
      <c r="A35" s="234" t="s">
        <v>609</v>
      </c>
      <c r="B35" s="428" t="n">
        <f aca="false">'Balance Sheet'!L48+'Balance Sheet'!L61</f>
        <v>20261905.0994109</v>
      </c>
    </row>
    <row r="36" customFormat="false" ht="13.5" hidden="false" customHeight="false" outlineLevel="0" collapsed="false">
      <c r="A36" s="234" t="s">
        <v>610</v>
      </c>
      <c r="B36" s="399" t="n">
        <f aca="false">B33+B34-B35</f>
        <v>267150217.786431</v>
      </c>
    </row>
    <row r="37" customFormat="false" ht="13.5" hidden="false" customHeight="false" outlineLevel="0" collapsed="false">
      <c r="A37" s="234" t="s">
        <v>611</v>
      </c>
      <c r="B37" s="399" t="n">
        <f aca="false">DCF!G12+B34-B35</f>
        <v>113966762.139863</v>
      </c>
    </row>
    <row r="38" customFormat="false" ht="13.5" hidden="false" customHeight="false" outlineLevel="0" collapsed="false">
      <c r="A38" s="234" t="s">
        <v>612</v>
      </c>
      <c r="B38" s="401" t="n">
        <f aca="false">(B30-B34+B35)/B31</f>
        <v>4.02388804238217</v>
      </c>
    </row>
    <row r="39" customFormat="false" ht="13.5" hidden="false" customHeight="false" outlineLevel="0" collapsed="false">
      <c r="A39" s="234" t="s">
        <v>613</v>
      </c>
      <c r="B39" s="399" t="n">
        <f aca="false">AVERAGE(B30,B36)</f>
        <v>198692236.988942</v>
      </c>
    </row>
    <row r="41" customFormat="false" ht="13.5" hidden="false" customHeight="false" outlineLevel="0" collapsed="false">
      <c r="A41" s="234" t="s">
        <v>614</v>
      </c>
      <c r="B41" s="400" t="n">
        <f aca="false">(E6*E9/E5)^(1/B5)-1</f>
        <v>0.258614393402926</v>
      </c>
    </row>
    <row r="42" customFormat="false" ht="13.5" hidden="false" customHeight="false" outlineLevel="0" collapsed="false">
      <c r="A42" s="234" t="s">
        <v>615</v>
      </c>
      <c r="B42" s="400" t="n">
        <f aca="false">((1-B6)*E6*E9/E5)^(1/B5)-1</f>
        <v>0.136378331713872</v>
      </c>
    </row>
    <row r="43" customFormat="false" ht="13.5" hidden="false" customHeight="false" outlineLevel="0" collapsed="false">
      <c r="A43" s="234"/>
      <c r="B43" s="400"/>
    </row>
    <row r="44" customFormat="false" ht="13.5" hidden="false" customHeight="false" outlineLevel="0" collapsed="false">
      <c r="A44" s="234"/>
      <c r="B44" s="399"/>
    </row>
    <row r="46" customFormat="false" ht="13.5" hidden="false" customHeight="false" outlineLevel="0" collapsed="false">
      <c r="A46" s="24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1E2B"/>
    <pageSetUpPr fitToPage="false"/>
  </sheetPr>
  <dimension ref="A1:K56"/>
  <sheetViews>
    <sheetView showFormulas="false" showGridLines="true" showRowColHeaders="true" showZeros="true" rightToLeft="false" tabSelected="false" showOutlineSymbols="true" defaultGridColor="true" view="normal" topLeftCell="A34" colorId="64" zoomScale="100" zoomScaleNormal="100" zoomScalePageLayoutView="100" workbookViewId="0">
      <selection pane="topLeft" activeCell="G20" activeCellId="0" sqref="G20"/>
    </sheetView>
  </sheetViews>
  <sheetFormatPr defaultColWidth="8.542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3" min="3" style="0" width="26"/>
    <col collapsed="false" customWidth="true" hidden="false" outlineLevel="0" max="6" min="4" style="0" width="14"/>
    <col collapsed="false" customWidth="true" hidden="false" outlineLevel="0" max="10" min="7" style="0" width="12"/>
    <col collapsed="false" customWidth="true" hidden="false" outlineLevel="0" max="11" min="11" style="0" width="44"/>
  </cols>
  <sheetData>
    <row r="1" customFormat="false" ht="15.75" hidden="false" customHeight="true" outlineLevel="0" collapsed="false">
      <c r="A1" s="430" t="s">
        <v>616</v>
      </c>
    </row>
    <row r="2" customFormat="false" ht="15" hidden="false" customHeight="false" outlineLevel="0" collapsed="false">
      <c r="A2" s="247" t="s">
        <v>617</v>
      </c>
    </row>
    <row r="4" customFormat="false" ht="22.5" hidden="false" customHeight="true" outlineLevel="0" collapsed="false">
      <c r="A4" s="244" t="s">
        <v>618</v>
      </c>
      <c r="B4" s="244" t="s">
        <v>619</v>
      </c>
      <c r="C4" s="244" t="s">
        <v>620</v>
      </c>
      <c r="D4" s="244" t="s">
        <v>621</v>
      </c>
      <c r="E4" s="244" t="s">
        <v>622</v>
      </c>
      <c r="F4" s="244" t="s">
        <v>623</v>
      </c>
      <c r="G4" s="244" t="s">
        <v>624</v>
      </c>
      <c r="H4" s="244" t="s">
        <v>625</v>
      </c>
      <c r="I4" s="244" t="s">
        <v>626</v>
      </c>
      <c r="J4" s="244" t="s">
        <v>627</v>
      </c>
      <c r="K4" s="244" t="s">
        <v>235</v>
      </c>
    </row>
    <row r="5" customFormat="false" ht="15" hidden="false" customHeight="false" outlineLevel="0" collapsed="false">
      <c r="A5" s="431" t="s">
        <v>628</v>
      </c>
      <c r="B5" s="246" t="s">
        <v>629</v>
      </c>
      <c r="C5" s="246" t="s">
        <v>630</v>
      </c>
      <c r="D5" s="432" t="n">
        <v>3938</v>
      </c>
      <c r="E5" s="433" t="n">
        <v>18.9</v>
      </c>
      <c r="F5" s="434" t="n">
        <v>6.35</v>
      </c>
      <c r="G5" s="434" t="n">
        <v>7.48</v>
      </c>
      <c r="H5" s="435" t="n">
        <v>1</v>
      </c>
      <c r="I5" s="436" t="n">
        <f aca="false">IF(H5=1,F5,"")</f>
        <v>6.35</v>
      </c>
      <c r="J5" s="436" t="n">
        <f aca="false">IF(H5=1,G5,"")</f>
        <v>7.48</v>
      </c>
      <c r="K5" s="236" t="s">
        <v>631</v>
      </c>
    </row>
    <row r="6" customFormat="false" ht="15" hidden="false" customHeight="false" outlineLevel="0" collapsed="false">
      <c r="A6" s="431" t="s">
        <v>632</v>
      </c>
      <c r="B6" s="246" t="s">
        <v>629</v>
      </c>
      <c r="C6" s="246" t="s">
        <v>633</v>
      </c>
      <c r="D6" s="432" t="n">
        <v>5488</v>
      </c>
      <c r="E6" s="433" t="n">
        <v>8.3</v>
      </c>
      <c r="F6" s="434" t="n">
        <v>8.98</v>
      </c>
      <c r="G6" s="434" t="n">
        <v>20.51</v>
      </c>
      <c r="H6" s="435" t="n">
        <v>1</v>
      </c>
      <c r="I6" s="436" t="n">
        <f aca="false">IF(H6=1,F6,"")</f>
        <v>8.98</v>
      </c>
      <c r="J6" s="436" t="n">
        <f aca="false">IF(H6=1,G6,"")</f>
        <v>20.51</v>
      </c>
      <c r="K6" s="236" t="s">
        <v>631</v>
      </c>
    </row>
    <row r="7" customFormat="false" ht="15" hidden="false" customHeight="false" outlineLevel="0" collapsed="false">
      <c r="A7" s="431" t="s">
        <v>634</v>
      </c>
      <c r="B7" s="246" t="s">
        <v>629</v>
      </c>
      <c r="C7" s="246" t="s">
        <v>635</v>
      </c>
      <c r="D7" s="432" t="n">
        <v>9243</v>
      </c>
      <c r="E7" s="433" t="n">
        <v>14.2</v>
      </c>
      <c r="F7" s="434" t="n">
        <v>3.85</v>
      </c>
      <c r="G7" s="434" t="n">
        <v>5.16</v>
      </c>
      <c r="H7" s="435" t="n">
        <v>1</v>
      </c>
      <c r="I7" s="436" t="n">
        <f aca="false">IF(H7=1,F7,"")</f>
        <v>3.85</v>
      </c>
      <c r="J7" s="436" t="n">
        <f aca="false">IF(H7=1,G7,"")</f>
        <v>5.16</v>
      </c>
      <c r="K7" s="236" t="s">
        <v>631</v>
      </c>
    </row>
    <row r="8" customFormat="false" ht="15" hidden="false" customHeight="false" outlineLevel="0" collapsed="false">
      <c r="A8" s="431" t="s">
        <v>636</v>
      </c>
      <c r="B8" s="246" t="s">
        <v>629</v>
      </c>
      <c r="C8" s="246" t="s">
        <v>637</v>
      </c>
      <c r="D8" s="432" t="n">
        <v>9252</v>
      </c>
      <c r="E8" s="433" t="n">
        <v>14</v>
      </c>
      <c r="F8" s="434" t="n">
        <v>5.05</v>
      </c>
      <c r="G8" s="434" t="n">
        <v>6.98</v>
      </c>
      <c r="H8" s="435" t="n">
        <v>1</v>
      </c>
      <c r="I8" s="436" t="n">
        <f aca="false">IF(H8=1,F8,"")</f>
        <v>5.05</v>
      </c>
      <c r="J8" s="436" t="n">
        <f aca="false">IF(H8=1,G8,"")</f>
        <v>6.98</v>
      </c>
      <c r="K8" s="236" t="s">
        <v>631</v>
      </c>
    </row>
    <row r="9" customFormat="false" ht="15" hidden="false" customHeight="false" outlineLevel="0" collapsed="false">
      <c r="A9" s="431" t="s">
        <v>638</v>
      </c>
      <c r="B9" s="246" t="s">
        <v>629</v>
      </c>
      <c r="C9" s="246" t="s">
        <v>639</v>
      </c>
      <c r="D9" s="432" t="n">
        <v>3112</v>
      </c>
      <c r="E9" s="433" t="n">
        <v>9.3</v>
      </c>
      <c r="F9" s="434" t="n">
        <v>13.71</v>
      </c>
      <c r="G9" s="434" t="n">
        <v>32.9</v>
      </c>
      <c r="H9" s="435" t="n">
        <v>1</v>
      </c>
      <c r="I9" s="436" t="n">
        <f aca="false">IF(H9=1,F9,"")</f>
        <v>13.71</v>
      </c>
      <c r="J9" s="436" t="n">
        <f aca="false">IF(H9=1,G9,"")</f>
        <v>32.9</v>
      </c>
      <c r="K9" s="236" t="s">
        <v>631</v>
      </c>
    </row>
    <row r="10" customFormat="false" ht="15" hidden="false" customHeight="false" outlineLevel="0" collapsed="false">
      <c r="A10" s="431" t="s">
        <v>640</v>
      </c>
      <c r="B10" s="246" t="s">
        <v>641</v>
      </c>
      <c r="C10" s="246" t="s">
        <v>642</v>
      </c>
      <c r="D10" s="432" t="n">
        <v>1921</v>
      </c>
      <c r="E10" s="433" t="n">
        <v>14.9</v>
      </c>
      <c r="F10" s="434" t="n">
        <v>2.66</v>
      </c>
      <c r="G10" s="434" t="n">
        <v>7.29</v>
      </c>
      <c r="H10" s="435" t="n">
        <v>1</v>
      </c>
      <c r="I10" s="436" t="n">
        <f aca="false">IF(H10=1,F10,"")</f>
        <v>2.66</v>
      </c>
      <c r="J10" s="436" t="n">
        <f aca="false">IF(H10=1,G10,"")</f>
        <v>7.29</v>
      </c>
      <c r="K10" s="236" t="s">
        <v>631</v>
      </c>
    </row>
    <row r="11" customFormat="false" ht="15" hidden="false" customHeight="false" outlineLevel="0" collapsed="false">
      <c r="A11" s="431" t="s">
        <v>643</v>
      </c>
      <c r="B11" s="246" t="s">
        <v>644</v>
      </c>
      <c r="C11" s="246" t="s">
        <v>645</v>
      </c>
      <c r="D11" s="432" t="n">
        <v>319</v>
      </c>
      <c r="E11" s="433" t="n">
        <v>16.4</v>
      </c>
      <c r="F11" s="434" t="n">
        <v>13.33</v>
      </c>
      <c r="G11" s="434" t="n">
        <v>16.64</v>
      </c>
      <c r="H11" s="435" t="n">
        <v>1</v>
      </c>
      <c r="I11" s="436" t="n">
        <f aca="false">IF(H11=1,F11,"")</f>
        <v>13.33</v>
      </c>
      <c r="J11" s="436" t="n">
        <f aca="false">IF(H11=1,G11,"")</f>
        <v>16.64</v>
      </c>
      <c r="K11" s="236" t="s">
        <v>631</v>
      </c>
    </row>
    <row r="12" customFormat="false" ht="15" hidden="false" customHeight="false" outlineLevel="0" collapsed="false">
      <c r="A12" s="431" t="s">
        <v>646</v>
      </c>
      <c r="B12" s="246" t="s">
        <v>641</v>
      </c>
      <c r="C12" s="246" t="s">
        <v>633</v>
      </c>
      <c r="D12" s="432" t="n">
        <v>3179</v>
      </c>
      <c r="E12" s="433" t="n">
        <v>15.9</v>
      </c>
      <c r="F12" s="434" t="n">
        <v>3.28</v>
      </c>
      <c r="G12" s="434" t="n">
        <v>2.54</v>
      </c>
      <c r="H12" s="435" t="n">
        <v>1</v>
      </c>
      <c r="I12" s="436" t="n">
        <f aca="false">IF(H12=1,F12,"")</f>
        <v>3.28</v>
      </c>
      <c r="J12" s="436" t="n">
        <f aca="false">IF(H12=1,G12,"")</f>
        <v>2.54</v>
      </c>
      <c r="K12" s="236" t="s">
        <v>631</v>
      </c>
    </row>
    <row r="13" customFormat="false" ht="15" hidden="false" customHeight="false" outlineLevel="0" collapsed="false">
      <c r="A13" s="431" t="s">
        <v>647</v>
      </c>
      <c r="B13" s="246" t="s">
        <v>629</v>
      </c>
      <c r="C13" s="246" t="s">
        <v>648</v>
      </c>
      <c r="D13" s="432" t="n">
        <v>431</v>
      </c>
      <c r="E13" s="433" t="n">
        <v>2.9</v>
      </c>
      <c r="F13" s="434" t="n">
        <v>36.45</v>
      </c>
      <c r="G13" s="434" t="n">
        <v>84.23</v>
      </c>
      <c r="H13" s="435" t="n">
        <v>0</v>
      </c>
      <c r="I13" s="436" t="str">
        <f aca="false">IF(H13=1,F13,"")</f>
        <v/>
      </c>
      <c r="J13" s="436" t="str">
        <f aca="false">IF(H13=1,G13,"")</f>
        <v/>
      </c>
      <c r="K13" s="236" t="s">
        <v>649</v>
      </c>
    </row>
    <row r="14" customFormat="false" ht="15" hidden="false" customHeight="false" outlineLevel="0" collapsed="false">
      <c r="A14" s="431" t="s">
        <v>650</v>
      </c>
      <c r="B14" s="246" t="s">
        <v>644</v>
      </c>
      <c r="C14" s="246" t="s">
        <v>651</v>
      </c>
      <c r="D14" s="432" t="n">
        <v>2042</v>
      </c>
      <c r="E14" s="433" t="n">
        <v>1.9</v>
      </c>
      <c r="F14" s="434" t="n">
        <v>0.04</v>
      </c>
      <c r="G14" s="434" t="n">
        <v>9.97</v>
      </c>
      <c r="H14" s="435" t="n">
        <v>0</v>
      </c>
      <c r="I14" s="436" t="str">
        <f aca="false">IF(H14=1,F14,"")</f>
        <v/>
      </c>
      <c r="J14" s="436" t="str">
        <f aca="false">IF(H14=1,G14,"")</f>
        <v/>
      </c>
      <c r="K14" s="236" t="s">
        <v>649</v>
      </c>
    </row>
    <row r="15" customFormat="false" ht="15" hidden="false" customHeight="false" outlineLevel="0" collapsed="false">
      <c r="A15" s="431" t="s">
        <v>652</v>
      </c>
      <c r="B15" s="246" t="s">
        <v>629</v>
      </c>
      <c r="C15" s="246" t="s">
        <v>653</v>
      </c>
      <c r="D15" s="432" t="n">
        <v>490</v>
      </c>
      <c r="E15" s="433" t="n">
        <v>7</v>
      </c>
      <c r="F15" s="434" t="n">
        <v>4.21</v>
      </c>
      <c r="G15" s="434" t="n">
        <v>20.41</v>
      </c>
      <c r="H15" s="435" t="n">
        <v>1</v>
      </c>
      <c r="I15" s="436" t="n">
        <f aca="false">IF(H15=1,F15,"")</f>
        <v>4.21</v>
      </c>
      <c r="J15" s="436" t="n">
        <f aca="false">IF(H15=1,G15,"")</f>
        <v>20.41</v>
      </c>
      <c r="K15" s="236" t="s">
        <v>631</v>
      </c>
    </row>
    <row r="16" customFormat="false" ht="15" hidden="false" customHeight="false" outlineLevel="0" collapsed="false">
      <c r="A16" s="431" t="s">
        <v>654</v>
      </c>
      <c r="B16" s="246" t="s">
        <v>641</v>
      </c>
      <c r="C16" s="246" t="s">
        <v>633</v>
      </c>
      <c r="D16" s="432" t="n">
        <v>913</v>
      </c>
      <c r="E16" s="433"/>
      <c r="F16" s="434" t="n">
        <v>4.17</v>
      </c>
      <c r="G16" s="434" t="n">
        <v>4.85</v>
      </c>
      <c r="H16" s="435" t="n">
        <v>1</v>
      </c>
      <c r="I16" s="436" t="n">
        <f aca="false">IF(H16=1,F16,"")</f>
        <v>4.17</v>
      </c>
      <c r="J16" s="436" t="n">
        <f aca="false">IF(H16=1,G16,"")</f>
        <v>4.85</v>
      </c>
      <c r="K16" s="236" t="s">
        <v>631</v>
      </c>
    </row>
    <row r="17" customFormat="false" ht="15" hidden="false" customHeight="false" outlineLevel="0" collapsed="false">
      <c r="A17" s="431" t="s">
        <v>655</v>
      </c>
      <c r="B17" s="246" t="s">
        <v>641</v>
      </c>
      <c r="C17" s="246" t="s">
        <v>656</v>
      </c>
      <c r="D17" s="432" t="n">
        <v>484</v>
      </c>
      <c r="E17" s="433" t="n">
        <v>6.5</v>
      </c>
      <c r="F17" s="434" t="n">
        <v>5.5</v>
      </c>
      <c r="G17" s="434" t="n">
        <v>9.19</v>
      </c>
      <c r="H17" s="435" t="n">
        <v>1</v>
      </c>
      <c r="I17" s="436" t="n">
        <f aca="false">IF(H17=1,F17,"")</f>
        <v>5.5</v>
      </c>
      <c r="J17" s="436" t="n">
        <f aca="false">IF(H17=1,G17,"")</f>
        <v>9.19</v>
      </c>
      <c r="K17" s="236" t="s">
        <v>631</v>
      </c>
    </row>
    <row r="18" customFormat="false" ht="15" hidden="false" customHeight="false" outlineLevel="0" collapsed="false">
      <c r="A18" s="431" t="s">
        <v>657</v>
      </c>
      <c r="B18" s="246" t="s">
        <v>641</v>
      </c>
      <c r="C18" s="246" t="s">
        <v>658</v>
      </c>
      <c r="D18" s="432" t="n">
        <v>212</v>
      </c>
      <c r="E18" s="433"/>
      <c r="F18" s="434" t="n">
        <v>2.96</v>
      </c>
      <c r="G18" s="434" t="n">
        <v>6.65</v>
      </c>
      <c r="H18" s="435" t="n">
        <v>1</v>
      </c>
      <c r="I18" s="436" t="n">
        <f aca="false">IF(H18=1,F18,"")</f>
        <v>2.96</v>
      </c>
      <c r="J18" s="436" t="n">
        <f aca="false">IF(H18=1,G18,"")</f>
        <v>6.65</v>
      </c>
      <c r="K18" s="236" t="s">
        <v>631</v>
      </c>
    </row>
    <row r="19" customFormat="false" ht="15" hidden="false" customHeight="false" outlineLevel="0" collapsed="false">
      <c r="A19" s="431" t="s">
        <v>659</v>
      </c>
      <c r="B19" s="246" t="s">
        <v>641</v>
      </c>
      <c r="C19" s="246" t="s">
        <v>660</v>
      </c>
      <c r="D19" s="432" t="n">
        <v>372</v>
      </c>
      <c r="E19" s="433" t="n">
        <v>5.3</v>
      </c>
      <c r="F19" s="434" t="n">
        <v>2.06</v>
      </c>
      <c r="G19" s="434" t="n">
        <v>6.46</v>
      </c>
      <c r="H19" s="435" t="n">
        <v>1</v>
      </c>
      <c r="I19" s="436" t="n">
        <f aca="false">IF(H19=1,F19,"")</f>
        <v>2.06</v>
      </c>
      <c r="J19" s="436" t="n">
        <f aca="false">IF(H19=1,G19,"")</f>
        <v>6.46</v>
      </c>
      <c r="K19" s="236" t="s">
        <v>631</v>
      </c>
    </row>
    <row r="20" customFormat="false" ht="15" hidden="false" customHeight="false" outlineLevel="0" collapsed="false">
      <c r="A20" s="431" t="s">
        <v>661</v>
      </c>
      <c r="B20" s="246" t="s">
        <v>641</v>
      </c>
      <c r="C20" s="246" t="s">
        <v>660</v>
      </c>
      <c r="D20" s="432" t="n">
        <v>746</v>
      </c>
      <c r="E20" s="433" t="n">
        <v>4</v>
      </c>
      <c r="F20" s="434" t="n">
        <v>5.4</v>
      </c>
      <c r="G20" s="434" t="n">
        <v>5.53</v>
      </c>
      <c r="H20" s="435" t="n">
        <v>1</v>
      </c>
      <c r="I20" s="436" t="n">
        <f aca="false">IF(H20=1,F20,"")</f>
        <v>5.4</v>
      </c>
      <c r="J20" s="436" t="n">
        <f aca="false">IF(H20=1,G20,"")</f>
        <v>5.53</v>
      </c>
      <c r="K20" s="236" t="s">
        <v>631</v>
      </c>
    </row>
    <row r="22" customFormat="false" ht="15" hidden="false" customHeight="false" outlineLevel="0" collapsed="false">
      <c r="A22" s="198" t="s">
        <v>662</v>
      </c>
      <c r="F22" s="437" t="n">
        <f aca="false">MEDIAN(I5:I20)</f>
        <v>4.63</v>
      </c>
      <c r="G22" s="437" t="n">
        <f aca="false">MEDIAN(J5:J20)</f>
        <v>7.135</v>
      </c>
      <c r="H22" s="438" t="n">
        <f aca="false">SUM(H5:H20)</f>
        <v>14</v>
      </c>
    </row>
    <row r="23" customFormat="false" ht="15" hidden="false" customHeight="false" outlineLevel="0" collapsed="false">
      <c r="A23" s="198" t="s">
        <v>663</v>
      </c>
      <c r="F23" s="439" t="n">
        <v>7.99</v>
      </c>
      <c r="G23" s="439" t="n">
        <v>9.43</v>
      </c>
      <c r="H23" s="236" t="s">
        <v>664</v>
      </c>
    </row>
    <row r="24" customFormat="false" ht="15" hidden="false" customHeight="false" outlineLevel="0" collapsed="false">
      <c r="A24" s="247" t="s">
        <v>665</v>
      </c>
    </row>
    <row r="26" customFormat="false" ht="15" hidden="false" customHeight="false" outlineLevel="0" collapsed="false">
      <c r="A26" s="275" t="s">
        <v>666</v>
      </c>
    </row>
    <row r="27" customFormat="false" ht="15" hidden="false" customHeight="false" outlineLevel="0" collapsed="false">
      <c r="A27" s="234" t="s">
        <v>667</v>
      </c>
      <c r="B27" s="440" t="n">
        <f aca="false">'Income Statement'!D82/1000000</f>
        <v>7.6946292155</v>
      </c>
    </row>
    <row r="28" customFormat="false" ht="15" hidden="false" customHeight="false" outlineLevel="0" collapsed="false">
      <c r="A28" s="234" t="s">
        <v>668</v>
      </c>
      <c r="B28" s="440" t="n">
        <f aca="false">'Income Statement'!D76/1000000</f>
        <v>4.4204952155</v>
      </c>
    </row>
    <row r="29" customFormat="false" ht="15" hidden="false" customHeight="false" outlineLevel="0" collapsed="false">
      <c r="A29" s="234" t="s">
        <v>669</v>
      </c>
      <c r="B29" s="441" t="n">
        <f aca="false">Assumption!D15</f>
        <v>0.2</v>
      </c>
      <c r="C29" s="236" t="s">
        <v>670</v>
      </c>
    </row>
    <row r="30" customFormat="false" ht="15" hidden="false" customHeight="false" outlineLevel="0" collapsed="false">
      <c r="A30" s="234" t="s">
        <v>671</v>
      </c>
      <c r="B30" s="442" t="n">
        <f aca="false">B28*(1-B29)</f>
        <v>3.5363961724</v>
      </c>
    </row>
    <row r="31" customFormat="false" ht="15" hidden="false" customHeight="false" outlineLevel="0" collapsed="false">
      <c r="A31" s="234" t="s">
        <v>672</v>
      </c>
      <c r="B31" s="440" t="n">
        <f aca="false">'Balance Sheet'!G7/1000000</f>
        <v>2.93348176549999</v>
      </c>
    </row>
    <row r="32" customFormat="false" ht="15" hidden="false" customHeight="false" outlineLevel="0" collapsed="false">
      <c r="A32" s="234" t="s">
        <v>673</v>
      </c>
      <c r="B32" s="440" t="n">
        <f aca="false">('Balance Sheet'!G48+'Balance Sheet'!G61)/1000000</f>
        <v>1.6026</v>
      </c>
    </row>
    <row r="33" customFormat="false" ht="15" hidden="false" customHeight="false" outlineLevel="0" collapsed="false">
      <c r="A33" s="234" t="s">
        <v>674</v>
      </c>
      <c r="B33" s="424" t="n">
        <v>0.3</v>
      </c>
      <c r="C33" s="236" t="s">
        <v>675</v>
      </c>
    </row>
    <row r="35" customFormat="false" ht="15" hidden="false" customHeight="false" outlineLevel="0" collapsed="false">
      <c r="A35" s="275" t="s">
        <v>676</v>
      </c>
    </row>
    <row r="36" customFormat="false" ht="22.5" hidden="false" customHeight="true" outlineLevel="0" collapsed="false">
      <c r="A36" s="244" t="s">
        <v>677</v>
      </c>
      <c r="B36" s="244" t="s">
        <v>678</v>
      </c>
      <c r="C36" s="244" t="s">
        <v>679</v>
      </c>
      <c r="D36" s="244" t="s">
        <v>680</v>
      </c>
      <c r="E36" s="244" t="s">
        <v>681</v>
      </c>
    </row>
    <row r="37" customFormat="false" ht="15" hidden="false" customHeight="false" outlineLevel="0" collapsed="false">
      <c r="A37" s="234" t="s">
        <v>682</v>
      </c>
      <c r="B37" s="241" t="n">
        <f aca="false">F22</f>
        <v>4.63</v>
      </c>
      <c r="C37" s="442" t="n">
        <f aca="false">B27</f>
        <v>7.6946292155</v>
      </c>
      <c r="D37" s="443" t="n">
        <f aca="false">B37*C37+B31-B32</f>
        <v>36.957015033265</v>
      </c>
      <c r="E37" s="444" t="n">
        <f aca="false">D37*(1-$B$33)</f>
        <v>25.8699105232855</v>
      </c>
    </row>
    <row r="38" customFormat="false" ht="15" hidden="false" customHeight="false" outlineLevel="0" collapsed="false">
      <c r="A38" s="234" t="s">
        <v>683</v>
      </c>
      <c r="B38" s="241" t="n">
        <f aca="false">F23</f>
        <v>7.99</v>
      </c>
      <c r="C38" s="442" t="n">
        <f aca="false">B27</f>
        <v>7.6946292155</v>
      </c>
      <c r="D38" s="443" t="n">
        <f aca="false">B38*C38+B31-B32</f>
        <v>62.810969197345</v>
      </c>
      <c r="E38" s="444" t="n">
        <f aca="false">D38*(1-$B$33)</f>
        <v>43.9676784381415</v>
      </c>
    </row>
    <row r="39" customFormat="false" ht="15" hidden="false" customHeight="false" outlineLevel="0" collapsed="false">
      <c r="A39" s="234" t="s">
        <v>684</v>
      </c>
      <c r="B39" s="241" t="n">
        <f aca="false">G22</f>
        <v>7.135</v>
      </c>
      <c r="C39" s="442" t="n">
        <f aca="false">B30</f>
        <v>3.5363961724</v>
      </c>
      <c r="D39" s="443" t="n">
        <f aca="false">B39*C39</f>
        <v>25.232186690074</v>
      </c>
      <c r="E39" s="444" t="n">
        <f aca="false">D39*(1-$B$33)</f>
        <v>17.6625306830518</v>
      </c>
    </row>
    <row r="40" customFormat="false" ht="15" hidden="false" customHeight="false" outlineLevel="0" collapsed="false">
      <c r="A40" s="234" t="s">
        <v>685</v>
      </c>
      <c r="B40" s="241" t="n">
        <f aca="false">G23</f>
        <v>9.43</v>
      </c>
      <c r="C40" s="442" t="n">
        <f aca="false">B30</f>
        <v>3.5363961724</v>
      </c>
      <c r="D40" s="443" t="n">
        <f aca="false">B40*C40</f>
        <v>33.348215905732</v>
      </c>
      <c r="E40" s="444" t="n">
        <f aca="false">D40*(1-$B$33)</f>
        <v>23.3437511340124</v>
      </c>
    </row>
    <row r="41" customFormat="false" ht="15" hidden="false" customHeight="false" outlineLevel="0" collapsed="false">
      <c r="A41" s="198" t="s">
        <v>686</v>
      </c>
      <c r="E41" s="444" t="n">
        <f aca="false">AVERAGE(E37:E40)</f>
        <v>27.7109676946228</v>
      </c>
    </row>
    <row r="42" customFormat="false" ht="15" hidden="false" customHeight="false" outlineLevel="0" collapsed="false">
      <c r="A42" s="234" t="s">
        <v>687</v>
      </c>
      <c r="D42" s="443" t="n">
        <f aca="false">MIN(E37:E40)</f>
        <v>17.6625306830518</v>
      </c>
      <c r="E42" s="443" t="n">
        <f aca="false">MAX(E37:E40)</f>
        <v>43.9676784381415</v>
      </c>
    </row>
    <row r="44" customFormat="false" ht="15" hidden="false" customHeight="false" outlineLevel="0" collapsed="false">
      <c r="A44" s="445" t="s">
        <v>688</v>
      </c>
    </row>
    <row r="45" customFormat="false" ht="15" hidden="false" customHeight="false" outlineLevel="0" collapsed="false">
      <c r="A45" s="446" t="s">
        <v>563</v>
      </c>
      <c r="B45" s="447" t="n">
        <f aca="false">B49-B31+B32</f>
        <v>26.3800859291228</v>
      </c>
      <c r="C45" s="448" t="s">
        <v>689</v>
      </c>
    </row>
    <row r="46" customFormat="false" ht="15" hidden="false" customHeight="false" outlineLevel="0" collapsed="false">
      <c r="A46" s="449" t="s">
        <v>539</v>
      </c>
      <c r="B46" s="450" t="n">
        <f aca="false">DCF!B19/1000000</f>
        <v>37.6107630979458</v>
      </c>
      <c r="C46" s="448" t="s">
        <v>690</v>
      </c>
    </row>
    <row r="47" customFormat="false" ht="15" hidden="false" customHeight="false" outlineLevel="0" collapsed="false">
      <c r="A47" s="449" t="s">
        <v>586</v>
      </c>
      <c r="B47" s="451" t="n">
        <f aca="false">B46/B48</f>
        <v>0.57577719759723</v>
      </c>
    </row>
    <row r="48" customFormat="false" ht="15" hidden="false" customHeight="false" outlineLevel="0" collapsed="false">
      <c r="A48" s="449" t="s">
        <v>555</v>
      </c>
      <c r="B48" s="452" t="n">
        <f aca="false">B49+B46</f>
        <v>65.3217307925686</v>
      </c>
    </row>
    <row r="49" customFormat="false" ht="15" hidden="false" customHeight="false" outlineLevel="0" collapsed="false">
      <c r="A49" s="449" t="s">
        <v>556</v>
      </c>
      <c r="B49" s="452" t="n">
        <f aca="false">E41</f>
        <v>27.7109676946228</v>
      </c>
      <c r="C49" s="448" t="s">
        <v>691</v>
      </c>
    </row>
    <row r="50" customFormat="false" ht="15" hidden="false" customHeight="false" outlineLevel="0" collapsed="false">
      <c r="A50" s="449" t="s">
        <v>587</v>
      </c>
      <c r="B50" s="451" t="n">
        <f aca="false">1-B47</f>
        <v>0.42422280240277</v>
      </c>
    </row>
    <row r="52" customFormat="false" ht="15" hidden="false" customHeight="false" outlineLevel="0" collapsed="false">
      <c r="A52" s="453" t="s">
        <v>557</v>
      </c>
      <c r="B52" s="454" t="n">
        <f aca="false">B46</f>
        <v>37.6107630979458</v>
      </c>
      <c r="C52" s="453" t="s">
        <v>692</v>
      </c>
      <c r="D52" s="455" t="n">
        <f aca="false">B47</f>
        <v>0.57577719759723</v>
      </c>
      <c r="E52" s="453" t="s">
        <v>559</v>
      </c>
    </row>
    <row r="54" customFormat="false" ht="15" hidden="false" customHeight="false" outlineLevel="0" collapsed="false">
      <c r="A54" s="275" t="s">
        <v>693</v>
      </c>
    </row>
    <row r="55" customFormat="false" ht="15" hidden="false" customHeight="false" outlineLevel="0" collapsed="false">
      <c r="A55" s="234" t="s">
        <v>694</v>
      </c>
      <c r="D55" s="443" t="n">
        <f aca="false">F22*Drivers!F76/1000000+B31-B32</f>
        <v>54.0397464459139</v>
      </c>
    </row>
    <row r="56" customFormat="false" ht="15" hidden="false" customHeight="false" outlineLevel="0" collapsed="false">
      <c r="A56" s="247" t="s">
        <v>695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1E2B"/>
    <pageSetUpPr fitToPage="false"/>
  </sheetPr>
  <dimension ref="A1:N58"/>
  <sheetViews>
    <sheetView showFormulas="false" showGridLines="true" showRowColHeaders="true" showZeros="true" rightToLeft="false" tabSelected="false" showOutlineSymbols="true" defaultGridColor="true" view="normal" topLeftCell="A32"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0" width="58"/>
    <col collapsed="false" customWidth="true" hidden="false" outlineLevel="0" max="4" min="2" style="0" width="16"/>
    <col collapsed="false" customWidth="true" hidden="false" outlineLevel="0" max="5" min="5" style="0" width="18"/>
    <col collapsed="false" customWidth="true" hidden="false" outlineLevel="0" max="6" min="6" style="0" width="14"/>
    <col collapsed="false" customWidth="true" hidden="false" outlineLevel="0" max="8" min="7" style="0" width="20"/>
    <col collapsed="false" customWidth="true" hidden="false" outlineLevel="0" max="13" min="9" style="0" width="14"/>
    <col collapsed="false" customWidth="true" hidden="false" outlineLevel="0" max="14" min="14" style="0" width="100"/>
  </cols>
  <sheetData>
    <row r="1" customFormat="false" ht="15.75" hidden="false" customHeight="true" outlineLevel="0" collapsed="false">
      <c r="A1" s="430" t="s">
        <v>696</v>
      </c>
    </row>
    <row r="2" customFormat="false" ht="15" hidden="false" customHeight="false" outlineLevel="0" collapsed="false">
      <c r="A2" s="247" t="s">
        <v>697</v>
      </c>
    </row>
    <row r="4" customFormat="false" ht="24.75" hidden="false" customHeight="true" outlineLevel="0" collapsed="false">
      <c r="A4" s="273" t="s">
        <v>698</v>
      </c>
      <c r="B4" s="273" t="s">
        <v>699</v>
      </c>
      <c r="C4" s="273" t="s">
        <v>700</v>
      </c>
      <c r="D4" s="273" t="s">
        <v>701</v>
      </c>
      <c r="E4" s="273" t="s">
        <v>702</v>
      </c>
      <c r="F4" s="273" t="s">
        <v>703</v>
      </c>
      <c r="G4" s="273" t="s">
        <v>704</v>
      </c>
    </row>
    <row r="5" customFormat="false" ht="15" hidden="false" customHeight="false" outlineLevel="0" collapsed="false">
      <c r="A5" s="234" t="s">
        <v>705</v>
      </c>
      <c r="B5" s="443" t="n">
        <f aca="false">DCF!B22/1000000</f>
        <v>32.7937752037977</v>
      </c>
      <c r="C5" s="443" t="n">
        <f aca="false">DCF!B19/1000000</f>
        <v>37.6107630979458</v>
      </c>
      <c r="D5" s="443" t="n">
        <f aca="false">B5+C5</f>
        <v>70.4045383017436</v>
      </c>
      <c r="E5" s="400" t="n">
        <f aca="false">IF(B5&lt;=0,"n.m.",C5/D5)</f>
        <v>0.534209356458693</v>
      </c>
      <c r="F5" s="424" t="n">
        <v>0.4</v>
      </c>
      <c r="G5" s="236" t="s">
        <v>706</v>
      </c>
    </row>
    <row r="6" customFormat="false" ht="15" hidden="false" customHeight="false" outlineLevel="0" collapsed="false">
      <c r="A6" s="234" t="s">
        <v>707</v>
      </c>
      <c r="B6" s="443" t="n">
        <f aca="false">VCM!E11/1000000</f>
        <v>25.2989101339209</v>
      </c>
      <c r="C6" s="443" t="n">
        <f aca="false">VCM!E5/1000000</f>
        <v>37.6107630979458</v>
      </c>
      <c r="D6" s="443" t="n">
        <f aca="false">B6+C6</f>
        <v>62.9096732318668</v>
      </c>
      <c r="E6" s="400" t="n">
        <f aca="false">IF(B6&lt;=0,"n.m.",C6/D6)</f>
        <v>0.597853416903367</v>
      </c>
      <c r="F6" s="424" t="n">
        <v>0.4</v>
      </c>
      <c r="G6" s="236" t="s">
        <v>708</v>
      </c>
    </row>
    <row r="7" customFormat="false" ht="15" hidden="false" customHeight="false" outlineLevel="0" collapsed="false">
      <c r="A7" s="234" t="s">
        <v>709</v>
      </c>
      <c r="B7" s="456" t="n">
        <f aca="false">Multiples!B49</f>
        <v>27.7109676946228</v>
      </c>
      <c r="C7" s="456" t="n">
        <f aca="false">Multiples!B46</f>
        <v>37.6107630979458</v>
      </c>
      <c r="D7" s="443" t="n">
        <f aca="false">B7+C7</f>
        <v>65.3217307925686</v>
      </c>
      <c r="E7" s="400" t="n">
        <f aca="false">IF(B7&lt;=0,"n.m.",C7/D7)</f>
        <v>0.57577719759723</v>
      </c>
      <c r="F7" s="424" t="n">
        <v>0.2</v>
      </c>
      <c r="G7" s="236" t="s">
        <v>710</v>
      </c>
    </row>
    <row r="8" customFormat="false" ht="15" hidden="false" customHeight="false" outlineLevel="0" collapsed="false">
      <c r="A8" s="198" t="s">
        <v>711</v>
      </c>
      <c r="B8" s="444" t="n">
        <f aca="false">(B5*F5+B6*F6+B7*F7)/(F5+F6+F7)</f>
        <v>28.779267674012</v>
      </c>
      <c r="C8" s="444" t="n">
        <f aca="false">C5</f>
        <v>37.6107630979458</v>
      </c>
      <c r="D8" s="444" t="n">
        <f aca="false">B8+C8</f>
        <v>66.3900307719579</v>
      </c>
      <c r="E8" s="457" t="n">
        <f aca="false">IF(B8&lt;=0,"n.m.",C8/D8)</f>
        <v>0.56651221065305</v>
      </c>
      <c r="F8" s="458" t="n">
        <f aca="false">F5+F6+F7</f>
        <v>1</v>
      </c>
    </row>
    <row r="9" customFormat="false" ht="15" hidden="false" customHeight="false" outlineLevel="0" collapsed="false">
      <c r="A9" s="275" t="s">
        <v>712</v>
      </c>
    </row>
    <row r="10" customFormat="false" ht="15" hidden="false" customHeight="false" outlineLevel="0" collapsed="false">
      <c r="A10" s="234" t="s">
        <v>713</v>
      </c>
      <c r="B10" s="443" t="n">
        <f aca="false">(1-VCM!B6)*B5+VCM!B6*B11</f>
        <v>25.6707066753786</v>
      </c>
    </row>
    <row r="11" customFormat="false" ht="15" hidden="false" customHeight="false" outlineLevel="0" collapsed="false">
      <c r="A11" s="234" t="s">
        <v>714</v>
      </c>
      <c r="B11" s="443" t="n">
        <f aca="false">C11*'Balance Sheet'!G76/1000000</f>
        <v>14.98610388275</v>
      </c>
      <c r="C11" s="424" t="n">
        <v>0.5</v>
      </c>
      <c r="D11" s="236" t="s">
        <v>715</v>
      </c>
    </row>
    <row r="12" customFormat="false" ht="15" hidden="false" customHeight="false" outlineLevel="0" collapsed="false">
      <c r="A12" s="234" t="s">
        <v>716</v>
      </c>
      <c r="B12" s="443" t="n">
        <f aca="false">Multiples!D55*(1-Multiples!B33)</f>
        <v>37.8278225121397</v>
      </c>
    </row>
    <row r="16" customFormat="false" ht="15" hidden="false" customHeight="false" outlineLevel="0" collapsed="false">
      <c r="A16" s="275" t="s">
        <v>717</v>
      </c>
    </row>
    <row r="17" customFormat="false" ht="24.75" hidden="false" customHeight="true" outlineLevel="0" collapsed="false">
      <c r="A17" s="273" t="s">
        <v>698</v>
      </c>
      <c r="B17" s="273" t="s">
        <v>589</v>
      </c>
      <c r="C17" s="273" t="s">
        <v>718</v>
      </c>
      <c r="D17" s="273" t="s">
        <v>590</v>
      </c>
      <c r="E17" s="273" t="s">
        <v>719</v>
      </c>
    </row>
    <row r="18" customFormat="false" ht="15" hidden="false" customHeight="false" outlineLevel="0" collapsed="false">
      <c r="A18" s="234" t="s">
        <v>720</v>
      </c>
      <c r="B18" s="443" t="n">
        <f aca="false">MIN(Sensitivity!C7:E9)</f>
        <v>23.9361926590634</v>
      </c>
      <c r="C18" s="444" t="n">
        <f aca="false">B5</f>
        <v>32.7937752037977</v>
      </c>
      <c r="D18" s="443" t="n">
        <f aca="false">MAX(Sensitivity!C7:E9)</f>
        <v>46.4816539284192</v>
      </c>
      <c r="E18" s="247" t="s">
        <v>721</v>
      </c>
    </row>
    <row r="19" customFormat="false" ht="15" hidden="false" customHeight="false" outlineLevel="0" collapsed="false">
      <c r="A19" s="234" t="s">
        <v>722</v>
      </c>
      <c r="B19" s="443" t="n">
        <f aca="false">MIN(Sensitivity!C16:E18)</f>
        <v>11.4063572952171</v>
      </c>
      <c r="C19" s="444" t="n">
        <f aca="false">B6</f>
        <v>25.2989101339209</v>
      </c>
      <c r="D19" s="443" t="n">
        <f aca="false">MAX(Sensitivity!C16:E18)</f>
        <v>40.7642048034216</v>
      </c>
      <c r="E19" s="247" t="s">
        <v>723</v>
      </c>
    </row>
    <row r="20" customFormat="false" ht="15" hidden="false" customHeight="false" outlineLevel="0" collapsed="false">
      <c r="A20" s="234" t="s">
        <v>724</v>
      </c>
      <c r="B20" s="443" t="n">
        <f aca="false">Multiples!D42</f>
        <v>17.6625306830518</v>
      </c>
      <c r="C20" s="444" t="n">
        <f aca="false">B7</f>
        <v>27.7109676946228</v>
      </c>
      <c r="D20" s="443" t="n">
        <f aca="false">Multiples!E42</f>
        <v>43.9676784381415</v>
      </c>
      <c r="E20" s="247" t="s">
        <v>725</v>
      </c>
    </row>
    <row r="21" customFormat="false" ht="15" hidden="false" customHeight="false" outlineLevel="0" collapsed="false">
      <c r="A21" s="198" t="s">
        <v>726</v>
      </c>
      <c r="B21" s="443" t="n">
        <f aca="false">(B18*F5+B19*F6+B20*F7)/F8</f>
        <v>17.6695261183225</v>
      </c>
      <c r="C21" s="444" t="n">
        <f aca="false">B8</f>
        <v>28.779267674012</v>
      </c>
      <c r="D21" s="443" t="n">
        <f aca="false">(D18*F5+D19*F6+D20*F7)/F8</f>
        <v>43.6918791803646</v>
      </c>
      <c r="E21" s="247" t="s">
        <v>727</v>
      </c>
    </row>
    <row r="23" customFormat="false" ht="15" hidden="false" customHeight="false" outlineLevel="0" collapsed="false">
      <c r="A23" s="275" t="s">
        <v>728</v>
      </c>
    </row>
    <row r="24" customFormat="false" ht="15" hidden="false" customHeight="false" outlineLevel="0" collapsed="false">
      <c r="A24" s="234" t="s">
        <v>729</v>
      </c>
      <c r="B24" s="444" t="n">
        <f aca="false">C8</f>
        <v>37.6107630979458</v>
      </c>
    </row>
    <row r="25" customFormat="false" ht="15" hidden="false" customHeight="false" outlineLevel="0" collapsed="false">
      <c r="A25" s="234" t="s">
        <v>730</v>
      </c>
      <c r="B25" s="457" t="n">
        <f aca="false">E8</f>
        <v>0.56651221065305</v>
      </c>
    </row>
    <row r="26" customFormat="false" ht="15" hidden="false" customHeight="false" outlineLevel="0" collapsed="false">
      <c r="A26" s="234" t="s">
        <v>731</v>
      </c>
      <c r="B26" s="443" t="n">
        <f aca="false">SUM(Drivers!F124:J124)/1000000</f>
        <v>31.0988418323515</v>
      </c>
    </row>
    <row r="27" customFormat="false" ht="15" hidden="false" customHeight="false" outlineLevel="0" collapsed="false">
      <c r="A27" s="234" t="s">
        <v>732</v>
      </c>
      <c r="B27" s="443" t="n">
        <f aca="false">B24+B26</f>
        <v>68.7096049302973</v>
      </c>
    </row>
    <row r="30" customFormat="false" ht="15" hidden="false" customHeight="false" outlineLevel="0" collapsed="false">
      <c r="A30" s="275" t="s">
        <v>733</v>
      </c>
    </row>
    <row r="31" customFormat="false" ht="15" hidden="false" customHeight="false" outlineLevel="0" collapsed="false">
      <c r="A31" s="247" t="s">
        <v>734</v>
      </c>
    </row>
    <row r="32" customFormat="false" ht="37.5" hidden="false" customHeight="true" outlineLevel="0" collapsed="false">
      <c r="A32" s="273" t="s">
        <v>285</v>
      </c>
      <c r="B32" s="273" t="str">
        <f aca="false">"Đang chạy: "&amp;Drivers!D3</f>
        <v>Đang chạy: Base</v>
      </c>
      <c r="C32" s="273" t="s">
        <v>735</v>
      </c>
      <c r="D32" s="273" t="s">
        <v>736</v>
      </c>
      <c r="E32" s="273" t="s">
        <v>737</v>
      </c>
      <c r="F32" s="273" t="s">
        <v>738</v>
      </c>
      <c r="G32" s="273" t="s">
        <v>739</v>
      </c>
    </row>
    <row r="33" customFormat="false" ht="15" hidden="false" customHeight="false" outlineLevel="0" collapsed="false">
      <c r="A33" s="234" t="s">
        <v>740</v>
      </c>
      <c r="B33" s="444" t="n">
        <f aca="false">'Income Statement'!I13/1000000</f>
        <v>170.317748046407</v>
      </c>
      <c r="C33" s="459" t="n">
        <v>116.89912442438</v>
      </c>
      <c r="D33" s="459" t="n">
        <v>214.755888215365</v>
      </c>
      <c r="E33" s="459" t="n">
        <v>174.741926152093</v>
      </c>
      <c r="F33" s="459" t="n">
        <v>170.317748046407</v>
      </c>
      <c r="G33" s="459" t="n">
        <v>170.317748046407</v>
      </c>
    </row>
    <row r="34" customFormat="false" ht="15" hidden="false" customHeight="false" outlineLevel="0" collapsed="false">
      <c r="A34" s="234" t="s">
        <v>741</v>
      </c>
      <c r="B34" s="457" t="n">
        <f aca="false">('Income Statement'!I13/'Income Statement'!D13)^(1/5)-1</f>
        <v>0.290708646106224</v>
      </c>
      <c r="C34" s="460" t="n">
        <v>0.19712221396895</v>
      </c>
      <c r="D34" s="460" t="n">
        <v>0.351964394403047</v>
      </c>
      <c r="E34" s="460" t="n">
        <v>0.297345535832646</v>
      </c>
      <c r="F34" s="460" t="n">
        <v>0.290708646106224</v>
      </c>
      <c r="G34" s="460" t="n">
        <v>0.290708646106224</v>
      </c>
    </row>
    <row r="35" customFormat="false" ht="15" hidden="false" customHeight="false" outlineLevel="0" collapsed="false">
      <c r="A35" s="234" t="s">
        <v>742</v>
      </c>
      <c r="B35" s="457" t="n">
        <f aca="false">'Income Statement'!I82/'Income Statement'!I13</f>
        <v>0.202178779341621</v>
      </c>
      <c r="C35" s="460" t="n">
        <v>0.134680571987898</v>
      </c>
      <c r="D35" s="460" t="n">
        <v>0.236717269833196</v>
      </c>
      <c r="E35" s="460" t="n">
        <v>0.205576458474854</v>
      </c>
      <c r="F35" s="460" t="n">
        <v>0.202178779341621</v>
      </c>
      <c r="G35" s="460" t="n">
        <v>0.202178779341621</v>
      </c>
    </row>
    <row r="36" customFormat="false" ht="15" hidden="false" customHeight="false" outlineLevel="0" collapsed="false">
      <c r="A36" s="234" t="s">
        <v>743</v>
      </c>
      <c r="B36" s="444" t="n">
        <f aca="false">'Income Statement'!I80/1000000</f>
        <v>13.8547081054738</v>
      </c>
      <c r="C36" s="459" t="n">
        <v>0.741524451807477</v>
      </c>
      <c r="D36" s="459" t="n">
        <v>25.7551750415791</v>
      </c>
      <c r="E36" s="459" t="n">
        <v>12.0783670152248</v>
      </c>
      <c r="F36" s="459" t="n">
        <v>15.5962432480855</v>
      </c>
      <c r="G36" s="459" t="n">
        <v>13.4193243198209</v>
      </c>
    </row>
    <row r="37" customFormat="false" ht="15" hidden="false" customHeight="false" outlineLevel="0" collapsed="false">
      <c r="A37" s="234" t="s">
        <v>744</v>
      </c>
      <c r="B37" s="444" t="n">
        <f aca="false">SUM(DCF!C10:G10)/1000000</f>
        <v>-38.9101417044817</v>
      </c>
      <c r="C37" s="459" t="n">
        <v>-48.9284577387253</v>
      </c>
      <c r="D37" s="459" t="n">
        <v>-29.3028257591151</v>
      </c>
      <c r="E37" s="459" t="n">
        <v>-58.6164081489496</v>
      </c>
      <c r="F37" s="459" t="n">
        <v>-38.9101417044818</v>
      </c>
      <c r="G37" s="459" t="n">
        <v>-38.9101417044818</v>
      </c>
    </row>
    <row r="38" customFormat="false" ht="15" hidden="false" customHeight="false" outlineLevel="0" collapsed="false">
      <c r="A38" s="234" t="s">
        <v>745</v>
      </c>
      <c r="B38" s="444" t="n">
        <f aca="false">'Pro Forma'!B63/1000000</f>
        <v>37.6107630979458</v>
      </c>
      <c r="C38" s="459" t="n">
        <v>48.2462503367326</v>
      </c>
      <c r="D38" s="459" t="n">
        <v>32.9869343761415</v>
      </c>
      <c r="E38" s="459" t="n">
        <v>45.1512100082203</v>
      </c>
      <c r="F38" s="459" t="n">
        <v>59.5826123012385</v>
      </c>
      <c r="G38" s="459" t="n">
        <v>34.6003952085742</v>
      </c>
    </row>
    <row r="39" customFormat="false" ht="15" hidden="false" customHeight="false" outlineLevel="0" collapsed="false">
      <c r="A39" s="234" t="s">
        <v>746</v>
      </c>
      <c r="B39" s="444" t="n">
        <f aca="false">SUM(Drivers!F124:J124)/1000000</f>
        <v>31.0988418323515</v>
      </c>
      <c r="C39" s="459" t="n">
        <v>26.7232236071539</v>
      </c>
      <c r="D39" s="459" t="n">
        <v>34.1350185294756</v>
      </c>
      <c r="E39" s="459" t="n">
        <v>39.5054538456031</v>
      </c>
      <c r="F39" s="459" t="n">
        <v>0</v>
      </c>
      <c r="G39" s="459" t="n">
        <v>38.8735522904393</v>
      </c>
    </row>
    <row r="40" customFormat="false" ht="15" hidden="false" customHeight="false" outlineLevel="0" collapsed="false">
      <c r="A40" s="234" t="s">
        <v>205</v>
      </c>
      <c r="B40" s="457" t="n">
        <f aca="false">'Discount rate'!E5</f>
        <v>0.136378331713872</v>
      </c>
      <c r="C40" s="460" t="n">
        <v>0.135470943003501</v>
      </c>
      <c r="D40" s="460" t="n">
        <v>0.136827765474958</v>
      </c>
      <c r="E40" s="460" t="n">
        <v>0.130197843148976</v>
      </c>
      <c r="F40" s="460" t="n">
        <v>0.130145143625602</v>
      </c>
      <c r="G40" s="460" t="n">
        <v>0.137633080209441</v>
      </c>
    </row>
    <row r="41" customFormat="false" ht="15" hidden="false" customHeight="false" outlineLevel="0" collapsed="false">
      <c r="A41" s="234" t="s">
        <v>747</v>
      </c>
      <c r="B41" s="444" t="n">
        <f aca="false">B5</f>
        <v>32.7937752037977</v>
      </c>
      <c r="C41" s="459" t="n">
        <v>-50.0071355842633</v>
      </c>
      <c r="D41" s="459" t="n">
        <v>107.847680494951</v>
      </c>
      <c r="E41" s="459" t="n">
        <v>17.3089966893427</v>
      </c>
      <c r="F41" s="459" t="n">
        <v>39.4972487972296</v>
      </c>
      <c r="G41" s="459" t="n">
        <v>31.5708557525876</v>
      </c>
    </row>
    <row r="42" customFormat="false" ht="15" hidden="false" customHeight="false" outlineLevel="0" collapsed="false">
      <c r="A42" s="234" t="s">
        <v>748</v>
      </c>
      <c r="B42" s="444" t="n">
        <f aca="false">B6</f>
        <v>25.2989101339209</v>
      </c>
      <c r="C42" s="459" t="n">
        <v>-28.2961982474944</v>
      </c>
      <c r="D42" s="459" t="n">
        <v>68.8725178769789</v>
      </c>
      <c r="E42" s="459" t="n">
        <v>16.7594211127137</v>
      </c>
      <c r="F42" s="459" t="n">
        <v>12.5753542330666</v>
      </c>
      <c r="G42" s="459" t="n">
        <v>26.5412714675434</v>
      </c>
    </row>
    <row r="43" customFormat="false" ht="15" hidden="false" customHeight="false" outlineLevel="0" collapsed="false">
      <c r="A43" s="234" t="s">
        <v>749</v>
      </c>
      <c r="B43" s="444" t="n">
        <f aca="false">B8</f>
        <v>28.779267674012</v>
      </c>
      <c r="C43" s="459" t="n">
        <v>-25.7791399937785</v>
      </c>
      <c r="D43" s="459" t="n">
        <v>76.2302728876963</v>
      </c>
      <c r="E43" s="459" t="n">
        <v>19.1695606597471</v>
      </c>
      <c r="F43" s="459" t="n">
        <v>26.371234751043</v>
      </c>
      <c r="G43" s="459" t="n">
        <v>28.787044426977</v>
      </c>
    </row>
    <row r="44" customFormat="false" ht="15" hidden="false" customHeight="false" outlineLevel="0" collapsed="false">
      <c r="A44" s="234" t="s">
        <v>750</v>
      </c>
      <c r="B44" s="457" t="n">
        <f aca="false">E8</f>
        <v>0.56651221065305</v>
      </c>
      <c r="C44" s="460" t="s">
        <v>751</v>
      </c>
      <c r="D44" s="460" t="n">
        <v>0.302030560957802</v>
      </c>
      <c r="E44" s="460" t="n">
        <v>0.701969356699673</v>
      </c>
      <c r="F44" s="460" t="n">
        <v>0.693193083783641</v>
      </c>
      <c r="G44" s="460" t="n">
        <v>0.54585569960722</v>
      </c>
    </row>
    <row r="45" customFormat="false" ht="15" hidden="false" customHeight="false" outlineLevel="0" collapsed="false">
      <c r="A45" s="234" t="s">
        <v>752</v>
      </c>
      <c r="B45" s="457" t="n">
        <f aca="false">IF(ISNUMBER(E8),1-E8,"n.m.")</f>
        <v>0.433487789346951</v>
      </c>
      <c r="C45" s="460" t="s">
        <v>751</v>
      </c>
      <c r="D45" s="460" t="n">
        <v>0.697969439042198</v>
      </c>
      <c r="E45" s="460" t="n">
        <v>0.298030643300327</v>
      </c>
      <c r="F45" s="460" t="n">
        <v>0.306806916216359</v>
      </c>
      <c r="G45" s="460" t="n">
        <v>0.45414430039278</v>
      </c>
    </row>
    <row r="48" customFormat="false" ht="15" hidden="false" customHeight="false" outlineLevel="0" collapsed="false">
      <c r="A48" s="275" t="s">
        <v>753</v>
      </c>
    </row>
    <row r="49" customFormat="false" ht="15" hidden="false" customHeight="false" outlineLevel="0" collapsed="false">
      <c r="A49" s="247" t="s">
        <v>754</v>
      </c>
    </row>
    <row r="50" customFormat="false" ht="24.75" hidden="false" customHeight="true" outlineLevel="0" collapsed="false">
      <c r="A50" s="273" t="s">
        <v>755</v>
      </c>
      <c r="B50" s="273" t="s">
        <v>756</v>
      </c>
      <c r="C50" s="273" t="s">
        <v>757</v>
      </c>
      <c r="D50" s="273" t="s">
        <v>758</v>
      </c>
      <c r="E50" s="273" t="s">
        <v>759</v>
      </c>
      <c r="F50" s="273" t="s">
        <v>760</v>
      </c>
      <c r="G50" s="273" t="s">
        <v>761</v>
      </c>
      <c r="H50" s="273" t="s">
        <v>762</v>
      </c>
      <c r="I50" s="273" t="s">
        <v>763</v>
      </c>
      <c r="J50" s="273" t="s">
        <v>764</v>
      </c>
      <c r="K50" s="273" t="s">
        <v>765</v>
      </c>
      <c r="L50" s="273" t="s">
        <v>766</v>
      </c>
      <c r="M50" s="273" t="s">
        <v>767</v>
      </c>
      <c r="N50" s="273" t="s">
        <v>768</v>
      </c>
    </row>
    <row r="51" customFormat="false" ht="15" hidden="false" customHeight="false" outlineLevel="0" collapsed="false">
      <c r="A51" s="198" t="s">
        <v>769</v>
      </c>
      <c r="B51" s="459" t="n">
        <v>28.7792676740121</v>
      </c>
      <c r="C51" s="459" t="n">
        <v>28.7792676740121</v>
      </c>
      <c r="D51" s="461" t="n">
        <f aca="false">B51-B$51</f>
        <v>0</v>
      </c>
      <c r="E51" s="461" t="n">
        <f aca="false">C51-C$51</f>
        <v>0</v>
      </c>
      <c r="F51" s="459" t="n">
        <v>32.7937752037978</v>
      </c>
      <c r="G51" s="459" t="n">
        <v>32.7937752037978</v>
      </c>
      <c r="H51" s="459" t="n">
        <v>25.298910133921</v>
      </c>
      <c r="I51" s="459" t="n">
        <v>25.298910133921</v>
      </c>
      <c r="J51" s="459" t="n">
        <v>170.317748046407</v>
      </c>
      <c r="K51" s="459" t="n">
        <v>170.317748046407</v>
      </c>
      <c r="L51" s="459" t="n">
        <v>13.8547081054738</v>
      </c>
      <c r="M51" s="459" t="n">
        <v>13.8547081054738</v>
      </c>
    </row>
    <row r="52" customFormat="false" ht="15" hidden="false" customHeight="false" outlineLevel="0" collapsed="false">
      <c r="A52" s="234" t="s">
        <v>770</v>
      </c>
      <c r="B52" s="459" t="n">
        <v>1.20348171612066</v>
      </c>
      <c r="C52" s="459" t="n">
        <v>61.0725086921756</v>
      </c>
      <c r="D52" s="461" t="n">
        <f aca="false">B52-B$51</f>
        <v>-27.5757859578914</v>
      </c>
      <c r="E52" s="461" t="n">
        <f aca="false">C52-C$51</f>
        <v>32.2932410181635</v>
      </c>
      <c r="F52" s="459" t="n">
        <v>-10.3124952393945</v>
      </c>
      <c r="G52" s="459" t="n">
        <v>84.6475301393289</v>
      </c>
      <c r="H52" s="459" t="n">
        <v>-0.534284317615226</v>
      </c>
      <c r="I52" s="459" t="n">
        <v>54.1782577437987</v>
      </c>
      <c r="J52" s="459" t="n">
        <v>137.259386260341</v>
      </c>
      <c r="K52" s="459" t="n">
        <v>209.565440708054</v>
      </c>
      <c r="L52" s="459" t="n">
        <v>6.5651549352034</v>
      </c>
      <c r="M52" s="459" t="n">
        <v>22.6244231602783</v>
      </c>
      <c r="N52" s="236" t="s">
        <v>771</v>
      </c>
    </row>
    <row r="53" customFormat="false" ht="15" hidden="false" customHeight="false" outlineLevel="0" collapsed="false">
      <c r="A53" s="234" t="s">
        <v>772</v>
      </c>
      <c r="B53" s="459" t="n">
        <v>21.9489978682581</v>
      </c>
      <c r="C53" s="459" t="n">
        <v>35.8895826617102</v>
      </c>
      <c r="D53" s="461" t="n">
        <f aca="false">B53-B$51</f>
        <v>-6.830269805754</v>
      </c>
      <c r="E53" s="461" t="n">
        <f aca="false">C53-C$51</f>
        <v>7.1103149876981</v>
      </c>
      <c r="F53" s="459" t="n">
        <v>22.029117094492</v>
      </c>
      <c r="G53" s="459" t="n">
        <v>44.0088793251819</v>
      </c>
      <c r="H53" s="459" t="n">
        <v>18.9878937288418</v>
      </c>
      <c r="I53" s="459" t="n">
        <v>31.8595934817822</v>
      </c>
      <c r="J53" s="459" t="n">
        <v>162.126023734606</v>
      </c>
      <c r="K53" s="459" t="n">
        <v>178.837298929894</v>
      </c>
      <c r="L53" s="459" t="n">
        <v>12.0296873871274</v>
      </c>
      <c r="M53" s="459" t="n">
        <v>15.7584823404092</v>
      </c>
      <c r="N53" s="236" t="s">
        <v>773</v>
      </c>
    </row>
    <row r="54" customFormat="false" ht="15" hidden="false" customHeight="false" outlineLevel="0" collapsed="false">
      <c r="A54" s="234" t="s">
        <v>774</v>
      </c>
      <c r="B54" s="459" t="n">
        <v>20.2390601223735</v>
      </c>
      <c r="C54" s="459" t="n">
        <v>37.0992320137935</v>
      </c>
      <c r="D54" s="461" t="n">
        <f aca="false">B54-B$51</f>
        <v>-8.5402075516386</v>
      </c>
      <c r="E54" s="461" t="n">
        <f aca="false">C54-C$51</f>
        <v>8.3199643397814</v>
      </c>
      <c r="F54" s="459" t="n">
        <v>20.8983510308382</v>
      </c>
      <c r="G54" s="459" t="n">
        <v>44.6396284403264</v>
      </c>
      <c r="H54" s="459" t="n">
        <v>15.8438154277841</v>
      </c>
      <c r="I54" s="459" t="n">
        <v>34.2529677468459</v>
      </c>
      <c r="J54" s="459" t="n">
        <v>170.317748046407</v>
      </c>
      <c r="K54" s="459" t="n">
        <v>170.317748046407</v>
      </c>
      <c r="L54" s="459" t="n">
        <v>12.4921661211025</v>
      </c>
      <c r="M54" s="459" t="n">
        <v>15.217250089845</v>
      </c>
      <c r="N54" s="236" t="s">
        <v>775</v>
      </c>
    </row>
    <row r="55" customFormat="false" ht="15" hidden="false" customHeight="false" outlineLevel="0" collapsed="false">
      <c r="A55" s="234" t="s">
        <v>776</v>
      </c>
      <c r="B55" s="459" t="n">
        <v>18.2398389677937</v>
      </c>
      <c r="C55" s="459" t="n">
        <v>38.9695941295551</v>
      </c>
      <c r="D55" s="461" t="n">
        <f aca="false">B55-B$51</f>
        <v>-10.5394287062184</v>
      </c>
      <c r="E55" s="461" t="n">
        <f aca="false">C55-C$51</f>
        <v>10.190326455543</v>
      </c>
      <c r="F55" s="459" t="n">
        <v>18.0391358934412</v>
      </c>
      <c r="G55" s="459" t="n">
        <v>47.4883966051073</v>
      </c>
      <c r="H55" s="459" t="n">
        <v>13.7049776787317</v>
      </c>
      <c r="I55" s="459" t="n">
        <v>36.0801048714689</v>
      </c>
      <c r="J55" s="459" t="n">
        <v>170.317748046407</v>
      </c>
      <c r="K55" s="459" t="n">
        <v>170.317748046407</v>
      </c>
      <c r="L55" s="459" t="n">
        <v>12.1106543654786</v>
      </c>
      <c r="M55" s="459" t="n">
        <v>15.598761845469</v>
      </c>
      <c r="N55" s="236" t="s">
        <v>777</v>
      </c>
    </row>
    <row r="56" customFormat="false" ht="15" hidden="false" customHeight="false" outlineLevel="0" collapsed="false">
      <c r="A56" s="234" t="s">
        <v>778</v>
      </c>
      <c r="B56" s="459" t="n">
        <v>23.9828097052436</v>
      </c>
      <c r="C56" s="459" t="n">
        <v>34.5325687902573</v>
      </c>
      <c r="D56" s="461" t="n">
        <f aca="false">B56-B$51</f>
        <v>-4.7964579687685</v>
      </c>
      <c r="E56" s="461" t="n">
        <f aca="false">C56-C$51</f>
        <v>5.7533011162452</v>
      </c>
      <c r="F56" s="459" t="n">
        <v>24.509412578658</v>
      </c>
      <c r="G56" s="459" t="n">
        <v>43.3222560269216</v>
      </c>
      <c r="H56" s="459" t="n">
        <v>21.5921278371396</v>
      </c>
      <c r="I56" s="459" t="n">
        <v>29.1536821014104</v>
      </c>
      <c r="J56" s="459" t="n">
        <v>170.317748046407</v>
      </c>
      <c r="K56" s="459" t="n">
        <v>170.317748046407</v>
      </c>
      <c r="L56" s="459" t="n">
        <v>13.6677337912126</v>
      </c>
      <c r="M56" s="459" t="n">
        <v>14.0416824197349</v>
      </c>
      <c r="N56" s="236" t="s">
        <v>779</v>
      </c>
    </row>
    <row r="57" customFormat="false" ht="15" hidden="false" customHeight="false" outlineLevel="0" collapsed="false">
      <c r="A57" s="234" t="s">
        <v>780</v>
      </c>
      <c r="B57" s="459" t="n">
        <v>23.9878290794445</v>
      </c>
      <c r="C57" s="459" t="n">
        <v>34.7682709171803</v>
      </c>
      <c r="D57" s="461" t="n">
        <f aca="false">B57-B$51</f>
        <v>-4.7914385945676</v>
      </c>
      <c r="E57" s="461" t="n">
        <f aca="false">C57-C$51</f>
        <v>5.9890032431682</v>
      </c>
      <c r="F57" s="459" t="n">
        <v>23.641702196259</v>
      </c>
      <c r="G57" s="459" t="n">
        <v>44.7786855565083</v>
      </c>
      <c r="H57" s="459" t="n">
        <v>22.4723866550408</v>
      </c>
      <c r="I57" s="459" t="n">
        <v>28.286507889131</v>
      </c>
      <c r="J57" s="459" t="n">
        <v>170.317748046407</v>
      </c>
      <c r="K57" s="459" t="n">
        <v>170.317748046407</v>
      </c>
      <c r="L57" s="459" t="n">
        <v>13.8547081054738</v>
      </c>
      <c r="M57" s="459" t="n">
        <v>13.8547081054738</v>
      </c>
      <c r="N57" s="236" t="s">
        <v>781</v>
      </c>
    </row>
    <row r="58" customFormat="false" ht="15" hidden="false" customHeight="false" outlineLevel="0" collapsed="false">
      <c r="A58" s="234" t="s">
        <v>782</v>
      </c>
      <c r="B58" s="459" t="n">
        <v>28.7792676740121</v>
      </c>
      <c r="C58" s="459" t="n">
        <v>31.7392798631718</v>
      </c>
      <c r="D58" s="461" t="n">
        <f aca="false">B58-B$51</f>
        <v>0</v>
      </c>
      <c r="E58" s="461" t="n">
        <f aca="false">C58-C$51</f>
        <v>2.9600121891597</v>
      </c>
      <c r="F58" s="459" t="n">
        <v>32.7937752037978</v>
      </c>
      <c r="G58" s="459" t="n">
        <v>36.1591764636833</v>
      </c>
      <c r="H58" s="459" t="n">
        <v>25.298910133921</v>
      </c>
      <c r="I58" s="459" t="n">
        <v>29.3335393469349</v>
      </c>
      <c r="J58" s="459" t="n">
        <v>170.317748046407</v>
      </c>
      <c r="K58" s="459" t="n">
        <v>170.317748046407</v>
      </c>
      <c r="L58" s="459" t="n">
        <v>13.8547081054738</v>
      </c>
      <c r="M58" s="459" t="n">
        <v>13.8547081054738</v>
      </c>
      <c r="N58" s="236" t="s">
        <v>783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1E2B"/>
    <pageSetUpPr fitToPage="false"/>
  </sheetPr>
  <dimension ref="A1:F28"/>
  <sheetViews>
    <sheetView showFormulas="false" showGridLines="true" showRowColHeaders="true" showZeros="true" rightToLeft="false" tabSelected="false" showOutlineSymbols="true" defaultGridColor="true" view="normal" topLeftCell="A20"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0" width="36"/>
    <col collapsed="false" customWidth="true" hidden="false" outlineLevel="0" max="8" min="2" style="0" width="14"/>
  </cols>
  <sheetData>
    <row r="1" customFormat="false" ht="15.75" hidden="false" customHeight="true" outlineLevel="0" collapsed="false">
      <c r="A1" s="430" t="s">
        <v>784</v>
      </c>
    </row>
    <row r="2" customFormat="false" ht="15" hidden="false" customHeight="false" outlineLevel="0" collapsed="false">
      <c r="A2" s="247" t="s">
        <v>785</v>
      </c>
    </row>
    <row r="4" customFormat="false" ht="15" hidden="false" customHeight="false" outlineLevel="0" collapsed="false">
      <c r="A4" s="198" t="s">
        <v>786</v>
      </c>
    </row>
    <row r="5" customFormat="false" ht="15" hidden="false" customHeight="false" outlineLevel="0" collapsed="false">
      <c r="A5" s="273" t="s">
        <v>787</v>
      </c>
      <c r="B5" s="462" t="n">
        <f aca="false">Assumption!$D$16+(-0.02)</f>
        <v>0.03</v>
      </c>
      <c r="C5" s="462" t="n">
        <f aca="false">Assumption!$D$16+(-0.01)</f>
        <v>0.04</v>
      </c>
      <c r="D5" s="462" t="n">
        <f aca="false">Assumption!$D$16+(0)</f>
        <v>0.05</v>
      </c>
      <c r="E5" s="462" t="n">
        <f aca="false">Assumption!$D$16+(0.01)</f>
        <v>0.06</v>
      </c>
      <c r="F5" s="462" t="n">
        <f aca="false">Assumption!$D$16+(0.02)</f>
        <v>0.07</v>
      </c>
    </row>
    <row r="6" customFormat="false" ht="15" hidden="false" customHeight="false" outlineLevel="0" collapsed="false">
      <c r="A6" s="462" t="n">
        <f aca="false">Assumption!$D$18+(-0.02)</f>
        <v>0.116378331713872</v>
      </c>
      <c r="B6" s="288" t="n">
        <f aca="false">(SUMPRODUCT(DCF!$C$10:$G$10,1/(1+$A6)^DCF!$C$3:$G$3)+(DCF!$G$5*(1+B$5)*(1-B$5/Assumption!$D$19)/($A6-B$5))/(1+$A6)^DCF!$G$3+'Balance Sheet'!$G$7-'Balance Sheet'!$G$48-'Balance Sheet'!$G$61)/1000000</f>
        <v>52.1978032793631</v>
      </c>
      <c r="C6" s="288" t="n">
        <f aca="false">(SUMPRODUCT(DCF!$C$10:$G$10,1/(1+$A6)^DCF!$C$3:$G$3)+(DCF!$G$5*(1+C$5)*(1-C$5/Assumption!$D$19)/($A6-C$5))/(1+$A6)^DCF!$G$3+'Balance Sheet'!$G$7-'Balance Sheet'!$G$48-'Balance Sheet'!$G$61)/1000000</f>
        <v>55.3308961937083</v>
      </c>
      <c r="D6" s="288" t="n">
        <f aca="false">(SUMPRODUCT(DCF!$C$10:$G$10,1/(1+$A6)^DCF!$C$3:$G$3)+(DCF!$G$5*(1+D$5)*(1-D$5/Assumption!$D$19)/($A6-D$5))/(1+$A6)^DCF!$G$3+'Balance Sheet'!$G$7-'Balance Sheet'!$G$48-'Balance Sheet'!$G$61)/1000000</f>
        <v>59.2111674360915</v>
      </c>
      <c r="E6" s="288" t="n">
        <f aca="false">(SUMPRODUCT(DCF!$C$10:$G$10,1/(1+$A6)^DCF!$C$3:$G$3)+(DCF!$G$5*(1+E$5)*(1-E$5/Assumption!$D$19)/($A6-E$5))/(1+$A6)^DCF!$G$3+'Balance Sheet'!$G$7-'Balance Sheet'!$G$48-'Balance Sheet'!$G$61)/1000000</f>
        <v>64.2362050365185</v>
      </c>
      <c r="F6" s="288" t="n">
        <f aca="false">(SUMPRODUCT(DCF!$C$10:$G$10,1/(1+$A6)^DCF!$C$3:$G$3)+(DCF!$G$5*(1+F$5)*(1-F$5/Assumption!$D$19)/($A6-F$5))/(1+$A6)^DCF!$G$3+'Balance Sheet'!$G$7-'Balance Sheet'!$G$48-'Balance Sheet'!$G$61)/1000000</f>
        <v>71.1465054611667</v>
      </c>
    </row>
    <row r="7" customFormat="false" ht="15" hidden="false" customHeight="false" outlineLevel="0" collapsed="false">
      <c r="A7" s="462" t="n">
        <f aca="false">Assumption!$D$18+(-0.01)</f>
        <v>0.126378331713872</v>
      </c>
      <c r="B7" s="288" t="n">
        <f aca="false">(SUMPRODUCT(DCF!$C$10:$G$10,1/(1+$A7)^DCF!$C$3:$G$3)+(DCF!$G$5*(1+B$5)*(1-B$5/Assumption!$D$19)/($A7-B$5))/(1+$A7)^DCF!$G$3+'Balance Sheet'!$G$7-'Balance Sheet'!$G$48-'Balance Sheet'!$G$61)/1000000</f>
        <v>40.5042160819163</v>
      </c>
      <c r="C7" s="288" t="n">
        <f aca="false">(SUMPRODUCT(DCF!$C$10:$G$10,1/(1+$A7)^DCF!$C$3:$G$3)+(DCF!$G$5*(1+C$5)*(1-C$5/Assumption!$D$19)/($A7-C$5))/(1+$A7)^DCF!$G$3+'Balance Sheet'!$G$7-'Balance Sheet'!$G$48-'Balance Sheet'!$G$61)/1000000</f>
        <v>42.1800193539711</v>
      </c>
      <c r="D7" s="288" t="n">
        <f aca="false">(SUMPRODUCT(DCF!$C$10:$G$10,1/(1+$A7)^DCF!$C$3:$G$3)+(DCF!$G$5*(1+D$5)*(1-D$5/Assumption!$D$19)/($A7-D$5))/(1+$A7)^DCF!$G$3+'Balance Sheet'!$G$7-'Balance Sheet'!$G$48-'Balance Sheet'!$G$61)/1000000</f>
        <v>44.1310371374378</v>
      </c>
      <c r="E7" s="288" t="n">
        <f aca="false">(SUMPRODUCT(DCF!$C$10:$G$10,1/(1+$A7)^DCF!$C$3:$G$3)+(DCF!$G$5*(1+E$5)*(1-E$5/Assumption!$D$19)/($A7-E$5))/(1+$A7)^DCF!$G$3+'Balance Sheet'!$G$7-'Balance Sheet'!$G$48-'Balance Sheet'!$G$61)/1000000</f>
        <v>46.4816539284192</v>
      </c>
      <c r="F7" s="288" t="n">
        <f aca="false">(SUMPRODUCT(DCF!$C$10:$G$10,1/(1+$A7)^DCF!$C$3:$G$3)+(DCF!$G$5*(1+F$5)*(1-F$5/Assumption!$D$19)/($A7-F$5))/(1+$A7)^DCF!$G$3+'Balance Sheet'!$G$7-'Balance Sheet'!$G$48-'Balance Sheet'!$G$61)/1000000</f>
        <v>49.4445040823671</v>
      </c>
    </row>
    <row r="8" customFormat="false" ht="15" hidden="false" customHeight="false" outlineLevel="0" collapsed="false">
      <c r="A8" s="462" t="n">
        <f aca="false">Assumption!$D$18+(0)</f>
        <v>0.136378331713872</v>
      </c>
      <c r="B8" s="288" t="n">
        <f aca="false">(SUMPRODUCT(DCF!$C$10:$G$10,1/(1+$A8)^DCF!$C$3:$G$3)+(DCF!$G$5*(1+B$5)*(1-B$5/Assumption!$D$19)/($A8-B$5))/(1+$A8)^DCF!$G$3+'Balance Sheet'!$G$7-'Balance Sheet'!$G$48-'Balance Sheet'!$G$61)/1000000</f>
        <v>31.238476193677</v>
      </c>
      <c r="C8" s="288" t="n">
        <f aca="false">(SUMPRODUCT(DCF!$C$10:$G$10,1/(1+$A8)^DCF!$C$3:$G$3)+(DCF!$G$5*(1+C$5)*(1-C$5/Assumption!$D$19)/($A8-C$5))/(1+$A8)^DCF!$G$3+'Balance Sheet'!$G$7-'Balance Sheet'!$G$48-'Balance Sheet'!$G$61)/1000000</f>
        <v>31.9974619633138</v>
      </c>
      <c r="D8" s="463" t="n">
        <f aca="false">(SUMPRODUCT(DCF!$C$10:$G$10,1/(1+$A8)^DCF!$C$3:$G$3)+(DCF!$G$5*(1+D$5)*(1-D$5/Assumption!$D$19)/($A8-D$5))/(1+$A8)^DCF!$G$3+'Balance Sheet'!$G$7-'Balance Sheet'!$G$48-'Balance Sheet'!$G$61)/1000000</f>
        <v>32.7937752037977</v>
      </c>
      <c r="E8" s="288" t="n">
        <f aca="false">(SUMPRODUCT(DCF!$C$10:$G$10,1/(1+$A8)^DCF!$C$3:$G$3)+(DCF!$G$5*(1+E$5)*(1-E$5/Assumption!$D$19)/($A8-E$5))/(1+$A8)^DCF!$G$3+'Balance Sheet'!$G$7-'Balance Sheet'!$G$48-'Balance Sheet'!$G$61)/1000000</f>
        <v>33.6420774572218</v>
      </c>
      <c r="F8" s="288" t="n">
        <f aca="false">(SUMPRODUCT(DCF!$C$10:$G$10,1/(1+$A8)^DCF!$C$3:$G$3)+(DCF!$G$5*(1+F$5)*(1-F$5/Assumption!$D$19)/($A8-F$5))/(1+$A8)^DCF!$G$3+'Balance Sheet'!$G$7-'Balance Sheet'!$G$48-'Balance Sheet'!$G$61)/1000000</f>
        <v>34.5658654031187</v>
      </c>
    </row>
    <row r="9" customFormat="false" ht="15" hidden="false" customHeight="false" outlineLevel="0" collapsed="false">
      <c r="A9" s="462" t="n">
        <f aca="false">Assumption!$D$18+(0.01)</f>
        <v>0.146378331713872</v>
      </c>
      <c r="B9" s="288" t="n">
        <f aca="false">(SUMPRODUCT(DCF!$C$10:$G$10,1/(1+$A9)^DCF!$C$3:$G$3)+(DCF!$G$5*(1+B$5)*(1-B$5/Assumption!$D$19)/($A9-B$5))/(1+$A9)^DCF!$G$3+'Balance Sheet'!$G$7-'Balance Sheet'!$G$48-'Balance Sheet'!$G$61)/1000000</f>
        <v>23.7649322155348</v>
      </c>
      <c r="C9" s="288" t="n">
        <f aca="false">(SUMPRODUCT(DCF!$C$10:$G$10,1/(1+$A9)^DCF!$C$3:$G$3)+(DCF!$G$5*(1+C$5)*(1-C$5/Assumption!$D$19)/($A9-C$5))/(1+$A9)^DCF!$G$3+'Balance Sheet'!$G$7-'Balance Sheet'!$G$48-'Balance Sheet'!$G$61)/1000000</f>
        <v>23.9361926590634</v>
      </c>
      <c r="D9" s="288" t="n">
        <f aca="false">(SUMPRODUCT(DCF!$C$10:$G$10,1/(1+$A9)^DCF!$C$3:$G$3)+(DCF!$G$5*(1+D$5)*(1-D$5/Assumption!$D$19)/($A9-D$5))/(1+$A9)^DCF!$G$3+'Balance Sheet'!$G$7-'Balance Sheet'!$G$48-'Balance Sheet'!$G$61)/1000000</f>
        <v>24.0242622397062</v>
      </c>
      <c r="E9" s="288" t="n">
        <f aca="false">(SUMPRODUCT(DCF!$C$10:$G$10,1/(1+$A9)^DCF!$C$3:$G$3)+(DCF!$G$5*(1+E$5)*(1-E$5/Assumption!$D$19)/($A9-E$5))/(1+$A9)^DCF!$G$3+'Balance Sheet'!$G$7-'Balance Sheet'!$G$48-'Balance Sheet'!$G$61)/1000000</f>
        <v>24.0002479951074</v>
      </c>
      <c r="F9" s="288" t="n">
        <f aca="false">(SUMPRODUCT(DCF!$C$10:$G$10,1/(1+$A9)^DCF!$C$3:$G$3)+(DCF!$G$5*(1+F$5)*(1-F$5/Assumption!$D$19)/($A9-F$5))/(1+$A9)^DCF!$G$3+'Balance Sheet'!$G$7-'Balance Sheet'!$G$48-'Balance Sheet'!$G$61)/1000000</f>
        <v>23.8201254659498</v>
      </c>
    </row>
    <row r="10" customFormat="false" ht="15" hidden="false" customHeight="false" outlineLevel="0" collapsed="false">
      <c r="A10" s="462" t="n">
        <f aca="false">Assumption!$D$18+(0.02)</f>
        <v>0.156378331713872</v>
      </c>
      <c r="B10" s="288" t="n">
        <f aca="false">(SUMPRODUCT(DCF!$C$10:$G$10,1/(1+$A10)^DCF!$C$3:$G$3)+(DCF!$G$5*(1+B$5)*(1-B$5/Assumption!$D$19)/($A10-B$5))/(1+$A10)^DCF!$G$3+'Balance Sheet'!$G$7-'Balance Sheet'!$G$48-'Balance Sheet'!$G$61)/1000000</f>
        <v>17.6496259251526</v>
      </c>
      <c r="C10" s="288" t="n">
        <f aca="false">(SUMPRODUCT(DCF!$C$10:$G$10,1/(1+$A10)^DCF!$C$3:$G$3)+(DCF!$G$5*(1+C$5)*(1-C$5/Assumption!$D$19)/($A10-C$5))/(1+$A10)^DCF!$G$3+'Balance Sheet'!$G$7-'Balance Sheet'!$G$48-'Balance Sheet'!$G$61)/1000000</f>
        <v>17.4408061810752</v>
      </c>
      <c r="D10" s="288" t="n">
        <f aca="false">(SUMPRODUCT(DCF!$C$10:$G$10,1/(1+$A10)^DCF!$C$3:$G$3)+(DCF!$G$5*(1+D$5)*(1-D$5/Assumption!$D$19)/($A10-D$5))/(1+$A10)^DCF!$G$3+'Balance Sheet'!$G$7-'Balance Sheet'!$G$48-'Balance Sheet'!$G$61)/1000000</f>
        <v>17.0897290240432</v>
      </c>
      <c r="E10" s="288" t="n">
        <f aca="false">(SUMPRODUCT(DCF!$C$10:$G$10,1/(1+$A10)^DCF!$C$3:$G$3)+(DCF!$G$5*(1+E$5)*(1-E$5/Assumption!$D$19)/($A10-E$5))/(1+$A10)^DCF!$G$3+'Balance Sheet'!$G$7-'Balance Sheet'!$G$48-'Balance Sheet'!$G$61)/1000000</f>
        <v>16.5521135216854</v>
      </c>
      <c r="F10" s="288" t="n">
        <f aca="false">(SUMPRODUCT(DCF!$C$10:$G$10,1/(1+$A10)^DCF!$C$3:$G$3)+(DCF!$G$5*(1+F$5)*(1-F$5/Assumption!$D$19)/($A10-F$5))/(1+$A10)^DCF!$G$3+'Balance Sheet'!$G$7-'Balance Sheet'!$G$48-'Balance Sheet'!$G$61)/1000000</f>
        <v>15.7631731673779</v>
      </c>
    </row>
    <row r="11" customFormat="false" ht="15" hidden="false" customHeight="false" outlineLevel="0" collapsed="false">
      <c r="A11" s="247" t="s">
        <v>788</v>
      </c>
      <c r="B11" s="279" t="n">
        <f aca="false">ROUND(D8-DCF!B22/1000000,6)</f>
        <v>0</v>
      </c>
    </row>
    <row r="13" customFormat="false" ht="15" hidden="false" customHeight="false" outlineLevel="0" collapsed="false">
      <c r="A13" s="198" t="s">
        <v>789</v>
      </c>
    </row>
    <row r="14" customFormat="false" ht="15" hidden="false" customHeight="false" outlineLevel="0" collapsed="false">
      <c r="A14" s="273" t="s">
        <v>790</v>
      </c>
      <c r="B14" s="464" t="n">
        <v>-0.3</v>
      </c>
      <c r="C14" s="464" t="n">
        <v>-0.15</v>
      </c>
      <c r="D14" s="464" t="n">
        <v>0</v>
      </c>
      <c r="E14" s="464" t="n">
        <v>0.15</v>
      </c>
      <c r="F14" s="464" t="n">
        <v>0.3</v>
      </c>
    </row>
    <row r="15" customFormat="false" ht="15" hidden="false" customHeight="false" outlineLevel="0" collapsed="false">
      <c r="A15" s="465" t="n">
        <v>0.3</v>
      </c>
      <c r="B15" s="288" t="n">
        <f aca="false">(VCM!$E$6*(1+B$14)*(1-$A15)/(1+VCM!$B$7)^VCM!$B$5-VCM!$E$5)/1000000</f>
        <v>13.7654700414121</v>
      </c>
      <c r="C15" s="288" t="n">
        <f aca="false">(VCM!$E$6*(1+C$14)*(1-$A15)/(1+VCM!$B$7)^VCM!$B$5-VCM!$E$5)/1000000</f>
        <v>24.7746628569887</v>
      </c>
      <c r="D15" s="288" t="n">
        <f aca="false">(VCM!$E$6*(1+D$14)*(1-$A15)/(1+VCM!$B$7)^VCM!$B$5-VCM!$E$5)/1000000</f>
        <v>35.7838556725654</v>
      </c>
      <c r="E15" s="288" t="n">
        <f aca="false">(VCM!$E$6*(1+E$14)*(1-$A15)/(1+VCM!$B$7)^VCM!$B$5-VCM!$E$5)/1000000</f>
        <v>46.7930484881421</v>
      </c>
      <c r="F15" s="288" t="n">
        <f aca="false">(VCM!$E$6*(1+F$14)*(1-$A15)/(1+VCM!$B$7)^VCM!$B$5-VCM!$E$5)/1000000</f>
        <v>57.8022413037188</v>
      </c>
    </row>
    <row r="16" customFormat="false" ht="15" hidden="false" customHeight="false" outlineLevel="0" collapsed="false">
      <c r="A16" s="465" t="n">
        <v>0.35</v>
      </c>
      <c r="B16" s="288" t="n">
        <f aca="false">(VCM!$E$6*(1+B$14)*(1-$A16)/(1+VCM!$B$7)^VCM!$B$5-VCM!$E$5)/1000000</f>
        <v>10.0957391028865</v>
      </c>
      <c r="C16" s="288" t="n">
        <f aca="false">(VCM!$E$6*(1+C$14)*(1-$A16)/(1+VCM!$B$7)^VCM!$B$5-VCM!$E$5)/1000000</f>
        <v>20.3185610030648</v>
      </c>
      <c r="D16" s="288" t="n">
        <f aca="false">(VCM!$E$6*(1+D$14)*(1-$A16)/(1+VCM!$B$7)^VCM!$B$5-VCM!$E$5)/1000000</f>
        <v>30.5413829032432</v>
      </c>
      <c r="E16" s="288" t="n">
        <f aca="false">(VCM!$E$6*(1+E$14)*(1-$A16)/(1+VCM!$B$7)^VCM!$B$5-VCM!$E$5)/1000000</f>
        <v>40.7642048034216</v>
      </c>
      <c r="F16" s="288" t="n">
        <f aca="false">(VCM!$E$6*(1+F$14)*(1-$A16)/(1+VCM!$B$7)^VCM!$B$5-VCM!$E$5)/1000000</f>
        <v>50.9870267035999</v>
      </c>
    </row>
    <row r="17" customFormat="false" ht="15" hidden="false" customHeight="false" outlineLevel="0" collapsed="false">
      <c r="A17" s="465" t="n">
        <v>0.4</v>
      </c>
      <c r="B17" s="288" t="n">
        <f aca="false">(VCM!$E$6*(1+B$14)*(1-$A17)/(1+VCM!$B$7)^VCM!$B$5-VCM!$E$5)/1000000</f>
        <v>6.42600816436093</v>
      </c>
      <c r="C17" s="288" t="n">
        <f aca="false">(VCM!$E$6*(1+C$14)*(1-$A17)/(1+VCM!$B$7)^VCM!$B$5-VCM!$E$5)/1000000</f>
        <v>15.8624591491409</v>
      </c>
      <c r="D17" s="463" t="n">
        <f aca="false">(VCM!$E$6*(1+D$14)*(1-$A17)/(1+VCM!$B$7)^VCM!$B$5-VCM!$E$5)/1000000</f>
        <v>25.298910133921</v>
      </c>
      <c r="E17" s="288" t="n">
        <f aca="false">(VCM!$E$6*(1+E$14)*(1-$A17)/(1+VCM!$B$7)^VCM!$B$5-VCM!$E$5)/1000000</f>
        <v>34.735361118701</v>
      </c>
      <c r="F17" s="288" t="n">
        <f aca="false">(VCM!$E$6*(1+F$14)*(1-$A17)/(1+VCM!$B$7)^VCM!$B$5-VCM!$E$5)/1000000</f>
        <v>44.171812103481</v>
      </c>
    </row>
    <row r="18" customFormat="false" ht="15" hidden="false" customHeight="false" outlineLevel="0" collapsed="false">
      <c r="A18" s="465" t="n">
        <v>0.45</v>
      </c>
      <c r="B18" s="288" t="n">
        <f aca="false">(VCM!$E$6*(1+B$14)*(1-$A18)/(1+VCM!$B$7)^VCM!$B$5-VCM!$E$5)/1000000</f>
        <v>2.75627722583538</v>
      </c>
      <c r="C18" s="288" t="n">
        <f aca="false">(VCM!$E$6*(1+C$14)*(1-$A18)/(1+VCM!$B$7)^VCM!$B$5-VCM!$E$5)/1000000</f>
        <v>11.4063572952171</v>
      </c>
      <c r="D18" s="288" t="n">
        <f aca="false">(VCM!$E$6*(1+D$14)*(1-$A18)/(1+VCM!$B$7)^VCM!$B$5-VCM!$E$5)/1000000</f>
        <v>20.0564373645988</v>
      </c>
      <c r="E18" s="288" t="n">
        <f aca="false">(VCM!$E$6*(1+E$14)*(1-$A18)/(1+VCM!$B$7)^VCM!$B$5-VCM!$E$5)/1000000</f>
        <v>28.7065174339804</v>
      </c>
      <c r="F18" s="288" t="n">
        <f aca="false">(VCM!$E$6*(1+F$14)*(1-$A18)/(1+VCM!$B$7)^VCM!$B$5-VCM!$E$5)/1000000</f>
        <v>37.3565975033621</v>
      </c>
    </row>
    <row r="19" customFormat="false" ht="15" hidden="false" customHeight="false" outlineLevel="0" collapsed="false">
      <c r="A19" s="465" t="n">
        <v>0.5</v>
      </c>
      <c r="B19" s="288" t="n">
        <f aca="false">(VCM!$E$6*(1+B$14)*(1-$A19)/(1+VCM!$B$7)^VCM!$B$5-VCM!$E$5)/1000000</f>
        <v>-0.91345371269019</v>
      </c>
      <c r="C19" s="288" t="n">
        <f aca="false">(VCM!$E$6*(1+C$14)*(1-$A19)/(1+VCM!$B$7)^VCM!$B$5-VCM!$E$5)/1000000</f>
        <v>6.95025544129316</v>
      </c>
      <c r="D19" s="288" t="n">
        <f aca="false">(VCM!$E$6*(1+D$14)*(1-$A19)/(1+VCM!$B$7)^VCM!$B$5-VCM!$E$5)/1000000</f>
        <v>14.8139645952765</v>
      </c>
      <c r="E19" s="288" t="n">
        <f aca="false">(VCM!$E$6*(1+E$14)*(1-$A19)/(1+VCM!$B$7)^VCM!$B$5-VCM!$E$5)/1000000</f>
        <v>22.6776737492599</v>
      </c>
      <c r="F19" s="288" t="n">
        <f aca="false">(VCM!$E$6*(1+F$14)*(1-$A19)/(1+VCM!$B$7)^VCM!$B$5-VCM!$E$5)/1000000</f>
        <v>30.5413829032432</v>
      </c>
    </row>
    <row r="20" customFormat="false" ht="15" hidden="false" customHeight="false" outlineLevel="0" collapsed="false">
      <c r="A20" s="247" t="s">
        <v>791</v>
      </c>
      <c r="B20" s="279" t="n">
        <f aca="false">ROUND(D17-VCM!E11/1000000,6)</f>
        <v>0</v>
      </c>
    </row>
    <row r="22" customFormat="false" ht="15" hidden="false" customHeight="false" outlineLevel="0" collapsed="false">
      <c r="A22" s="198" t="s">
        <v>792</v>
      </c>
    </row>
    <row r="23" customFormat="false" ht="15" hidden="false" customHeight="false" outlineLevel="0" collapsed="false">
      <c r="A23" s="273" t="s">
        <v>793</v>
      </c>
      <c r="B23" s="462" t="n">
        <f aca="false">Assumption!$D$19+(-0.04)</f>
        <v>0.0988115315855466</v>
      </c>
      <c r="C23" s="462" t="n">
        <f aca="false">Assumption!$D$19+(-0.02)</f>
        <v>0.118811531585547</v>
      </c>
      <c r="D23" s="462" t="n">
        <f aca="false">Assumption!$D$19+(0)</f>
        <v>0.138811531585547</v>
      </c>
      <c r="E23" s="462" t="n">
        <f aca="false">Assumption!$D$19+(0.02)</f>
        <v>0.158811531585547</v>
      </c>
      <c r="F23" s="462" t="n">
        <f aca="false">Assumption!$D$19+(0.04)</f>
        <v>0.178811531585547</v>
      </c>
    </row>
    <row r="24" customFormat="false" ht="15" hidden="false" customHeight="false" outlineLevel="0" collapsed="false">
      <c r="A24" s="462" t="n">
        <f aca="false">Assumption!$D$18+(-0.02)</f>
        <v>0.116378331713872</v>
      </c>
      <c r="B24" s="288" t="n">
        <f aca="false">(SUMPRODUCT(DCF!$C$10:$G$10,1/(1+$A24)^DCF!$C$3:$G$3)+(DCF!$G$5*(1+Assumption!$D$16)*(1-Assumption!$D$16/B$23)/($A24-Assumption!$D$16))/(1+$A24)^DCF!$G$3+'Balance Sheet'!$G$7-'Balance Sheet'!$G$48-'Balance Sheet'!$G$61)/1000000</f>
        <v>38.2951839338821</v>
      </c>
      <c r="C24" s="288" t="n">
        <f aca="false">(SUMPRODUCT(DCF!$C$10:$G$10,1/(1+$A24)^DCF!$C$3:$G$3)+(DCF!$G$5*(1+Assumption!$D$16)*(1-Assumption!$D$16/C$23)/($A24-Assumption!$D$16))/(1+$A24)^DCF!$G$3+'Balance Sheet'!$G$7-'Balance Sheet'!$G$48-'Balance Sheet'!$G$61)/1000000</f>
        <v>50.5136094764786</v>
      </c>
      <c r="D24" s="288" t="n">
        <f aca="false">(SUMPRODUCT(DCF!$C$10:$G$10,1/(1+$A24)^DCF!$C$3:$G$3)+(DCF!$G$5*(1+Assumption!$D$16)*(1-Assumption!$D$16/D$23)/($A24-Assumption!$D$16))/(1+$A24)^DCF!$G$3+'Balance Sheet'!$G$7-'Balance Sheet'!$G$48-'Balance Sheet'!$G$61)/1000000</f>
        <v>59.2111674360915</v>
      </c>
      <c r="E24" s="288" t="n">
        <f aca="false">(SUMPRODUCT(DCF!$C$10:$G$10,1/(1+$A24)^DCF!$C$3:$G$3)+(DCF!$G$5*(1+Assumption!$D$16)*(1-Assumption!$D$16/E$23)/($A24-Assumption!$D$16))/(1+$A24)^DCF!$G$3+'Balance Sheet'!$G$7-'Balance Sheet'!$G$48-'Balance Sheet'!$G$61)/1000000</f>
        <v>65.7180638303185</v>
      </c>
      <c r="F24" s="288" t="n">
        <f aca="false">(SUMPRODUCT(DCF!$C$10:$G$10,1/(1+$A24)^DCF!$C$3:$G$3)+(DCF!$G$5*(1+Assumption!$D$16)*(1-Assumption!$D$16/F$23)/($A24-Assumption!$D$16))/(1+$A24)^DCF!$G$3+'Balance Sheet'!$G$7-'Balance Sheet'!$G$48-'Balance Sheet'!$G$61)/1000000</f>
        <v>70.7693725817287</v>
      </c>
    </row>
    <row r="25" customFormat="false" ht="15" hidden="false" customHeight="false" outlineLevel="0" collapsed="false">
      <c r="A25" s="462" t="n">
        <f aca="false">Assumption!$D$18+(-0.01)</f>
        <v>0.126378331713872</v>
      </c>
      <c r="B25" s="288" t="n">
        <f aca="false">(SUMPRODUCT(DCF!$C$10:$G$10,1/(1+$A25)^DCF!$C$3:$G$3)+(DCF!$G$5*(1+Assumption!$D$16)*(1-Assumption!$D$16/B$23)/($A25-Assumption!$D$16))/(1+$A25)^DCF!$G$3+'Balance Sheet'!$G$7-'Balance Sheet'!$G$48-'Balance Sheet'!$G$61)/1000000</f>
        <v>26.7462246196837</v>
      </c>
      <c r="C25" s="288" t="n">
        <f aca="false">(SUMPRODUCT(DCF!$C$10:$G$10,1/(1+$A25)^DCF!$C$3:$G$3)+(DCF!$G$5*(1+Assumption!$D$16)*(1-Assumption!$D$16/C$23)/($A25-Assumption!$D$16))/(1+$A25)^DCF!$G$3+'Balance Sheet'!$G$7-'Balance Sheet'!$G$48-'Balance Sheet'!$G$61)/1000000</f>
        <v>36.9018569043305</v>
      </c>
      <c r="D25" s="288" t="n">
        <f aca="false">(SUMPRODUCT(DCF!$C$10:$G$10,1/(1+$A25)^DCF!$C$3:$G$3)+(DCF!$G$5*(1+Assumption!$D$16)*(1-Assumption!$D$16/D$23)/($A25-Assumption!$D$16))/(1+$A25)^DCF!$G$3+'Balance Sheet'!$G$7-'Balance Sheet'!$G$48-'Balance Sheet'!$G$61)/1000000</f>
        <v>44.1310371374378</v>
      </c>
      <c r="E25" s="288" t="n">
        <f aca="false">(SUMPRODUCT(DCF!$C$10:$G$10,1/(1+$A25)^DCF!$C$3:$G$3)+(DCF!$G$5*(1+Assumption!$D$16)*(1-Assumption!$D$16/E$23)/($A25-Assumption!$D$16))/(1+$A25)^DCF!$G$3+'Balance Sheet'!$G$7-'Balance Sheet'!$G$48-'Balance Sheet'!$G$61)/1000000</f>
        <v>49.5393973933225</v>
      </c>
      <c r="F25" s="288" t="n">
        <f aca="false">(SUMPRODUCT(DCF!$C$10:$G$10,1/(1+$A25)^DCF!$C$3:$G$3)+(DCF!$G$5*(1+Assumption!$D$16)*(1-Assumption!$D$16/F$23)/($A25-Assumption!$D$16))/(1+$A25)^DCF!$G$3+'Balance Sheet'!$G$7-'Balance Sheet'!$G$48-'Balance Sheet'!$G$61)/1000000</f>
        <v>53.7379116828026</v>
      </c>
    </row>
    <row r="26" customFormat="false" ht="15" hidden="false" customHeight="false" outlineLevel="0" collapsed="false">
      <c r="A26" s="462" t="n">
        <f aca="false">Assumption!$D$18+(0)</f>
        <v>0.136378331713872</v>
      </c>
      <c r="B26" s="288" t="n">
        <f aca="false">(SUMPRODUCT(DCF!$C$10:$G$10,1/(1+$A26)^DCF!$C$3:$G$3)+(DCF!$G$5*(1+Assumption!$D$16)*(1-Assumption!$D$16/B$23)/($A26-Assumption!$D$16))/(1+$A26)^DCF!$G$3+'Balance Sheet'!$G$7-'Balance Sheet'!$G$48-'Balance Sheet'!$G$61)/1000000</f>
        <v>18.0861659289313</v>
      </c>
      <c r="C26" s="288" t="n">
        <f aca="false">(SUMPRODUCT(DCF!$C$10:$G$10,1/(1+$A26)^DCF!$C$3:$G$3)+(DCF!$G$5*(1+Assumption!$D$16)*(1-Assumption!$D$16/C$23)/($A26-Assumption!$D$16))/(1+$A26)^DCF!$G$3+'Balance Sheet'!$G$7-'Balance Sheet'!$G$48-'Balance Sheet'!$G$61)/1000000</f>
        <v>26.6778646561547</v>
      </c>
      <c r="D26" s="463" t="n">
        <f aca="false">(SUMPRODUCT(DCF!$C$10:$G$10,1/(1+$A26)^DCF!$C$3:$G$3)+(DCF!$G$5*(1+Assumption!$D$16)*(1-Assumption!$D$16/D$23)/($A26-Assumption!$D$16))/(1+$A26)^DCF!$G$3+'Balance Sheet'!$G$7-'Balance Sheet'!$G$48-'Balance Sheet'!$G$61)/1000000</f>
        <v>32.7937752037977</v>
      </c>
      <c r="E26" s="288" t="n">
        <f aca="false">(SUMPRODUCT(DCF!$C$10:$G$10,1/(1+$A26)^DCF!$C$3:$G$3)+(DCF!$G$5*(1+Assumption!$D$16)*(1-Assumption!$D$16/E$23)/($A26-Assumption!$D$16))/(1+$A26)^DCF!$G$3+'Balance Sheet'!$G$7-'Balance Sheet'!$G$48-'Balance Sheet'!$G$61)/1000000</f>
        <v>37.3692659880689</v>
      </c>
      <c r="F26" s="288" t="n">
        <f aca="false">(SUMPRODUCT(DCF!$C$10:$G$10,1/(1+$A26)^DCF!$C$3:$G$3)+(DCF!$G$5*(1+Assumption!$D$16)*(1-Assumption!$D$16/F$23)/($A26-Assumption!$D$16))/(1+$A26)^DCF!$G$3+'Balance Sheet'!$G$7-'Balance Sheet'!$G$48-'Balance Sheet'!$G$61)/1000000</f>
        <v>40.9212230564328</v>
      </c>
    </row>
    <row r="27" customFormat="false" ht="15" hidden="false" customHeight="false" outlineLevel="0" collapsed="false">
      <c r="A27" s="462" t="n">
        <f aca="false">Assumption!$D$18+(0.01)</f>
        <v>0.146378331713872</v>
      </c>
      <c r="B27" s="288" t="n">
        <f aca="false">(SUMPRODUCT(DCF!$C$10:$G$10,1/(1+$A27)^DCF!$C$3:$G$3)+(DCF!$G$5*(1+Assumption!$D$16)*(1-Assumption!$D$16/B$23)/($A27-Assumption!$D$16))/(1+$A27)^DCF!$G$3+'Balance Sheet'!$G$7-'Balance Sheet'!$G$48-'Balance Sheet'!$G$61)/1000000</f>
        <v>11.40766124909</v>
      </c>
      <c r="C27" s="288" t="n">
        <f aca="false">(SUMPRODUCT(DCF!$C$10:$G$10,1/(1+$A27)^DCF!$C$3:$G$3)+(DCF!$G$5*(1+Assumption!$D$16)*(1-Assumption!$D$16/C$23)/($A27-Assumption!$D$16))/(1+$A27)^DCF!$G$3+'Balance Sheet'!$G$7-'Balance Sheet'!$G$48-'Balance Sheet'!$G$61)/1000000</f>
        <v>18.7778621190711</v>
      </c>
      <c r="D27" s="288" t="n">
        <f aca="false">(SUMPRODUCT(DCF!$C$10:$G$10,1/(1+$A27)^DCF!$C$3:$G$3)+(DCF!$G$5*(1+Assumption!$D$16)*(1-Assumption!$D$16/D$23)/($A27-Assumption!$D$16))/(1+$A27)^DCF!$G$3+'Balance Sheet'!$G$7-'Balance Sheet'!$G$48-'Balance Sheet'!$G$61)/1000000</f>
        <v>24.0242622397062</v>
      </c>
      <c r="E27" s="288" t="n">
        <f aca="false">(SUMPRODUCT(DCF!$C$10:$G$10,1/(1+$A27)^DCF!$C$3:$G$3)+(DCF!$G$5*(1+Assumption!$D$16)*(1-Assumption!$D$16/E$23)/($A27-Assumption!$D$16))/(1+$A27)^DCF!$G$3+'Balance Sheet'!$G$7-'Balance Sheet'!$G$48-'Balance Sheet'!$G$61)/1000000</f>
        <v>27.9492469522142</v>
      </c>
      <c r="F27" s="288" t="n">
        <f aca="false">(SUMPRODUCT(DCF!$C$10:$G$10,1/(1+$A27)^DCF!$C$3:$G$3)+(DCF!$G$5*(1+Assumption!$D$16)*(1-Assumption!$D$16/F$23)/($A27-Assumption!$D$16))/(1+$A27)^DCF!$G$3+'Balance Sheet'!$G$7-'Balance Sheet'!$G$48-'Balance Sheet'!$G$61)/1000000</f>
        <v>30.9962156491544</v>
      </c>
    </row>
    <row r="28" customFormat="false" ht="15" hidden="false" customHeight="false" outlineLevel="0" collapsed="false">
      <c r="A28" s="462" t="n">
        <f aca="false">Assumption!$D$18+(0.02)</f>
        <v>0.156378331713872</v>
      </c>
      <c r="B28" s="288" t="n">
        <f aca="false">(SUMPRODUCT(DCF!$C$10:$G$10,1/(1+$A28)^DCF!$C$3:$G$3)+(DCF!$G$5*(1+Assumption!$D$16)*(1-Assumption!$D$16/B$23)/($A28-Assumption!$D$16))/(1+$A28)^DCF!$G$3+'Balance Sheet'!$G$7-'Balance Sheet'!$G$48-'Balance Sheet'!$G$61)/1000000</f>
        <v>6.14490672490059</v>
      </c>
      <c r="C28" s="288" t="n">
        <f aca="false">(SUMPRODUCT(DCF!$C$10:$G$10,1/(1+$A28)^DCF!$C$3:$G$3)+(DCF!$G$5*(1+Assumption!$D$16)*(1-Assumption!$D$16/C$23)/($A28-Assumption!$D$16))/(1+$A28)^DCF!$G$3+'Balance Sheet'!$G$7-'Balance Sheet'!$G$48-'Balance Sheet'!$G$61)/1000000</f>
        <v>12.5385097952462</v>
      </c>
      <c r="D28" s="288" t="n">
        <f aca="false">(SUMPRODUCT(DCF!$C$10:$G$10,1/(1+$A28)^DCF!$C$3:$G$3)+(DCF!$G$5*(1+Assumption!$D$16)*(1-Assumption!$D$16/D$23)/($A28-Assumption!$D$16))/(1+$A28)^DCF!$G$3+'Balance Sheet'!$G$7-'Balance Sheet'!$G$48-'Balance Sheet'!$G$61)/1000000</f>
        <v>17.0897290240432</v>
      </c>
      <c r="E28" s="288" t="n">
        <f aca="false">(SUMPRODUCT(DCF!$C$10:$G$10,1/(1+$A28)^DCF!$C$3:$G$3)+(DCF!$G$5*(1+Assumption!$D$16)*(1-Assumption!$D$16/E$23)/($A28-Assumption!$D$16))/(1+$A28)^DCF!$G$3+'Balance Sheet'!$G$7-'Balance Sheet'!$G$48-'Balance Sheet'!$G$61)/1000000</f>
        <v>20.4946286667601</v>
      </c>
      <c r="F28" s="288" t="n">
        <f aca="false">(SUMPRODUCT(DCF!$C$10:$G$10,1/(1+$A28)^DCF!$C$3:$G$3)+(DCF!$G$5*(1+Assumption!$D$16)*(1-Assumption!$D$16/F$23)/($A28-Assumption!$D$16))/(1+$A28)^DCF!$G$3+'Balance Sheet'!$G$7-'Balance Sheet'!$G$48-'Balance Sheet'!$G$61)/1000000</f>
        <v>23.1378549179401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0" width="62"/>
    <col collapsed="false" customWidth="true" hidden="false" outlineLevel="0" max="7" min="2" style="0" width="14"/>
  </cols>
  <sheetData>
    <row r="1" customFormat="false" ht="15.75" hidden="false" customHeight="true" outlineLevel="0" collapsed="false">
      <c r="A1" s="430" t="s">
        <v>794</v>
      </c>
    </row>
    <row r="3" customFormat="false" ht="15" hidden="false" customHeight="false" outlineLevel="0" collapsed="false">
      <c r="A3" s="273" t="s">
        <v>795</v>
      </c>
      <c r="B3" s="273" t="s">
        <v>290</v>
      </c>
      <c r="C3" s="273" t="s">
        <v>291</v>
      </c>
      <c r="D3" s="273" t="s">
        <v>292</v>
      </c>
      <c r="E3" s="273" t="s">
        <v>293</v>
      </c>
      <c r="F3" s="273" t="s">
        <v>294</v>
      </c>
      <c r="G3" s="273" t="s">
        <v>796</v>
      </c>
    </row>
    <row r="4" customFormat="false" ht="15" hidden="false" customHeight="false" outlineLevel="0" collapsed="false">
      <c r="A4" s="234" t="s">
        <v>797</v>
      </c>
      <c r="B4" s="281" t="n">
        <f aca="false">ROUND('Balance Sheet'!H34-'Balance Sheet'!H78,0)</f>
        <v>0</v>
      </c>
      <c r="C4" s="281" t="n">
        <f aca="false">ROUND('Balance Sheet'!I34-'Balance Sheet'!I78,0)</f>
        <v>0</v>
      </c>
      <c r="D4" s="281" t="n">
        <f aca="false">ROUND('Balance Sheet'!J34-'Balance Sheet'!J78,0)</f>
        <v>0</v>
      </c>
      <c r="E4" s="281" t="n">
        <f aca="false">ROUND('Balance Sheet'!K34-'Balance Sheet'!K78,0)</f>
        <v>0</v>
      </c>
      <c r="F4" s="281" t="n">
        <f aca="false">ROUND('Balance Sheet'!L34-'Balance Sheet'!L78,0)</f>
        <v>0</v>
      </c>
      <c r="G4" s="198" t="str">
        <f aca="false">IF(SUMPRODUCT(ABS(B4:F4))=0,"OK","LỖI")</f>
        <v>OK</v>
      </c>
    </row>
    <row r="5" customFormat="false" ht="15" hidden="false" customHeight="false" outlineLevel="0" collapsed="false">
      <c r="A5" s="234" t="s">
        <v>798</v>
      </c>
      <c r="B5" s="281" t="n">
        <f aca="false">ROUND('Cash Flow Statement'!F36-'Balance Sheet'!H7,0)</f>
        <v>0</v>
      </c>
      <c r="C5" s="281" t="n">
        <f aca="false">ROUND('Cash Flow Statement'!G36-'Balance Sheet'!I7,0)</f>
        <v>0</v>
      </c>
      <c r="D5" s="281" t="n">
        <f aca="false">ROUND('Cash Flow Statement'!H36-'Balance Sheet'!J7,0)</f>
        <v>0</v>
      </c>
      <c r="E5" s="281" t="n">
        <f aca="false">ROUND('Cash Flow Statement'!I36-'Balance Sheet'!K7,0)</f>
        <v>0</v>
      </c>
      <c r="F5" s="281" t="n">
        <f aca="false">ROUND('Cash Flow Statement'!J36-'Balance Sheet'!L7,0)</f>
        <v>0</v>
      </c>
      <c r="G5" s="198" t="str">
        <f aca="false">IF(SUMPRODUCT(ABS(B5:F5))=0,"OK","LỖI")</f>
        <v>OK</v>
      </c>
    </row>
    <row r="6" customFormat="false" ht="15" hidden="false" customHeight="false" outlineLevel="0" collapsed="false">
      <c r="A6" s="234" t="s">
        <v>799</v>
      </c>
      <c r="B6" s="281" t="n">
        <f aca="false">ROUND('Income Statement'!E80-'Cash Flow Statement'!F6,0)</f>
        <v>0</v>
      </c>
      <c r="C6" s="281" t="n">
        <f aca="false">ROUND('Income Statement'!F80-'Cash Flow Statement'!G6,0)</f>
        <v>0</v>
      </c>
      <c r="D6" s="281" t="n">
        <f aca="false">ROUND('Income Statement'!G80-'Cash Flow Statement'!H6,0)</f>
        <v>0</v>
      </c>
      <c r="E6" s="281" t="n">
        <f aca="false">ROUND('Income Statement'!H80-'Cash Flow Statement'!I6,0)</f>
        <v>0</v>
      </c>
      <c r="F6" s="281" t="n">
        <f aca="false">ROUND('Income Statement'!I80-'Cash Flow Statement'!J6,0)</f>
        <v>0</v>
      </c>
      <c r="G6" s="198" t="str">
        <f aca="false">IF(SUMPRODUCT(ABS(B6:F6))=0,"OK","LỖI")</f>
        <v>OK</v>
      </c>
    </row>
    <row r="7" customFormat="false" ht="15" hidden="false" customHeight="false" outlineLevel="0" collapsed="false">
      <c r="A7" s="234" t="s">
        <v>800</v>
      </c>
      <c r="B7" s="281" t="n">
        <f aca="false">ROUND('Pro Forma'!C4-'Income Statement'!E13,0)</f>
        <v>0</v>
      </c>
      <c r="C7" s="281" t="n">
        <f aca="false">ROUND('Pro Forma'!D4-'Income Statement'!F13,0)</f>
        <v>0</v>
      </c>
      <c r="D7" s="281" t="n">
        <f aca="false">ROUND('Pro Forma'!E4-'Income Statement'!G13,0)</f>
        <v>0</v>
      </c>
      <c r="E7" s="281" t="n">
        <f aca="false">ROUND('Pro Forma'!F4-'Income Statement'!H13,0)</f>
        <v>0</v>
      </c>
      <c r="F7" s="281" t="n">
        <f aca="false">ROUND('Pro Forma'!G4-'Income Statement'!I13,0)</f>
        <v>0</v>
      </c>
      <c r="G7" s="198" t="str">
        <f aca="false">IF(SUMPRODUCT(ABS(B7:F7))=0,"OK","LỖI")</f>
        <v>OK</v>
      </c>
    </row>
    <row r="8" customFormat="false" ht="15" hidden="false" customHeight="false" outlineLevel="0" collapsed="false">
      <c r="A8" s="234" t="s">
        <v>801</v>
      </c>
      <c r="B8" s="281" t="n">
        <f aca="false">ROUND('Pro Forma'!C14-'Income Statement'!E80,0)</f>
        <v>0</v>
      </c>
      <c r="C8" s="281" t="n">
        <f aca="false">ROUND('Pro Forma'!D14-'Income Statement'!F80,0)</f>
        <v>0</v>
      </c>
      <c r="D8" s="281" t="n">
        <f aca="false">ROUND('Pro Forma'!E14-'Income Statement'!G80,0)</f>
        <v>0</v>
      </c>
      <c r="E8" s="281" t="n">
        <f aca="false">ROUND('Pro Forma'!F14-'Income Statement'!H80,0)</f>
        <v>0</v>
      </c>
      <c r="F8" s="281" t="n">
        <f aca="false">ROUND('Pro Forma'!G14-'Income Statement'!I80,0)</f>
        <v>0</v>
      </c>
      <c r="G8" s="198" t="str">
        <f aca="false">IF(SUMPRODUCT(ABS(B8:F8))=0,"OK","LỖI")</f>
        <v>OK</v>
      </c>
    </row>
    <row r="9" customFormat="false" ht="15" hidden="false" customHeight="false" outlineLevel="0" collapsed="false">
      <c r="A9" s="234" t="s">
        <v>802</v>
      </c>
      <c r="B9" s="281" t="n">
        <f aca="false">ROUND('Pro Forma'!C36-Drivers!F114,0)</f>
        <v>0</v>
      </c>
      <c r="C9" s="281" t="n">
        <f aca="false">ROUND('Pro Forma'!D36-Drivers!G114,0)</f>
        <v>0</v>
      </c>
      <c r="D9" s="281" t="n">
        <f aca="false">ROUND('Pro Forma'!E36-Drivers!H114,0)</f>
        <v>0</v>
      </c>
      <c r="E9" s="281" t="n">
        <f aca="false">ROUND('Pro Forma'!F36-Drivers!I114,0)</f>
        <v>0</v>
      </c>
      <c r="F9" s="281" t="n">
        <f aca="false">ROUND('Pro Forma'!G36-Drivers!J114,0)</f>
        <v>0</v>
      </c>
      <c r="G9" s="198" t="str">
        <f aca="false">IF(SUMPRODUCT(ABS(B9:F9))=0,"OK","LỖI")</f>
        <v>OK</v>
      </c>
    </row>
    <row r="10" customFormat="false" ht="15" hidden="false" customHeight="false" outlineLevel="0" collapsed="false">
      <c r="A10" s="234" t="s">
        <v>803</v>
      </c>
      <c r="B10" s="281" t="n">
        <f aca="false">ROUND('Pro Forma'!C9-'Income Statement'!E71,0)</f>
        <v>0</v>
      </c>
      <c r="C10" s="281" t="n">
        <f aca="false">ROUND('Pro Forma'!D9-'Income Statement'!F71,0)</f>
        <v>0</v>
      </c>
      <c r="D10" s="281" t="n">
        <f aca="false">ROUND('Pro Forma'!E9-'Income Statement'!G71,0)</f>
        <v>0</v>
      </c>
      <c r="E10" s="281" t="n">
        <f aca="false">ROUND('Pro Forma'!F9-'Income Statement'!H71,0)</f>
        <v>0</v>
      </c>
      <c r="F10" s="281" t="n">
        <f aca="false">ROUND('Pro Forma'!G9-'Income Statement'!I71,0)</f>
        <v>0</v>
      </c>
      <c r="G10" s="198" t="str">
        <f aca="false">IF(SUMPRODUCT(ABS(B10:F10))=0,"OK","LỖI")</f>
        <v>OK</v>
      </c>
    </row>
    <row r="11" customFormat="false" ht="15" hidden="false" customHeight="false" outlineLevel="0" collapsed="false">
      <c r="A11" s="234" t="s">
        <v>804</v>
      </c>
      <c r="B11" s="281" t="n">
        <f aca="false">ROUND(Drivers!F95+'Cash Flow Statement'!F22,0)</f>
        <v>0</v>
      </c>
      <c r="C11" s="281" t="n">
        <f aca="false">ROUND(Drivers!G95+'Cash Flow Statement'!G22,0)</f>
        <v>0</v>
      </c>
      <c r="D11" s="281" t="n">
        <f aca="false">ROUND(Drivers!H95+'Cash Flow Statement'!H22,0)</f>
        <v>0</v>
      </c>
      <c r="E11" s="281" t="n">
        <f aca="false">ROUND(Drivers!I95+'Cash Flow Statement'!I22,0)</f>
        <v>0</v>
      </c>
      <c r="F11" s="281" t="n">
        <f aca="false">ROUND(Drivers!J95+'Cash Flow Statement'!J22,0)</f>
        <v>0</v>
      </c>
      <c r="G11" s="198" t="str">
        <f aca="false">IF(SUMPRODUCT(ABS(B11:F11))=0,"OK","LỖI")</f>
        <v>OK</v>
      </c>
    </row>
    <row r="12" customFormat="false" ht="15" hidden="false" customHeight="false" outlineLevel="0" collapsed="false">
      <c r="A12" s="234" t="s">
        <v>805</v>
      </c>
      <c r="B12" s="281" t="n">
        <f aca="false">ROUND(MIN(0,'Balance Sheet'!H7-Drivers!F120),0)</f>
        <v>0</v>
      </c>
      <c r="C12" s="281" t="n">
        <f aca="false">ROUND(MIN(0,'Balance Sheet'!I7-Drivers!G120),0)</f>
        <v>0</v>
      </c>
      <c r="D12" s="281" t="n">
        <f aca="false">ROUND(MIN(0,'Balance Sheet'!J7-Drivers!H120),0)</f>
        <v>0</v>
      </c>
      <c r="E12" s="281" t="n">
        <f aca="false">ROUND(MIN(0,'Balance Sheet'!K7-Drivers!I120),0)</f>
        <v>0</v>
      </c>
      <c r="F12" s="281" t="n">
        <f aca="false">ROUND(MIN(0,'Balance Sheet'!L7-Drivers!J120),0)</f>
        <v>0</v>
      </c>
      <c r="G12" s="198" t="str">
        <f aca="false">IF(SUMPRODUCT(ABS(B12:F12))=0,"OK","LỖI")</f>
        <v>OK</v>
      </c>
    </row>
    <row r="13" customFormat="false" ht="15" hidden="false" customHeight="false" outlineLevel="0" collapsed="false">
      <c r="A13" s="234" t="s">
        <v>806</v>
      </c>
      <c r="B13" s="239" t="n">
        <f aca="false">INDEX(Drivers!F93:J93,Drivers!C4-2025)</f>
        <v>0.65</v>
      </c>
      <c r="G13" s="198" t="str">
        <f aca="false">IF(ROUND(B13,4)=Drivers!C158,"OK","LỖI")</f>
        <v>OK</v>
      </c>
    </row>
    <row r="14" customFormat="false" ht="15" hidden="false" customHeight="false" outlineLevel="0" collapsed="false">
      <c r="A14" s="234" t="s">
        <v>807</v>
      </c>
      <c r="B14" s="279" t="n">
        <f aca="false">Sensitivity!B11</f>
        <v>0</v>
      </c>
      <c r="C14" s="279" t="n">
        <f aca="false">Sensitivity!B20</f>
        <v>0</v>
      </c>
      <c r="G14" s="198" t="str">
        <f aca="false">IF(AND(B14=0,C14=0),"OK","LỖI")</f>
        <v>OK</v>
      </c>
    </row>
    <row r="15" customFormat="false" ht="15" hidden="false" customHeight="false" outlineLevel="0" collapsed="false">
      <c r="A15" s="234" t="s">
        <v>808</v>
      </c>
      <c r="G15" s="198" t="str">
        <f aca="false">IF(Assumption!D16&lt;Assumption!D18,"OK","LỖI")</f>
        <v>OK</v>
      </c>
    </row>
    <row r="17" customFormat="false" ht="15" hidden="false" customHeight="false" outlineLevel="0" collapsed="false">
      <c r="A17" s="198" t="s">
        <v>809</v>
      </c>
      <c r="G17" s="198" t="str">
        <f aca="false">IF(COUNTIF(G4:G15,"LỖI")=0,"TẤT CẢ OK","CÓ LỖI")</f>
        <v>TẤT CẢ 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04040"/>
    <pageSetUpPr fitToPage="false"/>
  </sheetPr>
  <dimension ref="A1:L8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6640625" defaultRowHeight="15" zeroHeight="false" outlineLevelRow="0" outlineLevelCol="0"/>
  <cols>
    <col collapsed="false" customWidth="true" hidden="false" outlineLevel="0" max="1" min="1" style="0" width="50"/>
    <col collapsed="false" customWidth="true" hidden="false" outlineLevel="0" max="12" min="2" style="0" width="12"/>
  </cols>
  <sheetData>
    <row r="1" customFormat="false" ht="15" hidden="false" customHeight="false" outlineLevel="0" collapsed="false">
      <c r="A1" s="466" t="s">
        <v>810</v>
      </c>
    </row>
    <row r="2" customFormat="false" ht="15" hidden="false" customHeight="false" outlineLevel="0" collapsed="false">
      <c r="A2" s="222" t="s">
        <v>811</v>
      </c>
    </row>
    <row r="4" customFormat="false" ht="15" hidden="false" customHeight="false" outlineLevel="0" collapsed="false">
      <c r="A4" s="467" t="s">
        <v>812</v>
      </c>
      <c r="B4" s="467" t="s">
        <v>813</v>
      </c>
      <c r="C4" s="467" t="s">
        <v>814</v>
      </c>
      <c r="D4" s="467" t="s">
        <v>815</v>
      </c>
      <c r="E4" s="467" t="s">
        <v>816</v>
      </c>
    </row>
    <row r="5" customFormat="false" ht="15" hidden="false" customHeight="false" outlineLevel="0" collapsed="false">
      <c r="A5" s="468" t="s">
        <v>817</v>
      </c>
      <c r="B5" s="468" t="s">
        <v>818</v>
      </c>
      <c r="C5" s="468" t="s">
        <v>819</v>
      </c>
      <c r="D5" s="468" t="s">
        <v>9</v>
      </c>
      <c r="E5" s="468" t="s">
        <v>820</v>
      </c>
    </row>
    <row r="6" customFormat="false" ht="15" hidden="false" customHeight="false" outlineLevel="0" collapsed="false">
      <c r="A6" s="468" t="s">
        <v>821</v>
      </c>
      <c r="B6" s="468" t="s">
        <v>822</v>
      </c>
      <c r="C6" s="468" t="s">
        <v>823</v>
      </c>
      <c r="D6" s="468" t="s">
        <v>824</v>
      </c>
      <c r="E6" s="468" t="s">
        <v>820</v>
      </c>
    </row>
    <row r="7" customFormat="false" ht="15" hidden="false" customHeight="false" outlineLevel="0" collapsed="false">
      <c r="A7" s="468" t="s">
        <v>825</v>
      </c>
      <c r="B7" s="468" t="s">
        <v>826</v>
      </c>
      <c r="C7" s="468" t="s">
        <v>827</v>
      </c>
      <c r="D7" s="468" t="s">
        <v>828</v>
      </c>
      <c r="E7" s="468" t="s">
        <v>820</v>
      </c>
    </row>
    <row r="8" customFormat="false" ht="15" hidden="false" customHeight="false" outlineLevel="0" collapsed="false">
      <c r="A8" s="468" t="s">
        <v>829</v>
      </c>
      <c r="B8" s="468" t="s">
        <v>830</v>
      </c>
      <c r="C8" s="468" t="s">
        <v>831</v>
      </c>
      <c r="D8" s="468" t="s">
        <v>832</v>
      </c>
      <c r="E8" s="468" t="s">
        <v>833</v>
      </c>
    </row>
    <row r="9" customFormat="false" ht="15" hidden="false" customHeight="false" outlineLevel="0" collapsed="false">
      <c r="A9" s="468" t="s">
        <v>834</v>
      </c>
      <c r="B9" s="468" t="s">
        <v>835</v>
      </c>
      <c r="C9" s="468" t="s">
        <v>836</v>
      </c>
      <c r="D9" s="468" t="s">
        <v>837</v>
      </c>
      <c r="E9" s="468" t="s">
        <v>833</v>
      </c>
    </row>
    <row r="10" customFormat="false" ht="15" hidden="false" customHeight="false" outlineLevel="0" collapsed="false">
      <c r="A10" s="468" t="s">
        <v>838</v>
      </c>
      <c r="B10" s="468" t="s">
        <v>839</v>
      </c>
      <c r="C10" s="468" t="s">
        <v>840</v>
      </c>
      <c r="D10" s="468" t="s">
        <v>832</v>
      </c>
      <c r="E10" s="468" t="s">
        <v>833</v>
      </c>
    </row>
    <row r="11" customFormat="false" ht="15" hidden="false" customHeight="false" outlineLevel="0" collapsed="false">
      <c r="A11" s="468" t="s">
        <v>841</v>
      </c>
      <c r="B11" s="468" t="s">
        <v>842</v>
      </c>
      <c r="C11" s="468" t="s">
        <v>843</v>
      </c>
      <c r="D11" s="468" t="s">
        <v>9</v>
      </c>
      <c r="E11" s="468" t="s">
        <v>833</v>
      </c>
    </row>
    <row r="12" customFormat="false" ht="15" hidden="false" customHeight="false" outlineLevel="0" collapsed="false">
      <c r="A12" s="468" t="s">
        <v>844</v>
      </c>
      <c r="B12" s="468" t="s">
        <v>845</v>
      </c>
      <c r="C12" s="468" t="s">
        <v>846</v>
      </c>
      <c r="D12" s="468" t="s">
        <v>847</v>
      </c>
      <c r="E12" s="468" t="s">
        <v>833</v>
      </c>
    </row>
    <row r="13" customFormat="false" ht="15" hidden="false" customHeight="false" outlineLevel="0" collapsed="false">
      <c r="A13" s="468" t="s">
        <v>848</v>
      </c>
      <c r="B13" s="468" t="s">
        <v>849</v>
      </c>
      <c r="C13" s="468" t="s">
        <v>850</v>
      </c>
      <c r="D13" s="468" t="s">
        <v>40</v>
      </c>
      <c r="E13" s="468" t="s">
        <v>833</v>
      </c>
    </row>
    <row r="14" customFormat="false" ht="15" hidden="false" customHeight="false" outlineLevel="0" collapsed="false">
      <c r="A14" s="468" t="s">
        <v>851</v>
      </c>
      <c r="B14" s="468" t="s">
        <v>852</v>
      </c>
      <c r="C14" s="468" t="s">
        <v>853</v>
      </c>
      <c r="D14" s="468" t="s">
        <v>9</v>
      </c>
      <c r="E14" s="468" t="s">
        <v>833</v>
      </c>
    </row>
    <row r="15" customFormat="false" ht="15" hidden="false" customHeight="false" outlineLevel="0" collapsed="false">
      <c r="A15" s="468" t="s">
        <v>854</v>
      </c>
      <c r="B15" s="468" t="s">
        <v>855</v>
      </c>
      <c r="C15" s="468" t="s">
        <v>836</v>
      </c>
      <c r="D15" s="468" t="s">
        <v>837</v>
      </c>
      <c r="E15" s="468" t="s">
        <v>833</v>
      </c>
    </row>
    <row r="16" customFormat="false" ht="15" hidden="false" customHeight="false" outlineLevel="0" collapsed="false">
      <c r="A16" s="468" t="s">
        <v>856</v>
      </c>
      <c r="B16" s="468" t="s">
        <v>857</v>
      </c>
      <c r="C16" s="468" t="s">
        <v>858</v>
      </c>
      <c r="D16" s="468" t="s">
        <v>40</v>
      </c>
      <c r="E16" s="468" t="s">
        <v>859</v>
      </c>
    </row>
    <row r="17" customFormat="false" ht="15" hidden="false" customHeight="false" outlineLevel="0" collapsed="false">
      <c r="A17" s="468" t="s">
        <v>860</v>
      </c>
      <c r="B17" s="468" t="s">
        <v>861</v>
      </c>
      <c r="C17" s="468" t="s">
        <v>862</v>
      </c>
      <c r="D17" s="468" t="s">
        <v>847</v>
      </c>
      <c r="E17" s="468" t="s">
        <v>859</v>
      </c>
    </row>
    <row r="18" customFormat="false" ht="15" hidden="false" customHeight="false" outlineLevel="0" collapsed="false">
      <c r="A18" s="468" t="s">
        <v>863</v>
      </c>
      <c r="B18" s="468" t="s">
        <v>864</v>
      </c>
      <c r="C18" s="468" t="s">
        <v>865</v>
      </c>
      <c r="D18" s="468" t="s">
        <v>866</v>
      </c>
      <c r="E18" s="468" t="s">
        <v>859</v>
      </c>
    </row>
    <row r="19" customFormat="false" ht="15" hidden="false" customHeight="false" outlineLevel="0" collapsed="false">
      <c r="A19" s="468" t="s">
        <v>867</v>
      </c>
      <c r="B19" s="468" t="s">
        <v>868</v>
      </c>
      <c r="C19" s="468" t="s">
        <v>869</v>
      </c>
      <c r="D19" s="468" t="s">
        <v>870</v>
      </c>
      <c r="E19" s="468" t="s">
        <v>859</v>
      </c>
    </row>
    <row r="20" customFormat="false" ht="15" hidden="false" customHeight="false" outlineLevel="0" collapsed="false">
      <c r="A20" s="468" t="s">
        <v>871</v>
      </c>
      <c r="B20" s="468" t="s">
        <v>872</v>
      </c>
      <c r="C20" s="468" t="s">
        <v>873</v>
      </c>
      <c r="D20" s="468" t="s">
        <v>9</v>
      </c>
      <c r="E20" s="468" t="s">
        <v>859</v>
      </c>
    </row>
    <row r="21" customFormat="false" ht="15" hidden="false" customHeight="false" outlineLevel="0" collapsed="false">
      <c r="A21" s="468" t="s">
        <v>874</v>
      </c>
      <c r="B21" s="468" t="s">
        <v>875</v>
      </c>
      <c r="C21" s="468" t="s">
        <v>876</v>
      </c>
      <c r="D21" s="468" t="s">
        <v>112</v>
      </c>
      <c r="E21" s="468" t="s">
        <v>859</v>
      </c>
    </row>
    <row r="22" customFormat="false" ht="15" hidden="false" customHeight="false" outlineLevel="0" collapsed="false">
      <c r="A22" s="468" t="s">
        <v>877</v>
      </c>
      <c r="B22" s="468" t="s">
        <v>878</v>
      </c>
      <c r="C22" s="468" t="s">
        <v>879</v>
      </c>
      <c r="D22" s="468" t="s">
        <v>880</v>
      </c>
      <c r="E22" s="468" t="s">
        <v>859</v>
      </c>
    </row>
    <row r="23" customFormat="false" ht="15" hidden="false" customHeight="false" outlineLevel="0" collapsed="false">
      <c r="A23" s="468" t="s">
        <v>881</v>
      </c>
      <c r="B23" s="468" t="s">
        <v>882</v>
      </c>
      <c r="C23" s="468" t="s">
        <v>883</v>
      </c>
      <c r="D23" s="468" t="s">
        <v>112</v>
      </c>
      <c r="E23" s="468" t="s">
        <v>859</v>
      </c>
    </row>
    <row r="24" customFormat="false" ht="15" hidden="false" customHeight="false" outlineLevel="0" collapsed="false">
      <c r="A24" s="468" t="s">
        <v>884</v>
      </c>
      <c r="B24" s="468" t="s">
        <v>885</v>
      </c>
      <c r="C24" s="468" t="s">
        <v>886</v>
      </c>
      <c r="D24" s="468" t="s">
        <v>887</v>
      </c>
      <c r="E24" s="468" t="s">
        <v>859</v>
      </c>
    </row>
    <row r="25" customFormat="false" ht="15" hidden="false" customHeight="false" outlineLevel="0" collapsed="false">
      <c r="A25" s="468" t="s">
        <v>888</v>
      </c>
      <c r="B25" s="468" t="s">
        <v>889</v>
      </c>
      <c r="C25" s="468" t="s">
        <v>890</v>
      </c>
      <c r="D25" s="468" t="s">
        <v>112</v>
      </c>
      <c r="E25" s="468" t="s">
        <v>859</v>
      </c>
    </row>
    <row r="26" customFormat="false" ht="15" hidden="false" customHeight="false" outlineLevel="0" collapsed="false">
      <c r="A26" s="468" t="s">
        <v>891</v>
      </c>
      <c r="B26" s="468" t="s">
        <v>892</v>
      </c>
      <c r="C26" s="468" t="s">
        <v>836</v>
      </c>
      <c r="D26" s="468" t="s">
        <v>837</v>
      </c>
      <c r="E26" s="468" t="s">
        <v>859</v>
      </c>
    </row>
    <row r="27" customFormat="false" ht="15" hidden="false" customHeight="false" outlineLevel="0" collapsed="false">
      <c r="A27" s="468" t="s">
        <v>893</v>
      </c>
      <c r="B27" s="468" t="s">
        <v>894</v>
      </c>
      <c r="C27" s="468" t="s">
        <v>895</v>
      </c>
      <c r="D27" s="468" t="s">
        <v>896</v>
      </c>
      <c r="E27" s="468" t="s">
        <v>859</v>
      </c>
    </row>
    <row r="28" customFormat="false" ht="15" hidden="false" customHeight="false" outlineLevel="0" collapsed="false">
      <c r="A28" s="468" t="s">
        <v>897</v>
      </c>
      <c r="B28" s="468" t="s">
        <v>898</v>
      </c>
      <c r="C28" s="468" t="s">
        <v>899</v>
      </c>
      <c r="D28" s="468" t="s">
        <v>832</v>
      </c>
      <c r="E28" s="468" t="s">
        <v>900</v>
      </c>
    </row>
    <row r="29" customFormat="false" ht="15" hidden="false" customHeight="false" outlineLevel="0" collapsed="false">
      <c r="A29" s="468" t="s">
        <v>901</v>
      </c>
      <c r="B29" s="468" t="s">
        <v>902</v>
      </c>
      <c r="C29" s="468" t="s">
        <v>903</v>
      </c>
      <c r="D29" s="468" t="s">
        <v>847</v>
      </c>
      <c r="E29" s="468" t="s">
        <v>900</v>
      </c>
    </row>
    <row r="30" customFormat="false" ht="15" hidden="false" customHeight="false" outlineLevel="0" collapsed="false">
      <c r="A30" s="468" t="s">
        <v>904</v>
      </c>
      <c r="B30" s="468" t="s">
        <v>905</v>
      </c>
      <c r="C30" s="468" t="s">
        <v>906</v>
      </c>
      <c r="D30" s="468" t="s">
        <v>907</v>
      </c>
      <c r="E30" s="468" t="s">
        <v>900</v>
      </c>
    </row>
    <row r="31" customFormat="false" ht="15" hidden="false" customHeight="false" outlineLevel="0" collapsed="false">
      <c r="A31" s="468" t="s">
        <v>908</v>
      </c>
      <c r="B31" s="468" t="s">
        <v>909</v>
      </c>
      <c r="C31" s="468" t="s">
        <v>910</v>
      </c>
      <c r="D31" s="468" t="s">
        <v>847</v>
      </c>
      <c r="E31" s="468" t="s">
        <v>900</v>
      </c>
    </row>
    <row r="32" customFormat="false" ht="15" hidden="false" customHeight="false" outlineLevel="0" collapsed="false">
      <c r="A32" s="468" t="s">
        <v>911</v>
      </c>
      <c r="B32" s="468" t="s">
        <v>912</v>
      </c>
      <c r="C32" s="468" t="s">
        <v>913</v>
      </c>
      <c r="D32" s="468" t="s">
        <v>832</v>
      </c>
      <c r="E32" s="468" t="s">
        <v>900</v>
      </c>
    </row>
    <row r="33" customFormat="false" ht="15" hidden="false" customHeight="false" outlineLevel="0" collapsed="false">
      <c r="A33" s="468" t="s">
        <v>914</v>
      </c>
      <c r="B33" s="468" t="s">
        <v>915</v>
      </c>
      <c r="C33" s="468" t="s">
        <v>836</v>
      </c>
      <c r="D33" s="468" t="s">
        <v>837</v>
      </c>
      <c r="E33" s="468" t="s">
        <v>900</v>
      </c>
    </row>
    <row r="34" customFormat="false" ht="15" hidden="false" customHeight="false" outlineLevel="0" collapsed="false">
      <c r="A34" s="468" t="s">
        <v>916</v>
      </c>
      <c r="B34" s="468" t="s">
        <v>917</v>
      </c>
      <c r="C34" s="468" t="s">
        <v>918</v>
      </c>
      <c r="D34" s="468" t="s">
        <v>919</v>
      </c>
      <c r="E34" s="468" t="s">
        <v>900</v>
      </c>
    </row>
    <row r="35" customFormat="false" ht="15" hidden="false" customHeight="false" outlineLevel="0" collapsed="false">
      <c r="A35" s="468" t="s">
        <v>920</v>
      </c>
      <c r="B35" s="468" t="s">
        <v>921</v>
      </c>
      <c r="C35" s="468" t="s">
        <v>922</v>
      </c>
      <c r="D35" s="468" t="s">
        <v>847</v>
      </c>
      <c r="E35" s="468" t="s">
        <v>923</v>
      </c>
    </row>
    <row r="36" customFormat="false" ht="15" hidden="false" customHeight="false" outlineLevel="0" collapsed="false">
      <c r="A36" s="468" t="s">
        <v>924</v>
      </c>
      <c r="B36" s="468" t="s">
        <v>925</v>
      </c>
      <c r="C36" s="468" t="s">
        <v>926</v>
      </c>
      <c r="D36" s="468" t="s">
        <v>832</v>
      </c>
      <c r="E36" s="468" t="s">
        <v>923</v>
      </c>
    </row>
    <row r="37" customFormat="false" ht="15" hidden="false" customHeight="false" outlineLevel="0" collapsed="false">
      <c r="A37" s="468" t="s">
        <v>927</v>
      </c>
      <c r="B37" s="468" t="s">
        <v>928</v>
      </c>
      <c r="C37" s="468" t="s">
        <v>929</v>
      </c>
      <c r="D37" s="468" t="s">
        <v>832</v>
      </c>
      <c r="E37" s="468" t="s">
        <v>923</v>
      </c>
    </row>
    <row r="38" customFormat="false" ht="15" hidden="false" customHeight="false" outlineLevel="0" collapsed="false">
      <c r="A38" s="468" t="s">
        <v>930</v>
      </c>
      <c r="B38" s="468" t="s">
        <v>931</v>
      </c>
      <c r="C38" s="468" t="s">
        <v>836</v>
      </c>
      <c r="D38" s="468" t="s">
        <v>837</v>
      </c>
      <c r="E38" s="468" t="s">
        <v>923</v>
      </c>
    </row>
    <row r="39" customFormat="false" ht="15" hidden="false" customHeight="false" outlineLevel="0" collapsed="false">
      <c r="A39" s="468" t="s">
        <v>932</v>
      </c>
      <c r="B39" s="468" t="s">
        <v>933</v>
      </c>
      <c r="C39" s="468" t="s">
        <v>934</v>
      </c>
      <c r="D39" s="468" t="s">
        <v>832</v>
      </c>
      <c r="E39" s="468" t="s">
        <v>923</v>
      </c>
    </row>
    <row r="40" customFormat="false" ht="15" hidden="false" customHeight="false" outlineLevel="0" collapsed="false">
      <c r="A40" s="468" t="s">
        <v>935</v>
      </c>
      <c r="B40" s="468" t="s">
        <v>936</v>
      </c>
      <c r="C40" s="468" t="s">
        <v>836</v>
      </c>
      <c r="D40" s="468" t="s">
        <v>837</v>
      </c>
      <c r="E40" s="468" t="s">
        <v>923</v>
      </c>
    </row>
    <row r="41" customFormat="false" ht="15" hidden="false" customHeight="false" outlineLevel="0" collapsed="false">
      <c r="A41" s="468" t="s">
        <v>937</v>
      </c>
      <c r="B41" s="468" t="s">
        <v>938</v>
      </c>
      <c r="C41" s="468" t="s">
        <v>939</v>
      </c>
      <c r="D41" s="468" t="s">
        <v>940</v>
      </c>
      <c r="E41" s="468" t="s">
        <v>941</v>
      </c>
    </row>
    <row r="42" customFormat="false" ht="15" hidden="false" customHeight="false" outlineLevel="0" collapsed="false">
      <c r="A42" s="468" t="s">
        <v>942</v>
      </c>
      <c r="B42" s="468" t="s">
        <v>943</v>
      </c>
      <c r="C42" s="468" t="s">
        <v>944</v>
      </c>
      <c r="D42" s="468" t="s">
        <v>824</v>
      </c>
      <c r="E42" s="468" t="s">
        <v>941</v>
      </c>
    </row>
    <row r="43" customFormat="false" ht="15" hidden="false" customHeight="false" outlineLevel="0" collapsed="false">
      <c r="A43" s="468" t="s">
        <v>945</v>
      </c>
      <c r="B43" s="468" t="s">
        <v>946</v>
      </c>
      <c r="C43" s="468" t="s">
        <v>947</v>
      </c>
      <c r="D43" s="468" t="s">
        <v>9</v>
      </c>
      <c r="E43" s="468" t="s">
        <v>941</v>
      </c>
    </row>
    <row r="44" customFormat="false" ht="15" hidden="false" customHeight="false" outlineLevel="0" collapsed="false">
      <c r="A44" s="468" t="s">
        <v>948</v>
      </c>
      <c r="B44" s="468" t="s">
        <v>949</v>
      </c>
      <c r="C44" s="468" t="s">
        <v>950</v>
      </c>
      <c r="D44" s="468" t="s">
        <v>9</v>
      </c>
      <c r="E44" s="468" t="s">
        <v>941</v>
      </c>
    </row>
    <row r="45" customFormat="false" ht="15" hidden="false" customHeight="false" outlineLevel="0" collapsed="false">
      <c r="A45" s="468" t="s">
        <v>951</v>
      </c>
      <c r="B45" s="468" t="s">
        <v>952</v>
      </c>
      <c r="C45" s="468" t="s">
        <v>953</v>
      </c>
      <c r="D45" s="468" t="s">
        <v>9</v>
      </c>
      <c r="E45" s="468" t="s">
        <v>941</v>
      </c>
    </row>
    <row r="46" customFormat="false" ht="15" hidden="false" customHeight="false" outlineLevel="0" collapsed="false">
      <c r="A46" s="468" t="s">
        <v>954</v>
      </c>
      <c r="B46" s="468" t="s">
        <v>955</v>
      </c>
      <c r="C46" s="468" t="s">
        <v>956</v>
      </c>
      <c r="D46" s="468" t="s">
        <v>40</v>
      </c>
      <c r="E46" s="468" t="s">
        <v>941</v>
      </c>
    </row>
    <row r="47" customFormat="false" ht="15" hidden="false" customHeight="false" outlineLevel="0" collapsed="false">
      <c r="A47" s="468" t="s">
        <v>957</v>
      </c>
      <c r="B47" s="468" t="s">
        <v>958</v>
      </c>
      <c r="C47" s="468" t="s">
        <v>959</v>
      </c>
      <c r="D47" s="468" t="s">
        <v>960</v>
      </c>
      <c r="E47" s="468" t="s">
        <v>941</v>
      </c>
    </row>
    <row r="48" customFormat="false" ht="15" hidden="false" customHeight="false" outlineLevel="0" collapsed="false">
      <c r="A48" s="468" t="s">
        <v>961</v>
      </c>
      <c r="B48" s="468" t="s">
        <v>962</v>
      </c>
      <c r="C48" s="468" t="s">
        <v>963</v>
      </c>
      <c r="D48" s="468" t="s">
        <v>964</v>
      </c>
      <c r="E48" s="468" t="s">
        <v>941</v>
      </c>
    </row>
    <row r="49" customFormat="false" ht="15" hidden="false" customHeight="false" outlineLevel="0" collapsed="false">
      <c r="A49" s="468" t="s">
        <v>965</v>
      </c>
      <c r="B49" s="468" t="s">
        <v>966</v>
      </c>
      <c r="C49" s="468" t="s">
        <v>967</v>
      </c>
      <c r="D49" s="468" t="s">
        <v>968</v>
      </c>
      <c r="E49" s="468" t="s">
        <v>941</v>
      </c>
    </row>
    <row r="50" customFormat="false" ht="15" hidden="false" customHeight="false" outlineLevel="0" collapsed="false">
      <c r="A50" s="468" t="s">
        <v>969</v>
      </c>
      <c r="B50" s="468" t="s">
        <v>970</v>
      </c>
      <c r="C50" s="468" t="s">
        <v>971</v>
      </c>
      <c r="D50" s="468" t="s">
        <v>972</v>
      </c>
      <c r="E50" s="468" t="s">
        <v>941</v>
      </c>
    </row>
    <row r="51" customFormat="false" ht="15" hidden="false" customHeight="false" outlineLevel="0" collapsed="false">
      <c r="A51" s="468" t="s">
        <v>973</v>
      </c>
      <c r="B51" s="468" t="s">
        <v>974</v>
      </c>
      <c r="C51" s="468" t="s">
        <v>975</v>
      </c>
      <c r="D51" s="468" t="s">
        <v>976</v>
      </c>
      <c r="E51" s="468" t="s">
        <v>941</v>
      </c>
    </row>
    <row r="52" customFormat="false" ht="15" hidden="false" customHeight="false" outlineLevel="0" collapsed="false">
      <c r="A52" s="468" t="s">
        <v>977</v>
      </c>
      <c r="B52" s="468" t="s">
        <v>978</v>
      </c>
      <c r="C52" s="468" t="s">
        <v>979</v>
      </c>
      <c r="D52" s="468" t="s">
        <v>17</v>
      </c>
      <c r="E52" s="468" t="s">
        <v>980</v>
      </c>
    </row>
    <row r="53" customFormat="false" ht="15" hidden="false" customHeight="false" outlineLevel="0" collapsed="false">
      <c r="A53" s="468" t="s">
        <v>981</v>
      </c>
      <c r="B53" s="468" t="s">
        <v>982</v>
      </c>
      <c r="C53" s="468" t="s">
        <v>983</v>
      </c>
      <c r="D53" s="468" t="s">
        <v>720</v>
      </c>
      <c r="E53" s="468" t="s">
        <v>980</v>
      </c>
    </row>
    <row r="54" customFormat="false" ht="15" hidden="false" customHeight="false" outlineLevel="0" collapsed="false">
      <c r="A54" s="468" t="s">
        <v>984</v>
      </c>
      <c r="B54" s="468" t="s">
        <v>985</v>
      </c>
      <c r="C54" s="468" t="s">
        <v>986</v>
      </c>
      <c r="D54" s="468" t="s">
        <v>720</v>
      </c>
      <c r="E54" s="468" t="s">
        <v>980</v>
      </c>
    </row>
    <row r="55" customFormat="false" ht="15" hidden="false" customHeight="false" outlineLevel="0" collapsed="false">
      <c r="A55" s="468" t="s">
        <v>987</v>
      </c>
      <c r="B55" s="468" t="s">
        <v>988</v>
      </c>
      <c r="C55" s="468" t="s">
        <v>989</v>
      </c>
      <c r="D55" s="468" t="s">
        <v>896</v>
      </c>
      <c r="E55" s="468" t="s">
        <v>980</v>
      </c>
    </row>
    <row r="56" customFormat="false" ht="15" hidden="false" customHeight="false" outlineLevel="0" collapsed="false">
      <c r="A56" s="468" t="s">
        <v>990</v>
      </c>
      <c r="B56" s="468" t="s">
        <v>991</v>
      </c>
      <c r="C56" s="468" t="s">
        <v>992</v>
      </c>
      <c r="D56" s="468" t="s">
        <v>896</v>
      </c>
      <c r="E56" s="468" t="s">
        <v>980</v>
      </c>
    </row>
    <row r="57" customFormat="false" ht="15" hidden="false" customHeight="false" outlineLevel="0" collapsed="false">
      <c r="A57" s="468" t="s">
        <v>993</v>
      </c>
      <c r="B57" s="468" t="s">
        <v>994</v>
      </c>
      <c r="C57" s="468" t="s">
        <v>995</v>
      </c>
      <c r="D57" s="468" t="s">
        <v>996</v>
      </c>
      <c r="E57" s="468" t="s">
        <v>980</v>
      </c>
    </row>
    <row r="58" customFormat="false" ht="15" hidden="false" customHeight="false" outlineLevel="0" collapsed="false">
      <c r="A58" s="468" t="s">
        <v>997</v>
      </c>
      <c r="B58" s="468" t="s">
        <v>998</v>
      </c>
      <c r="C58" s="468" t="s">
        <v>999</v>
      </c>
      <c r="D58" s="468" t="s">
        <v>996</v>
      </c>
      <c r="E58" s="468" t="s">
        <v>980</v>
      </c>
    </row>
    <row r="59" customFormat="false" ht="15" hidden="false" customHeight="false" outlineLevel="0" collapsed="false">
      <c r="A59" s="468" t="s">
        <v>1000</v>
      </c>
      <c r="B59" s="468" t="s">
        <v>1001</v>
      </c>
      <c r="C59" s="468" t="s">
        <v>1002</v>
      </c>
      <c r="D59" s="468" t="s">
        <v>824</v>
      </c>
      <c r="E59" s="468" t="s">
        <v>980</v>
      </c>
    </row>
    <row r="60" customFormat="false" ht="15" hidden="false" customHeight="false" outlineLevel="0" collapsed="false">
      <c r="A60" s="468" t="s">
        <v>1003</v>
      </c>
      <c r="B60" s="468" t="s">
        <v>1004</v>
      </c>
      <c r="C60" s="468" t="s">
        <v>1005</v>
      </c>
      <c r="D60" s="468" t="s">
        <v>824</v>
      </c>
      <c r="E60" s="468" t="s">
        <v>980</v>
      </c>
    </row>
    <row r="61" customFormat="false" ht="15" hidden="false" customHeight="false" outlineLevel="0" collapsed="false">
      <c r="A61" s="468" t="s">
        <v>1006</v>
      </c>
      <c r="B61" s="468" t="s">
        <v>1007</v>
      </c>
      <c r="C61" s="468" t="s">
        <v>836</v>
      </c>
      <c r="D61" s="468" t="s">
        <v>837</v>
      </c>
      <c r="E61" s="468" t="s">
        <v>980</v>
      </c>
    </row>
    <row r="62" customFormat="false" ht="15" hidden="false" customHeight="false" outlineLevel="0" collapsed="false">
      <c r="A62" s="468" t="s">
        <v>1008</v>
      </c>
      <c r="B62" s="468" t="s">
        <v>1009</v>
      </c>
      <c r="C62" s="468" t="s">
        <v>1010</v>
      </c>
      <c r="D62" s="468" t="s">
        <v>896</v>
      </c>
      <c r="E62" s="468" t="s">
        <v>1011</v>
      </c>
    </row>
    <row r="63" customFormat="false" ht="15" hidden="false" customHeight="false" outlineLevel="0" collapsed="false">
      <c r="A63" s="468" t="s">
        <v>1012</v>
      </c>
      <c r="B63" s="468" t="s">
        <v>1013</v>
      </c>
      <c r="C63" s="468" t="s">
        <v>836</v>
      </c>
      <c r="D63" s="468" t="s">
        <v>837</v>
      </c>
      <c r="E63" s="468" t="s">
        <v>1011</v>
      </c>
    </row>
    <row r="64" customFormat="false" ht="15" hidden="false" customHeight="false" outlineLevel="0" collapsed="false">
      <c r="A64" s="468" t="s">
        <v>1014</v>
      </c>
      <c r="B64" s="468" t="s">
        <v>1015</v>
      </c>
      <c r="C64" s="468" t="s">
        <v>836</v>
      </c>
      <c r="D64" s="468" t="s">
        <v>837</v>
      </c>
      <c r="E64" s="468" t="s">
        <v>1016</v>
      </c>
    </row>
    <row r="65" customFormat="false" ht="15" hidden="false" customHeight="false" outlineLevel="0" collapsed="false">
      <c r="A65" s="468" t="s">
        <v>1017</v>
      </c>
      <c r="B65" s="468" t="s">
        <v>1018</v>
      </c>
      <c r="C65" s="468" t="s">
        <v>836</v>
      </c>
      <c r="D65" s="468" t="s">
        <v>837</v>
      </c>
      <c r="E65" s="468" t="s">
        <v>1016</v>
      </c>
    </row>
    <row r="66" customFormat="false" ht="15" hidden="false" customHeight="false" outlineLevel="0" collapsed="false">
      <c r="A66" s="468" t="s">
        <v>1019</v>
      </c>
      <c r="B66" s="468" t="s">
        <v>1020</v>
      </c>
      <c r="C66" s="468" t="s">
        <v>1021</v>
      </c>
      <c r="D66" s="468" t="s">
        <v>832</v>
      </c>
      <c r="E66" s="468" t="s">
        <v>1016</v>
      </c>
    </row>
    <row r="67" customFormat="false" ht="15" hidden="false" customHeight="false" outlineLevel="0" collapsed="false">
      <c r="A67" s="468" t="s">
        <v>1022</v>
      </c>
      <c r="B67" s="468" t="s">
        <v>1023</v>
      </c>
      <c r="C67" s="468" t="s">
        <v>836</v>
      </c>
      <c r="D67" s="468" t="s">
        <v>837</v>
      </c>
      <c r="E67" s="468" t="s">
        <v>1016</v>
      </c>
    </row>
    <row r="68" customFormat="false" ht="15" hidden="false" customHeight="false" outlineLevel="0" collapsed="false">
      <c r="A68" s="468" t="s">
        <v>1024</v>
      </c>
      <c r="B68" s="468" t="s">
        <v>1025</v>
      </c>
      <c r="C68" s="468" t="s">
        <v>836</v>
      </c>
      <c r="D68" s="468" t="s">
        <v>837</v>
      </c>
      <c r="E68" s="468" t="s">
        <v>1016</v>
      </c>
    </row>
    <row r="69" customFormat="false" ht="15" hidden="false" customHeight="false" outlineLevel="0" collapsed="false">
      <c r="A69" s="468" t="s">
        <v>1026</v>
      </c>
      <c r="B69" s="468" t="s">
        <v>1027</v>
      </c>
      <c r="C69" s="468" t="s">
        <v>1028</v>
      </c>
      <c r="D69" s="468" t="s">
        <v>40</v>
      </c>
      <c r="E69" s="468" t="s">
        <v>1016</v>
      </c>
    </row>
    <row r="70" customFormat="false" ht="15" hidden="false" customHeight="false" outlineLevel="0" collapsed="false">
      <c r="A70" s="468" t="s">
        <v>1029</v>
      </c>
      <c r="B70" s="468" t="s">
        <v>1030</v>
      </c>
      <c r="C70" s="468" t="s">
        <v>1031</v>
      </c>
      <c r="D70" s="468" t="s">
        <v>112</v>
      </c>
      <c r="E70" s="468" t="s">
        <v>1016</v>
      </c>
    </row>
    <row r="71" customFormat="false" ht="15" hidden="false" customHeight="false" outlineLevel="0" collapsed="false">
      <c r="A71" s="468" t="s">
        <v>1032</v>
      </c>
      <c r="B71" s="468" t="s">
        <v>1033</v>
      </c>
      <c r="C71" s="468" t="s">
        <v>1034</v>
      </c>
      <c r="D71" s="468" t="s">
        <v>887</v>
      </c>
      <c r="E71" s="468" t="s">
        <v>1016</v>
      </c>
    </row>
    <row r="72" customFormat="false" ht="15" hidden="false" customHeight="false" outlineLevel="0" collapsed="false">
      <c r="A72" s="468" t="s">
        <v>1035</v>
      </c>
      <c r="B72" s="468" t="s">
        <v>1036</v>
      </c>
      <c r="C72" s="468" t="s">
        <v>1037</v>
      </c>
      <c r="D72" s="468" t="s">
        <v>9</v>
      </c>
      <c r="E72" s="468" t="s">
        <v>1016</v>
      </c>
    </row>
    <row r="73" customFormat="false" ht="15" hidden="false" customHeight="false" outlineLevel="0" collapsed="false">
      <c r="A73" s="468" t="s">
        <v>1038</v>
      </c>
      <c r="B73" s="468" t="s">
        <v>1039</v>
      </c>
      <c r="C73" s="468" t="s">
        <v>1040</v>
      </c>
      <c r="D73" s="468" t="s">
        <v>832</v>
      </c>
      <c r="E73" s="468" t="s">
        <v>1016</v>
      </c>
    </row>
    <row r="74" customFormat="false" ht="15" hidden="false" customHeight="false" outlineLevel="0" collapsed="false">
      <c r="A74" s="468" t="s">
        <v>1041</v>
      </c>
      <c r="B74" s="468" t="s">
        <v>1042</v>
      </c>
      <c r="C74" s="468" t="s">
        <v>1043</v>
      </c>
      <c r="D74" s="468" t="s">
        <v>1044</v>
      </c>
      <c r="E74" s="468" t="s">
        <v>1016</v>
      </c>
    </row>
    <row r="75" customFormat="false" ht="15" hidden="false" customHeight="false" outlineLevel="0" collapsed="false">
      <c r="A75" s="468" t="s">
        <v>1045</v>
      </c>
      <c r="B75" s="468" t="s">
        <v>1046</v>
      </c>
      <c r="C75" s="468" t="s">
        <v>1047</v>
      </c>
      <c r="D75" s="468" t="s">
        <v>17</v>
      </c>
      <c r="E75" s="468" t="s">
        <v>1016</v>
      </c>
    </row>
    <row r="76" customFormat="false" ht="15" hidden="false" customHeight="false" outlineLevel="0" collapsed="false">
      <c r="A76" s="468" t="s">
        <v>1048</v>
      </c>
      <c r="B76" s="468" t="s">
        <v>1049</v>
      </c>
      <c r="C76" s="468" t="s">
        <v>1050</v>
      </c>
      <c r="D76" s="468" t="s">
        <v>996</v>
      </c>
      <c r="E76" s="468" t="s">
        <v>1016</v>
      </c>
    </row>
    <row r="77" customFormat="false" ht="15" hidden="false" customHeight="false" outlineLevel="0" collapsed="false">
      <c r="A77" s="468" t="s">
        <v>1051</v>
      </c>
      <c r="B77" s="468" t="s">
        <v>1052</v>
      </c>
      <c r="C77" s="468" t="s">
        <v>1053</v>
      </c>
      <c r="D77" s="468" t="s">
        <v>1054</v>
      </c>
      <c r="E77" s="468" t="s">
        <v>1016</v>
      </c>
    </row>
    <row r="78" customFormat="false" ht="15" hidden="false" customHeight="false" outlineLevel="0" collapsed="false">
      <c r="A78" s="468" t="s">
        <v>1055</v>
      </c>
      <c r="B78" s="468" t="s">
        <v>1056</v>
      </c>
      <c r="C78" s="468" t="s">
        <v>1057</v>
      </c>
      <c r="D78" s="468" t="s">
        <v>824</v>
      </c>
      <c r="E78" s="468" t="s">
        <v>1016</v>
      </c>
    </row>
    <row r="81" customFormat="false" ht="15" hidden="false" customHeight="false" outlineLevel="0" collapsed="false">
      <c r="A81" s="469" t="s">
        <v>1058</v>
      </c>
    </row>
    <row r="82" customFormat="false" ht="15" hidden="false" customHeight="false" outlineLevel="0" collapsed="false">
      <c r="A82" s="467" t="s">
        <v>285</v>
      </c>
      <c r="B82" s="467" t="s">
        <v>287</v>
      </c>
      <c r="C82" s="467" t="s">
        <v>288</v>
      </c>
      <c r="D82" s="467" t="s">
        <v>289</v>
      </c>
      <c r="E82" s="467" t="s">
        <v>290</v>
      </c>
      <c r="F82" s="467" t="s">
        <v>291</v>
      </c>
      <c r="G82" s="467" t="s">
        <v>292</v>
      </c>
      <c r="H82" s="467" t="s">
        <v>293</v>
      </c>
      <c r="I82" s="467" t="s">
        <v>294</v>
      </c>
    </row>
    <row r="83" customFormat="false" ht="15" hidden="false" customHeight="false" outlineLevel="0" collapsed="false">
      <c r="A83" s="468" t="s">
        <v>1059</v>
      </c>
      <c r="B83" s="470" t="n">
        <f aca="false">Drivers!C39/1000000</f>
        <v>19.43824</v>
      </c>
      <c r="C83" s="470" t="n">
        <f aca="false">Drivers!D39/1000000</f>
        <v>30.928285</v>
      </c>
      <c r="D83" s="470" t="n">
        <f aca="false">Drivers!E39/1000000</f>
        <v>47.5465281</v>
      </c>
      <c r="E83" s="470" t="n">
        <f aca="false">Drivers!F39/1000000</f>
        <v>63.67381698996</v>
      </c>
      <c r="F83" s="470" t="n">
        <f aca="false">Drivers!G39/1000000</f>
        <v>79.7406200829525</v>
      </c>
      <c r="G83" s="470" t="n">
        <f aca="false">Drivers!H39/1000000</f>
        <v>110.401664919354</v>
      </c>
      <c r="H83" s="470" t="n">
        <f aca="false">Drivers!I39/1000000</f>
        <v>141.604332588451</v>
      </c>
      <c r="I83" s="470" t="n">
        <f aca="false">Drivers!J39/1000000</f>
        <v>170.317748046407</v>
      </c>
    </row>
    <row r="84" customFormat="false" ht="15" hidden="false" customHeight="false" outlineLevel="0" collapsed="false">
      <c r="A84" s="468" t="s">
        <v>1060</v>
      </c>
      <c r="C84" s="471" t="n">
        <f aca="false">Drivers!D40</f>
        <v>0.591105213229181</v>
      </c>
      <c r="D84" s="471" t="n">
        <f aca="false">Drivers!E40</f>
        <v>0.537315376523464</v>
      </c>
      <c r="E84" s="471" t="n">
        <f aca="false">Drivers!F40</f>
        <v>0.339189621922363</v>
      </c>
      <c r="F84" s="471" t="n">
        <f aca="false">Drivers!G40</f>
        <v>0.252329824918865</v>
      </c>
      <c r="G84" s="471" t="n">
        <f aca="false">Drivers!H40</f>
        <v>0.384509736750299</v>
      </c>
      <c r="H84" s="471" t="n">
        <f aca="false">Drivers!I40</f>
        <v>0.28262859705866</v>
      </c>
      <c r="I84" s="471" t="n">
        <f aca="false">Drivers!J40</f>
        <v>0.202772153458088</v>
      </c>
    </row>
    <row r="85" customFormat="false" ht="15" hidden="false" customHeight="false" outlineLevel="0" collapsed="false">
      <c r="A85" s="468" t="s">
        <v>111</v>
      </c>
      <c r="B85" s="471" t="n">
        <f aca="false">Drivers!C77</f>
        <v>-0.142117352188264</v>
      </c>
      <c r="C85" s="471" t="n">
        <f aca="false">Drivers!D77</f>
        <v>0.0651366136208328</v>
      </c>
      <c r="D85" s="471" t="n">
        <f aca="false">Drivers!E77</f>
        <v>0.161833671626173</v>
      </c>
      <c r="E85" s="471" t="n">
        <f aca="false">Drivers!F77</f>
        <v>0.178789407841557</v>
      </c>
      <c r="F85" s="471" t="n">
        <f aca="false">Drivers!G77</f>
        <v>0.178952390484925</v>
      </c>
      <c r="G85" s="471" t="n">
        <f aca="false">Drivers!H77</f>
        <v>0.160844626537491</v>
      </c>
      <c r="H85" s="471" t="n">
        <f aca="false">Drivers!I77</f>
        <v>0.19015424005941</v>
      </c>
      <c r="I85" s="471" t="n">
        <f aca="false">Drivers!J77</f>
        <v>0.202178779341621</v>
      </c>
    </row>
    <row r="86" customFormat="false" ht="15" hidden="false" customHeight="false" outlineLevel="0" collapsed="false">
      <c r="A86" s="222" t="s">
        <v>1061</v>
      </c>
    </row>
    <row r="88" customFormat="false" ht="15" hidden="false" customHeight="false" outlineLevel="0" collapsed="false">
      <c r="A88" s="469" t="s">
        <v>1062</v>
      </c>
    </row>
    <row r="89" customFormat="false" ht="15" hidden="false" customHeight="false" outlineLevel="0" collapsed="false">
      <c r="A89" s="467" t="s">
        <v>698</v>
      </c>
      <c r="B89" s="467" t="s">
        <v>589</v>
      </c>
      <c r="C89" s="467" t="s">
        <v>718</v>
      </c>
      <c r="D89" s="467" t="s">
        <v>590</v>
      </c>
    </row>
    <row r="90" customFormat="false" ht="15" hidden="false" customHeight="false" outlineLevel="0" collapsed="false">
      <c r="A90" s="468" t="s">
        <v>1063</v>
      </c>
      <c r="B90" s="470" t="n">
        <f aca="false">Summary!B18</f>
        <v>23.9361926590634</v>
      </c>
      <c r="C90" s="470" t="n">
        <f aca="false">Summary!C18</f>
        <v>32.7937752037977</v>
      </c>
      <c r="D90" s="470" t="n">
        <f aca="false">Summary!D18</f>
        <v>46.4816539284192</v>
      </c>
    </row>
    <row r="91" customFormat="false" ht="15" hidden="false" customHeight="false" outlineLevel="0" collapsed="false">
      <c r="A91" s="468" t="s">
        <v>1064</v>
      </c>
      <c r="B91" s="470" t="n">
        <f aca="false">Summary!B19</f>
        <v>11.4063572952171</v>
      </c>
      <c r="C91" s="470" t="n">
        <f aca="false">Summary!C19</f>
        <v>25.2989101339209</v>
      </c>
      <c r="D91" s="470" t="n">
        <f aca="false">Summary!D19</f>
        <v>40.7642048034216</v>
      </c>
    </row>
    <row r="92" customFormat="false" ht="15" hidden="false" customHeight="false" outlineLevel="0" collapsed="false">
      <c r="A92" s="468" t="s">
        <v>1065</v>
      </c>
      <c r="B92" s="470" t="n">
        <f aca="false">Summary!B20</f>
        <v>17.6625306830518</v>
      </c>
      <c r="C92" s="470" t="n">
        <f aca="false">Summary!C20</f>
        <v>27.7109676946228</v>
      </c>
      <c r="D92" s="470" t="n">
        <f aca="false">Summary!D20</f>
        <v>43.9676784381415</v>
      </c>
    </row>
    <row r="93" customFormat="false" ht="15" hidden="false" customHeight="false" outlineLevel="0" collapsed="false">
      <c r="A93" s="468" t="s">
        <v>1066</v>
      </c>
      <c r="B93" s="470" t="n">
        <f aca="false">Summary!B21</f>
        <v>17.6695261183225</v>
      </c>
      <c r="C93" s="470" t="n">
        <f aca="false">Summary!C21</f>
        <v>28.779267674012</v>
      </c>
      <c r="D93" s="470" t="n">
        <f aca="false">Summary!D21</f>
        <v>43.6918791803646</v>
      </c>
    </row>
    <row r="94" customFormat="false" ht="15" hidden="false" customHeight="false" outlineLevel="0" collapsed="false">
      <c r="A94" s="468" t="s">
        <v>1067</v>
      </c>
      <c r="C94" s="470" t="n">
        <f aca="false">Summary!B24</f>
        <v>37.6107630979458</v>
      </c>
    </row>
    <row r="95" customFormat="false" ht="15" hidden="false" customHeight="false" outlineLevel="0" collapsed="false">
      <c r="A95" s="222" t="s">
        <v>1068</v>
      </c>
    </row>
    <row r="97" customFormat="false" ht="15" hidden="false" customHeight="false" outlineLevel="0" collapsed="false">
      <c r="A97" s="469" t="s">
        <v>1069</v>
      </c>
    </row>
    <row r="98" customFormat="false" ht="15" hidden="false" customHeight="false" outlineLevel="0" collapsed="false">
      <c r="A98" s="467" t="s">
        <v>285</v>
      </c>
      <c r="B98" s="467" t="s">
        <v>287</v>
      </c>
      <c r="C98" s="467" t="s">
        <v>288</v>
      </c>
      <c r="D98" s="467" t="s">
        <v>289</v>
      </c>
      <c r="E98" s="467" t="s">
        <v>290</v>
      </c>
      <c r="F98" s="467" t="s">
        <v>291</v>
      </c>
      <c r="G98" s="467" t="s">
        <v>292</v>
      </c>
      <c r="H98" s="467" t="s">
        <v>293</v>
      </c>
      <c r="I98" s="467" t="s">
        <v>294</v>
      </c>
    </row>
    <row r="99" customFormat="false" ht="15" hidden="false" customHeight="false" outlineLevel="0" collapsed="false">
      <c r="A99" s="468" t="s">
        <v>49</v>
      </c>
      <c r="B99" s="470" t="n">
        <f aca="false">Drivers!C39/1000000</f>
        <v>19.43824</v>
      </c>
      <c r="C99" s="470" t="n">
        <f aca="false">Drivers!D39/1000000</f>
        <v>30.928285</v>
      </c>
      <c r="D99" s="470" t="n">
        <f aca="false">Drivers!E39/1000000</f>
        <v>47.5465281</v>
      </c>
      <c r="E99" s="470" t="n">
        <f aca="false">Drivers!F39/1000000</f>
        <v>63.67381698996</v>
      </c>
      <c r="F99" s="470" t="n">
        <f aca="false">Drivers!G39/1000000</f>
        <v>79.7406200829525</v>
      </c>
      <c r="G99" s="470" t="n">
        <f aca="false">Drivers!H39/1000000</f>
        <v>110.401664919354</v>
      </c>
      <c r="H99" s="470" t="n">
        <f aca="false">Drivers!I39/1000000</f>
        <v>141.604332588451</v>
      </c>
      <c r="I99" s="470" t="n">
        <f aca="false">Drivers!J39/1000000</f>
        <v>170.317748046407</v>
      </c>
    </row>
    <row r="100" customFormat="false" ht="15" hidden="false" customHeight="false" outlineLevel="0" collapsed="false">
      <c r="A100" s="468" t="s">
        <v>1070</v>
      </c>
      <c r="C100" s="471" t="n">
        <f aca="false">Drivers!D40</f>
        <v>0.591105213229181</v>
      </c>
      <c r="D100" s="471" t="n">
        <f aca="false">Drivers!E40</f>
        <v>0.537315376523464</v>
      </c>
      <c r="E100" s="471" t="n">
        <f aca="false">Drivers!F40</f>
        <v>0.339189621922363</v>
      </c>
      <c r="F100" s="471" t="n">
        <f aca="false">Drivers!G40</f>
        <v>0.252329824918865</v>
      </c>
      <c r="G100" s="471" t="n">
        <f aca="false">Drivers!H40</f>
        <v>0.384509736750299</v>
      </c>
      <c r="H100" s="471" t="n">
        <f aca="false">Drivers!I40</f>
        <v>0.28262859705866</v>
      </c>
      <c r="I100" s="471" t="n">
        <f aca="false">Drivers!J40</f>
        <v>0.202772153458088</v>
      </c>
    </row>
    <row r="101" customFormat="false" ht="15" hidden="false" customHeight="false" outlineLevel="0" collapsed="false">
      <c r="A101" s="468" t="s">
        <v>1071</v>
      </c>
      <c r="B101" s="471" t="n">
        <f aca="false">Drivers!C84</f>
        <v>0.372621636526764</v>
      </c>
      <c r="C101" s="471" t="n">
        <f aca="false">Drivers!D84</f>
        <v>0.469283109296232</v>
      </c>
      <c r="D101" s="471" t="n">
        <f aca="false">Drivers!E84</f>
        <v>0.510341067689861</v>
      </c>
      <c r="E101" s="471" t="n">
        <f aca="false">Drivers!F84</f>
        <v>0.517554124511611</v>
      </c>
      <c r="F101" s="471" t="n">
        <f aca="false">Drivers!G84</f>
        <v>0.505146024442223</v>
      </c>
      <c r="G101" s="471" t="n">
        <f aca="false">Drivers!H84</f>
        <v>0.448290544904745</v>
      </c>
      <c r="H101" s="471" t="n">
        <f aca="false">Drivers!I84</f>
        <v>0.470678066965061</v>
      </c>
      <c r="I101" s="471" t="n">
        <f aca="false">Drivers!J84</f>
        <v>0.475938954335309</v>
      </c>
    </row>
    <row r="102" customFormat="false" ht="15" hidden="false" customHeight="false" outlineLevel="0" collapsed="false">
      <c r="A102" s="468" t="s">
        <v>388</v>
      </c>
      <c r="B102" s="470" t="n">
        <f aca="false">Drivers!C76/1000000</f>
        <v>-2.7625112</v>
      </c>
      <c r="C102" s="470" t="n">
        <f aca="false">Drivers!D76/1000000</f>
        <v>2.01456375</v>
      </c>
      <c r="D102" s="470" t="n">
        <f aca="false">Drivers!E76/1000000</f>
        <v>7.6946292155</v>
      </c>
      <c r="E102" s="470" t="n">
        <f aca="false">Drivers!F76/1000000</f>
        <v>11.3842040346466</v>
      </c>
      <c r="F102" s="470" t="n">
        <f aca="false">Drivers!G76/1000000</f>
        <v>14.2697745825946</v>
      </c>
      <c r="G102" s="470" t="n">
        <f aca="false">Drivers!H76/1000000</f>
        <v>17.7575145630708</v>
      </c>
      <c r="H102" s="470" t="n">
        <f aca="false">Drivers!I76/1000000</f>
        <v>26.926664252477</v>
      </c>
      <c r="I102" s="470" t="n">
        <f aca="false">Drivers!J76/1000000</f>
        <v>34.4346344002363</v>
      </c>
    </row>
    <row r="103" customFormat="false" ht="15" hidden="false" customHeight="false" outlineLevel="0" collapsed="false">
      <c r="A103" s="468" t="s">
        <v>111</v>
      </c>
      <c r="B103" s="471" t="n">
        <f aca="false">Drivers!C77</f>
        <v>-0.142117352188264</v>
      </c>
      <c r="C103" s="471" t="n">
        <f aca="false">Drivers!D77</f>
        <v>0.0651366136208328</v>
      </c>
      <c r="D103" s="471" t="n">
        <f aca="false">Drivers!E77</f>
        <v>0.161833671626173</v>
      </c>
      <c r="E103" s="471" t="n">
        <f aca="false">Drivers!F77</f>
        <v>0.178789407841557</v>
      </c>
      <c r="F103" s="471" t="n">
        <f aca="false">Drivers!G77</f>
        <v>0.178952390484925</v>
      </c>
      <c r="G103" s="471" t="n">
        <f aca="false">Drivers!H77</f>
        <v>0.160844626537491</v>
      </c>
      <c r="H103" s="471" t="n">
        <f aca="false">Drivers!I77</f>
        <v>0.19015424005941</v>
      </c>
      <c r="I103" s="471" t="n">
        <f aca="false">Drivers!J77</f>
        <v>0.202178779341621</v>
      </c>
    </row>
    <row r="104" customFormat="false" ht="15" hidden="false" customHeight="false" outlineLevel="0" collapsed="false">
      <c r="A104" s="468" t="s">
        <v>1072</v>
      </c>
      <c r="B104" s="470" t="n">
        <f aca="false">'Income Statement'!B80/1000000</f>
        <v>-4.3090112</v>
      </c>
      <c r="C104" s="470" t="n">
        <f aca="false">'Income Statement'!C80/1000000</f>
        <v>-0.50327625</v>
      </c>
      <c r="D104" s="470" t="n">
        <f aca="false">'Income Statement'!D80/1000000</f>
        <v>4.4204952155</v>
      </c>
      <c r="E104" s="470" t="n">
        <f aca="false">'Income Statement'!E80/1000000</f>
        <v>6.57913987662171</v>
      </c>
      <c r="F104" s="470" t="n">
        <f aca="false">'Income Statement'!F80/1000000</f>
        <v>5.82744518657437</v>
      </c>
      <c r="G104" s="470" t="n">
        <f aca="false">'Income Statement'!G80/1000000</f>
        <v>2.39786880448502</v>
      </c>
      <c r="H104" s="470" t="n">
        <f aca="false">'Income Statement'!H80/1000000</f>
        <v>8.71015211079786</v>
      </c>
      <c r="I104" s="470" t="n">
        <f aca="false">'Income Statement'!I80/1000000</f>
        <v>13.8547081054738</v>
      </c>
    </row>
    <row r="105" customFormat="false" ht="15" hidden="false" customHeight="false" outlineLevel="0" collapsed="false">
      <c r="A105" s="468" t="s">
        <v>1073</v>
      </c>
      <c r="B105" s="472" t="n">
        <f aca="false">('Cash Flow Statement'!C19+'Cash Flow Statement'!C22)/1000000</f>
        <v>-8.9660112</v>
      </c>
      <c r="C105" s="472" t="n">
        <f aca="false">('Cash Flow Statement'!D19+'Cash Flow Statement'!D22)/1000000</f>
        <v>-5.60845625</v>
      </c>
      <c r="D105" s="472" t="n">
        <f aca="false">('Cash Flow Statement'!E19+'Cash Flow Statement'!E22)/1000000</f>
        <v>1.1979492155</v>
      </c>
      <c r="E105" s="472" t="n">
        <f aca="false">DCF!C10/1000000</f>
        <v>-4.86489964943638</v>
      </c>
      <c r="F105" s="472" t="n">
        <f aca="false">DCF!D10/1000000</f>
        <v>-42.6417458610666</v>
      </c>
      <c r="G105" s="472" t="n">
        <f aca="false">DCF!E10/1000000</f>
        <v>-3.68333239197344</v>
      </c>
      <c r="H105" s="472" t="n">
        <f aca="false">DCF!F10/1000000</f>
        <v>3.62304912114107</v>
      </c>
      <c r="I105" s="472" t="n">
        <f aca="false">DCF!G10/1000000</f>
        <v>8.65678707685355</v>
      </c>
    </row>
    <row r="106" customFormat="false" ht="15" hidden="false" customHeight="false" outlineLevel="0" collapsed="false">
      <c r="A106" s="468" t="s">
        <v>1074</v>
      </c>
      <c r="B106" s="471" t="n">
        <f aca="false">Drivers!C93</f>
        <v>0.257687938825737</v>
      </c>
      <c r="C106" s="471" t="n">
        <f aca="false">Drivers!D93</f>
        <v>0.2038781005801</v>
      </c>
      <c r="D106" s="471" t="n">
        <f aca="false">Drivers!E93</f>
        <v>0.106937776598666</v>
      </c>
      <c r="E106" s="471" t="n">
        <f aca="false">Drivers!F93</f>
        <v>0.2</v>
      </c>
      <c r="F106" s="471" t="n">
        <f aca="false">Drivers!G93</f>
        <v>0.65</v>
      </c>
      <c r="G106" s="471" t="n">
        <f aca="false">Drivers!H93</f>
        <v>0.12</v>
      </c>
      <c r="H106" s="471" t="n">
        <f aca="false">Drivers!I93</f>
        <v>0.1</v>
      </c>
      <c r="I106" s="471" t="n">
        <f aca="false">Drivers!J93</f>
        <v>0.1</v>
      </c>
    </row>
    <row r="107" customFormat="false" ht="15" hidden="false" customHeight="false" outlineLevel="0" collapsed="false">
      <c r="A107" s="468" t="s">
        <v>1075</v>
      </c>
      <c r="D107" s="473" t="n">
        <f aca="false">('Income Statement'!D65*(1-Assumption!$D$15))/(Drivers!E100+Drivers!E114)</f>
        <v>0.12744318375483</v>
      </c>
      <c r="E107" s="473" t="n">
        <f aca="false">DCF!C5/(Drivers!F100+Drivers!F114)</f>
        <v>0.16689273549338</v>
      </c>
      <c r="F107" s="473" t="n">
        <f aca="false">DCF!D5/(Drivers!G100+Drivers!G114)</f>
        <v>0.0799425729606493</v>
      </c>
      <c r="G107" s="473" t="n">
        <f aca="false">DCF!E5/(Drivers!H100+Drivers!H114)</f>
        <v>0.0507708980889596</v>
      </c>
      <c r="H107" s="473" t="n">
        <f aca="false">DCF!F5/(Drivers!I100+Drivers!I114)</f>
        <v>0.104296417970394</v>
      </c>
      <c r="I107" s="473" t="n">
        <f aca="false">DCF!G5/(Drivers!J100+Drivers!J114)</f>
        <v>0.138811531585547</v>
      </c>
    </row>
    <row r="108" customFormat="false" ht="15" hidden="false" customHeight="false" outlineLevel="0" collapsed="false">
      <c r="A108" s="468" t="s">
        <v>1076</v>
      </c>
      <c r="B108" s="470" t="n">
        <f aca="false">'Balance Sheet'!E76/1000000</f>
        <v>19.0549888</v>
      </c>
      <c r="C108" s="470" t="n">
        <f aca="false">'Balance Sheet'!F76/1000000</f>
        <v>25.55171255</v>
      </c>
      <c r="D108" s="470" t="n">
        <f aca="false">'Balance Sheet'!G76/1000000</f>
        <v>29.9722077655</v>
      </c>
      <c r="E108" s="470" t="n">
        <f aca="false">'Balance Sheet'!H76/1000000</f>
        <v>74.1621107400675</v>
      </c>
      <c r="F108" s="470" t="n">
        <f aca="false">'Balance Sheet'!I76/1000000</f>
        <v>79.9895559266419</v>
      </c>
      <c r="G108" s="470" t="n">
        <f aca="false">'Balance Sheet'!J76/1000000</f>
        <v>82.3874247311269</v>
      </c>
      <c r="H108" s="470" t="n">
        <f aca="false">'Balance Sheet'!K76/1000000</f>
        <v>91.0975768419248</v>
      </c>
      <c r="I108" s="470" t="n">
        <f aca="false">'Balance Sheet'!L76/1000000</f>
        <v>104.952284947399</v>
      </c>
    </row>
    <row r="109" customFormat="false" ht="15" hidden="false" customHeight="false" outlineLevel="0" collapsed="false">
      <c r="A109" s="468" t="s">
        <v>1077</v>
      </c>
      <c r="B109" s="470" t="n">
        <f aca="false">('Balance Sheet'!E48+'Balance Sheet'!E61)/1000000</f>
        <v>1.29</v>
      </c>
      <c r="C109" s="470" t="n">
        <f aca="false">('Balance Sheet'!F48+'Balance Sheet'!F61)/1000000</f>
        <v>1.608</v>
      </c>
      <c r="D109" s="470" t="n">
        <f aca="false">('Balance Sheet'!G48+'Balance Sheet'!G61)/1000000</f>
        <v>1.6026</v>
      </c>
      <c r="E109" s="470" t="n">
        <f aca="false">('Balance Sheet'!H48+'Balance Sheet'!H61)/1000000</f>
        <v>1.6026</v>
      </c>
      <c r="F109" s="470" t="n">
        <f aca="false">('Balance Sheet'!I48+'Balance Sheet'!I61)/1000000</f>
        <v>32.7014418323515</v>
      </c>
      <c r="G109" s="470" t="n">
        <f aca="false">('Balance Sheet'!J48+'Balance Sheet'!J61)/1000000</f>
        <v>32.7014418323515</v>
      </c>
      <c r="H109" s="470" t="n">
        <f aca="false">('Balance Sheet'!K48+'Balance Sheet'!K61)/1000000</f>
        <v>26.4816734658812</v>
      </c>
      <c r="I109" s="470" t="n">
        <f aca="false">('Balance Sheet'!L48+'Balance Sheet'!L61)/1000000</f>
        <v>20.2619050994109</v>
      </c>
    </row>
    <row r="110" customFormat="false" ht="15" hidden="false" customHeight="false" outlineLevel="0" collapsed="false">
      <c r="A110" s="222" t="s">
        <v>1078</v>
      </c>
    </row>
    <row r="112" customFormat="false" ht="15" hidden="false" customHeight="false" outlineLevel="0" collapsed="false">
      <c r="A112" s="469" t="s">
        <v>1079</v>
      </c>
    </row>
    <row r="113" customFormat="false" ht="15" hidden="false" customHeight="false" outlineLevel="0" collapsed="false">
      <c r="A113" s="467" t="s">
        <v>285</v>
      </c>
      <c r="B113" s="467" t="s">
        <v>1080</v>
      </c>
      <c r="C113" s="467" t="s">
        <v>1081</v>
      </c>
    </row>
    <row r="114" customFormat="false" ht="15" hidden="false" customHeight="false" outlineLevel="0" collapsed="false">
      <c r="A114" s="468" t="s">
        <v>1082</v>
      </c>
      <c r="B114" s="474" t="n">
        <v>12.83</v>
      </c>
      <c r="C114" s="474" t="n">
        <v>19.16</v>
      </c>
    </row>
    <row r="115" customFormat="false" ht="15" hidden="false" customHeight="false" outlineLevel="0" collapsed="false">
      <c r="A115" s="468" t="s">
        <v>1083</v>
      </c>
      <c r="B115" s="475" t="n">
        <f aca="false">12.83*0.5035</f>
        <v>6.459905</v>
      </c>
    </row>
    <row r="116" customFormat="false" ht="15" hidden="false" customHeight="false" outlineLevel="0" collapsed="false">
      <c r="A116" s="468" t="s">
        <v>1084</v>
      </c>
      <c r="B116" s="476" t="n">
        <f aca="false">(19.16/12.83)^(1/5)-1</f>
        <v>0.0835121101182945</v>
      </c>
    </row>
    <row r="117" customFormat="false" ht="15" hidden="false" customHeight="false" outlineLevel="0" collapsed="false">
      <c r="A117" s="468" t="s">
        <v>1085</v>
      </c>
      <c r="B117" s="477" t="n">
        <v>0.46</v>
      </c>
    </row>
    <row r="118" customFormat="false" ht="15" hidden="false" customHeight="false" outlineLevel="0" collapsed="false">
      <c r="A118" s="222" t="s">
        <v>1086</v>
      </c>
    </row>
    <row r="120" customFormat="false" ht="15" hidden="false" customHeight="false" outlineLevel="0" collapsed="false">
      <c r="A120" s="469" t="s">
        <v>1087</v>
      </c>
    </row>
    <row r="121" customFormat="false" ht="22.35" hidden="false" customHeight="false" outlineLevel="0" collapsed="false">
      <c r="A121" s="467" t="s">
        <v>1088</v>
      </c>
      <c r="B121" s="467" t="s">
        <v>1089</v>
      </c>
      <c r="C121" s="467" t="s">
        <v>1090</v>
      </c>
      <c r="D121" s="467" t="s">
        <v>1091</v>
      </c>
    </row>
    <row r="122" customFormat="false" ht="15" hidden="false" customHeight="false" outlineLevel="0" collapsed="false">
      <c r="A122" s="468" t="s">
        <v>1092</v>
      </c>
      <c r="B122" s="478" t="n">
        <v>400</v>
      </c>
      <c r="C122" s="478" t="n">
        <v>600</v>
      </c>
      <c r="D122" s="479" t="s">
        <v>1093</v>
      </c>
    </row>
    <row r="123" customFormat="false" ht="15" hidden="false" customHeight="false" outlineLevel="0" collapsed="false">
      <c r="A123" s="468" t="s">
        <v>1094</v>
      </c>
      <c r="B123" s="478" t="n">
        <v>988</v>
      </c>
      <c r="C123" s="478" t="n">
        <v>988</v>
      </c>
      <c r="D123" s="479" t="s">
        <v>1093</v>
      </c>
    </row>
    <row r="124" customFormat="false" ht="15" hidden="false" customHeight="false" outlineLevel="0" collapsed="false">
      <c r="A124" s="468" t="s">
        <v>1095</v>
      </c>
      <c r="B124" s="478" t="n">
        <v>1350</v>
      </c>
      <c r="C124" s="478" t="n">
        <v>1550</v>
      </c>
      <c r="D124" s="479" t="s">
        <v>1093</v>
      </c>
    </row>
    <row r="125" customFormat="false" ht="15" hidden="false" customHeight="false" outlineLevel="0" collapsed="false">
      <c r="A125" s="468" t="s">
        <v>1096</v>
      </c>
      <c r="B125" s="478" t="n">
        <v>1900</v>
      </c>
      <c r="C125" s="478" t="n">
        <v>2700</v>
      </c>
      <c r="D125" s="479" t="s">
        <v>1093</v>
      </c>
    </row>
    <row r="126" customFormat="false" ht="15" hidden="false" customHeight="false" outlineLevel="0" collapsed="false">
      <c r="A126" s="468" t="s">
        <v>1097</v>
      </c>
      <c r="B126" s="478" t="n">
        <v>2500</v>
      </c>
      <c r="C126" s="478" t="n">
        <v>4000</v>
      </c>
      <c r="D126" s="479" t="s">
        <v>1098</v>
      </c>
    </row>
    <row r="127" customFormat="false" ht="15" hidden="false" customHeight="false" outlineLevel="0" collapsed="false">
      <c r="A127" s="222" t="s">
        <v>1099</v>
      </c>
    </row>
    <row r="129" customFormat="false" ht="15" hidden="false" customHeight="false" outlineLevel="0" collapsed="false">
      <c r="A129" s="469" t="s">
        <v>1100</v>
      </c>
    </row>
    <row r="130" customFormat="false" ht="15" hidden="false" customHeight="false" outlineLevel="0" collapsed="false">
      <c r="A130" s="467" t="s">
        <v>1101</v>
      </c>
      <c r="B130" s="467" t="s">
        <v>289</v>
      </c>
      <c r="C130" s="467" t="s">
        <v>294</v>
      </c>
      <c r="D130" s="467" t="s">
        <v>1102</v>
      </c>
    </row>
    <row r="131" customFormat="false" ht="15" hidden="false" customHeight="false" outlineLevel="0" collapsed="false">
      <c r="A131" s="468" t="s">
        <v>1103</v>
      </c>
      <c r="B131" s="470" t="n">
        <f aca="false">Drivers!E50</f>
        <v>1129.79</v>
      </c>
      <c r="C131" s="470" t="n">
        <f aca="false">Drivers!J50</f>
        <v>1384.50362699509</v>
      </c>
      <c r="D131" s="470" t="n">
        <f aca="false">(C131/B131)^(1/5)-1</f>
        <v>0.0415000000000001</v>
      </c>
    </row>
    <row r="132" customFormat="false" ht="15" hidden="false" customHeight="false" outlineLevel="0" collapsed="false">
      <c r="A132" s="468" t="s">
        <v>1104</v>
      </c>
      <c r="B132" s="470" t="n">
        <f aca="false">Drivers!E48</f>
        <v>33.93</v>
      </c>
      <c r="C132" s="470" t="n">
        <f aca="false">Drivers!J48</f>
        <v>42.7503207287255</v>
      </c>
      <c r="D132" s="470" t="n">
        <f aca="false">(C132/B132)^(1/5)-1</f>
        <v>0.0472999999999999</v>
      </c>
    </row>
    <row r="133" customFormat="false" ht="15" hidden="false" customHeight="false" outlineLevel="0" collapsed="false">
      <c r="A133" s="468" t="s">
        <v>1105</v>
      </c>
      <c r="B133" s="480" t="n">
        <f aca="false">Drivers!E47</f>
        <v>1.46380923076923</v>
      </c>
      <c r="C133" s="480" t="n">
        <f aca="false">Drivers!J47</f>
        <v>4.69316321334589</v>
      </c>
      <c r="D133" s="480" t="n">
        <f aca="false">(C133/B133)^(1/5)-1</f>
        <v>0.262397818197035</v>
      </c>
    </row>
    <row r="134" customFormat="false" ht="15" hidden="false" customHeight="false" outlineLevel="0" collapsed="false">
      <c r="A134" s="468" t="s">
        <v>1106</v>
      </c>
      <c r="B134" s="471" t="n">
        <f aca="false">Drivers!E49</f>
        <v>0.0431420345054297</v>
      </c>
      <c r="C134" s="471" t="n">
        <f aca="false">Drivers!J49</f>
        <v>0.109780772011668</v>
      </c>
    </row>
    <row r="135" customFormat="false" ht="15" hidden="false" customHeight="false" outlineLevel="0" collapsed="false">
      <c r="A135" s="222" t="s">
        <v>1107</v>
      </c>
    </row>
    <row r="137" customFormat="false" ht="15" hidden="false" customHeight="false" outlineLevel="0" collapsed="false">
      <c r="A137" s="469" t="s">
        <v>1108</v>
      </c>
    </row>
    <row r="138" customFormat="false" ht="22.35" hidden="false" customHeight="false" outlineLevel="0" collapsed="false">
      <c r="A138" s="467" t="s">
        <v>620</v>
      </c>
      <c r="B138" s="467" t="s">
        <v>1109</v>
      </c>
      <c r="C138" s="467" t="s">
        <v>1110</v>
      </c>
      <c r="D138" s="467" t="s">
        <v>1111</v>
      </c>
      <c r="E138" s="467" t="s">
        <v>1112</v>
      </c>
      <c r="F138" s="467" t="s">
        <v>1113</v>
      </c>
    </row>
    <row r="139" customFormat="false" ht="15" hidden="false" customHeight="false" outlineLevel="0" collapsed="false">
      <c r="A139" s="468" t="s">
        <v>1114</v>
      </c>
      <c r="B139" s="478" t="n">
        <v>2100</v>
      </c>
      <c r="C139" s="478" t="n">
        <v>2400</v>
      </c>
      <c r="D139" s="478" t="n">
        <v>2500</v>
      </c>
      <c r="E139" s="478" t="n">
        <v>4000</v>
      </c>
      <c r="F139" s="479" t="s">
        <v>1115</v>
      </c>
    </row>
    <row r="140" customFormat="false" ht="15" hidden="false" customHeight="false" outlineLevel="0" collapsed="false">
      <c r="A140" s="468" t="s">
        <v>1116</v>
      </c>
      <c r="B140" s="478" t="n">
        <v>1900</v>
      </c>
      <c r="C140" s="478" t="n">
        <v>4000</v>
      </c>
      <c r="D140" s="478" t="n">
        <v>2500</v>
      </c>
      <c r="E140" s="478" t="n">
        <v>4000</v>
      </c>
      <c r="F140" s="479" t="s">
        <v>1115</v>
      </c>
    </row>
    <row r="141" customFormat="false" ht="15" hidden="false" customHeight="false" outlineLevel="0" collapsed="false">
      <c r="A141" s="468" t="s">
        <v>1117</v>
      </c>
      <c r="B141" s="478" t="n">
        <v>2600</v>
      </c>
      <c r="C141" s="478" t="n">
        <v>18200</v>
      </c>
      <c r="D141" s="478" t="n">
        <v>2500</v>
      </c>
      <c r="E141" s="478" t="n">
        <v>18500</v>
      </c>
      <c r="F141" s="479" t="s">
        <v>1115</v>
      </c>
    </row>
    <row r="142" customFormat="false" ht="15" hidden="false" customHeight="false" outlineLevel="0" collapsed="false">
      <c r="A142" s="468" t="s">
        <v>1118</v>
      </c>
      <c r="B142" s="478" t="n">
        <v>520</v>
      </c>
      <c r="C142" s="478" t="n">
        <v>11700</v>
      </c>
      <c r="D142" s="478" t="n">
        <v>600</v>
      </c>
      <c r="E142" s="478" t="n">
        <v>11500</v>
      </c>
      <c r="F142" s="479" t="s">
        <v>1115</v>
      </c>
    </row>
    <row r="143" customFormat="false" ht="15" hidden="false" customHeight="false" outlineLevel="0" collapsed="false">
      <c r="A143" s="468" t="s">
        <v>1119</v>
      </c>
      <c r="B143" s="478" t="n">
        <v>20</v>
      </c>
      <c r="C143" s="478" t="n">
        <v>20</v>
      </c>
      <c r="D143" s="478" t="n">
        <v>20</v>
      </c>
      <c r="E143" s="478" t="n">
        <v>20</v>
      </c>
      <c r="F143" s="479" t="s">
        <v>1120</v>
      </c>
    </row>
    <row r="144" customFormat="false" ht="15" hidden="false" customHeight="false" outlineLevel="0" collapsed="false">
      <c r="A144" s="468" t="s">
        <v>1121</v>
      </c>
      <c r="D144" s="481" t="n">
        <f aca="false">Drivers!E10*1000</f>
        <v>2500</v>
      </c>
      <c r="F144" s="481" t="s">
        <v>1115</v>
      </c>
    </row>
    <row r="145" customFormat="false" ht="15" hidden="false" customHeight="false" outlineLevel="0" collapsed="false">
      <c r="A145" s="222" t="s">
        <v>1122</v>
      </c>
    </row>
    <row r="147" customFormat="false" ht="15" hidden="false" customHeight="false" outlineLevel="0" collapsed="false">
      <c r="A147" s="469" t="s">
        <v>1123</v>
      </c>
    </row>
    <row r="148" customFormat="false" ht="15" hidden="false" customHeight="false" outlineLevel="0" collapsed="false">
      <c r="A148" s="467" t="s">
        <v>1124</v>
      </c>
      <c r="B148" s="467" t="s">
        <v>1125</v>
      </c>
      <c r="C148" s="467" t="s">
        <v>1126</v>
      </c>
      <c r="D148" s="467" t="s">
        <v>1127</v>
      </c>
    </row>
    <row r="149" customFormat="false" ht="15" hidden="false" customHeight="false" outlineLevel="0" collapsed="false">
      <c r="A149" s="468" t="s">
        <v>1128</v>
      </c>
      <c r="B149" s="481" t="n">
        <f aca="false">'Income Statement'!B6</f>
        <v>15055000</v>
      </c>
      <c r="C149" s="481" t="n">
        <f aca="false">'Income Statement'!C6</f>
        <v>24088000</v>
      </c>
      <c r="D149" s="481" t="n">
        <f aca="false">'Income Statement'!D6</f>
        <v>38059040</v>
      </c>
    </row>
    <row r="150" customFormat="false" ht="15" hidden="false" customHeight="false" outlineLevel="0" collapsed="false">
      <c r="A150" s="468" t="s">
        <v>1129</v>
      </c>
      <c r="B150" s="481" t="n">
        <f aca="false">'Income Statement'!B7</f>
        <v>3020000</v>
      </c>
      <c r="C150" s="481" t="n">
        <f aca="false">'Income Statement'!C7</f>
        <v>4228000</v>
      </c>
      <c r="D150" s="481" t="n">
        <f aca="false">'Income Statement'!D7</f>
        <v>5898060</v>
      </c>
    </row>
    <row r="151" customFormat="false" ht="15" hidden="false" customHeight="false" outlineLevel="0" collapsed="false">
      <c r="A151" s="468" t="s">
        <v>1130</v>
      </c>
      <c r="B151" s="481" t="n">
        <f aca="false">'Income Statement'!B8</f>
        <v>1520000</v>
      </c>
      <c r="C151" s="481" t="n">
        <f aca="false">'Income Statement'!C8</f>
        <v>2280000</v>
      </c>
      <c r="D151" s="481" t="n">
        <f aca="false">'Income Statement'!D8</f>
        <v>2736000</v>
      </c>
    </row>
    <row r="152" customFormat="false" ht="15" hidden="false" customHeight="false" outlineLevel="0" collapsed="false">
      <c r="A152" s="468" t="s">
        <v>1131</v>
      </c>
      <c r="B152" s="481" t="n">
        <f aca="false">'Income Statement'!B9</f>
        <v>0</v>
      </c>
      <c r="C152" s="481" t="n">
        <f aca="false">'Income Statement'!C9</f>
        <v>566000</v>
      </c>
      <c r="D152" s="481" t="n">
        <f aca="false">'Income Statement'!D9</f>
        <v>1188600</v>
      </c>
    </row>
    <row r="153" customFormat="false" ht="15" hidden="false" customHeight="false" outlineLevel="0" collapsed="false">
      <c r="A153" s="468" t="s">
        <v>1132</v>
      </c>
      <c r="B153" s="481" t="n">
        <f aca="false">Drivers!C37</f>
        <v>19595000</v>
      </c>
      <c r="C153" s="481" t="n">
        <f aca="false">Drivers!D37</f>
        <v>31162000</v>
      </c>
      <c r="D153" s="481" t="n">
        <f aca="false">Drivers!E37</f>
        <v>47881700</v>
      </c>
    </row>
    <row r="154" customFormat="false" ht="15" hidden="false" customHeight="false" outlineLevel="0" collapsed="false">
      <c r="A154" s="222" t="s">
        <v>1133</v>
      </c>
    </row>
    <row r="156" customFormat="false" ht="15" hidden="false" customHeight="false" outlineLevel="0" collapsed="false">
      <c r="A156" s="469" t="s">
        <v>1134</v>
      </c>
    </row>
    <row r="157" customFormat="false" ht="15" hidden="false" customHeight="false" outlineLevel="0" collapsed="false">
      <c r="A157" s="467" t="s">
        <v>1135</v>
      </c>
      <c r="B157" s="467" t="s">
        <v>1125</v>
      </c>
      <c r="C157" s="467" t="s">
        <v>1126</v>
      </c>
      <c r="D157" s="467" t="s">
        <v>1127</v>
      </c>
    </row>
    <row r="158" customFormat="false" ht="15" hidden="false" customHeight="false" outlineLevel="0" collapsed="false">
      <c r="A158" s="468" t="s">
        <v>1136</v>
      </c>
      <c r="B158" s="481" t="n">
        <f aca="false">Drivers!C59</f>
        <v>6011751.2</v>
      </c>
      <c r="C158" s="481" t="n">
        <f aca="false">Drivers!D59</f>
        <v>8892571.25</v>
      </c>
      <c r="D158" s="481" t="n">
        <f aca="false">Drivers!E59</f>
        <v>12925449.3845</v>
      </c>
    </row>
    <row r="159" customFormat="false" ht="15" hidden="false" customHeight="false" outlineLevel="0" collapsed="false">
      <c r="A159" s="468" t="s">
        <v>1137</v>
      </c>
      <c r="B159" s="479" t="n">
        <f aca="false">Drivers!C75-Drivers!C62</f>
        <v>9197000</v>
      </c>
      <c r="C159" s="479" t="n">
        <f aca="false">Drivers!D75-Drivers!D62</f>
        <v>12329950</v>
      </c>
      <c r="D159" s="479" t="n">
        <f aca="false">Drivers!E75-Drivers!E62</f>
        <v>16158769.5</v>
      </c>
    </row>
    <row r="160" customFormat="false" ht="15" hidden="false" customHeight="false" outlineLevel="0" collapsed="false">
      <c r="A160" s="468" t="s">
        <v>1138</v>
      </c>
      <c r="B160" s="481" t="n">
        <f aca="false">Drivers!C62</f>
        <v>6992000</v>
      </c>
      <c r="C160" s="481" t="n">
        <f aca="false">Drivers!D62</f>
        <v>7691200</v>
      </c>
      <c r="D160" s="481" t="n">
        <f aca="false">Drivers!E62</f>
        <v>10767680</v>
      </c>
    </row>
    <row r="161" customFormat="false" ht="15" hidden="false" customHeight="false" outlineLevel="0" collapsed="false">
      <c r="A161" s="222" t="s">
        <v>1139</v>
      </c>
    </row>
    <row r="163" customFormat="false" ht="15" hidden="false" customHeight="false" outlineLevel="0" collapsed="false">
      <c r="A163" s="469" t="s">
        <v>1140</v>
      </c>
    </row>
    <row r="164" customFormat="false" ht="15" hidden="false" customHeight="false" outlineLevel="0" collapsed="false">
      <c r="A164" s="467" t="s">
        <v>285</v>
      </c>
      <c r="B164" s="467" t="s">
        <v>1125</v>
      </c>
      <c r="C164" s="467" t="s">
        <v>1126</v>
      </c>
      <c r="D164" s="467" t="s">
        <v>1127</v>
      </c>
    </row>
    <row r="165" customFormat="false" ht="15" hidden="false" customHeight="false" outlineLevel="0" collapsed="false">
      <c r="A165" s="468" t="s">
        <v>1141</v>
      </c>
      <c r="B165" s="481" t="n">
        <f aca="false">'Income Statement'!B13</f>
        <v>19438240</v>
      </c>
      <c r="C165" s="481" t="n">
        <f aca="false">'Income Statement'!C13</f>
        <v>30928285</v>
      </c>
      <c r="D165" s="481" t="n">
        <f aca="false">'Income Statement'!D13</f>
        <v>47546528.1</v>
      </c>
    </row>
    <row r="166" customFormat="false" ht="15" hidden="false" customHeight="false" outlineLevel="0" collapsed="false">
      <c r="A166" s="468" t="s">
        <v>1142</v>
      </c>
      <c r="C166" s="473" t="n">
        <f aca="false">'Income Statement'!C13/'Income Statement'!B13-1</f>
        <v>0.591105213229181</v>
      </c>
      <c r="D166" s="473" t="n">
        <f aca="false">'Income Statement'!D13/'Income Statement'!C13-1</f>
        <v>0.537315376523464</v>
      </c>
    </row>
    <row r="167" customFormat="false" ht="15" hidden="false" customHeight="false" outlineLevel="0" collapsed="false">
      <c r="A167" s="222" t="s">
        <v>1143</v>
      </c>
    </row>
    <row r="169" customFormat="false" ht="15" hidden="false" customHeight="false" outlineLevel="0" collapsed="false">
      <c r="A169" s="469" t="s">
        <v>1144</v>
      </c>
    </row>
    <row r="170" customFormat="false" ht="32.8" hidden="false" customHeight="false" outlineLevel="0" collapsed="false">
      <c r="A170" s="467" t="s">
        <v>1145</v>
      </c>
      <c r="B170" s="467" t="s">
        <v>1146</v>
      </c>
      <c r="C170" s="467" t="s">
        <v>1147</v>
      </c>
    </row>
    <row r="171" customFormat="false" ht="15" hidden="false" customHeight="false" outlineLevel="0" collapsed="false">
      <c r="A171" s="468" t="s">
        <v>1148</v>
      </c>
      <c r="B171" s="478" t="n">
        <v>10746</v>
      </c>
      <c r="C171" s="479" t="n">
        <f aca="false">B171/(Drivers!E39/1000000)</f>
        <v>226.010193160665</v>
      </c>
    </row>
    <row r="172" customFormat="false" ht="15" hidden="false" customHeight="false" outlineLevel="0" collapsed="false">
      <c r="A172" s="468" t="s">
        <v>1149</v>
      </c>
      <c r="B172" s="478" t="n">
        <v>3633</v>
      </c>
      <c r="C172" s="479" t="n">
        <f aca="false">B172/(Drivers!E39/1000000)</f>
        <v>76.4093645777682</v>
      </c>
    </row>
    <row r="173" customFormat="false" ht="15" hidden="false" customHeight="false" outlineLevel="0" collapsed="false">
      <c r="A173" s="468" t="s">
        <v>1150</v>
      </c>
      <c r="B173" s="470" t="n">
        <f aca="false">Drivers!E39/1000000</f>
        <v>47.5465281</v>
      </c>
      <c r="C173" s="470" t="n">
        <v>1</v>
      </c>
    </row>
    <row r="174" customFormat="false" ht="15" hidden="false" customHeight="false" outlineLevel="0" collapsed="false">
      <c r="A174" s="222" t="s">
        <v>1151</v>
      </c>
    </row>
    <row r="176" customFormat="false" ht="15" hidden="false" customHeight="false" outlineLevel="0" collapsed="false">
      <c r="A176" s="469" t="s">
        <v>1152</v>
      </c>
    </row>
    <row r="177" customFormat="false" ht="15" hidden="false" customHeight="false" outlineLevel="0" collapsed="false">
      <c r="A177" s="467" t="s">
        <v>285</v>
      </c>
      <c r="B177" s="467" t="s">
        <v>1125</v>
      </c>
      <c r="C177" s="467" t="s">
        <v>1126</v>
      </c>
      <c r="D177" s="467" t="s">
        <v>1127</v>
      </c>
    </row>
    <row r="178" customFormat="false" ht="15" hidden="false" customHeight="false" outlineLevel="0" collapsed="false">
      <c r="A178" s="468" t="s">
        <v>49</v>
      </c>
      <c r="B178" s="481" t="n">
        <f aca="false">'Income Statement'!B13</f>
        <v>19438240</v>
      </c>
      <c r="C178" s="481" t="n">
        <f aca="false">'Income Statement'!C13</f>
        <v>30928285</v>
      </c>
      <c r="D178" s="481" t="n">
        <f aca="false">'Income Statement'!D13</f>
        <v>47546528.1</v>
      </c>
    </row>
    <row r="179" customFormat="false" ht="15" hidden="false" customHeight="false" outlineLevel="0" collapsed="false">
      <c r="A179" s="468" t="s">
        <v>56</v>
      </c>
      <c r="B179" s="479" t="n">
        <f aca="false">'Income Statement'!B13-Drivers!C59</f>
        <v>13426488.8</v>
      </c>
      <c r="C179" s="479" t="n">
        <f aca="false">'Income Statement'!C13-Drivers!D59</f>
        <v>22035713.75</v>
      </c>
      <c r="D179" s="479" t="n">
        <f aca="false">'Income Statement'!D13-Drivers!E59</f>
        <v>34621078.7155</v>
      </c>
    </row>
    <row r="180" customFormat="false" ht="15" hidden="false" customHeight="false" outlineLevel="0" collapsed="false">
      <c r="A180" s="468" t="s">
        <v>1153</v>
      </c>
      <c r="B180" s="473" t="n">
        <f aca="false">1-Drivers!C59/'Income Statement'!B13</f>
        <v>0.690725538937682</v>
      </c>
      <c r="C180" s="473" t="n">
        <f aca="false">1-Drivers!D59/'Income Statement'!C13</f>
        <v>0.712477712553412</v>
      </c>
      <c r="D180" s="473" t="n">
        <f aca="false">1-Drivers!E59/'Income Statement'!D13</f>
        <v>0.728151562248349</v>
      </c>
    </row>
    <row r="181" customFormat="false" ht="15" hidden="false" customHeight="false" outlineLevel="0" collapsed="false">
      <c r="A181" s="468" t="s">
        <v>1154</v>
      </c>
      <c r="B181" s="481" t="n">
        <f aca="false">Drivers!C75</f>
        <v>16189000</v>
      </c>
      <c r="C181" s="481" t="n">
        <f aca="false">Drivers!D75</f>
        <v>20021150</v>
      </c>
      <c r="D181" s="481" t="n">
        <f aca="false">Drivers!E75</f>
        <v>26926449.5</v>
      </c>
    </row>
    <row r="182" customFormat="false" ht="15" hidden="false" customHeight="false" outlineLevel="0" collapsed="false">
      <c r="A182" s="468" t="s">
        <v>388</v>
      </c>
      <c r="B182" s="481" t="n">
        <f aca="false">Drivers!C76</f>
        <v>-2762511.2</v>
      </c>
      <c r="C182" s="481" t="n">
        <f aca="false">Drivers!D76</f>
        <v>2014563.75</v>
      </c>
      <c r="D182" s="481" t="n">
        <f aca="false">Drivers!E76</f>
        <v>7694629.2155</v>
      </c>
    </row>
    <row r="183" customFormat="false" ht="15" hidden="false" customHeight="false" outlineLevel="0" collapsed="false">
      <c r="A183" s="468" t="s">
        <v>622</v>
      </c>
      <c r="B183" s="471" t="n">
        <f aca="false">Drivers!C77</f>
        <v>-0.142117352188264</v>
      </c>
      <c r="C183" s="471" t="n">
        <f aca="false">Drivers!D77</f>
        <v>0.0651366136208328</v>
      </c>
      <c r="D183" s="471" t="n">
        <f aca="false">Drivers!E77</f>
        <v>0.161833671626173</v>
      </c>
    </row>
    <row r="184" customFormat="false" ht="15" hidden="false" customHeight="false" outlineLevel="0" collapsed="false">
      <c r="A184" s="468" t="s">
        <v>1155</v>
      </c>
      <c r="B184" s="481" t="n">
        <f aca="false">'Income Statement'!B65</f>
        <v>-4194711.2</v>
      </c>
      <c r="C184" s="481" t="n">
        <f aca="false">'Income Statement'!C65</f>
        <v>-360716.25</v>
      </c>
      <c r="D184" s="481" t="n">
        <f aca="false">'Income Statement'!D65</f>
        <v>4562677.2155</v>
      </c>
    </row>
    <row r="185" customFormat="false" ht="15" hidden="false" customHeight="false" outlineLevel="0" collapsed="false">
      <c r="A185" s="468" t="s">
        <v>1156</v>
      </c>
      <c r="B185" s="473" t="n">
        <f aca="false">'Income Statement'!B65/'Income Statement'!B13</f>
        <v>-0.215796862267366</v>
      </c>
      <c r="C185" s="473" t="n">
        <f aca="false">'Income Statement'!C65/'Income Statement'!C13</f>
        <v>-0.0116629890729473</v>
      </c>
      <c r="D185" s="473" t="n">
        <f aca="false">'Income Statement'!D65/'Income Statement'!D13</f>
        <v>0.0959623635589914</v>
      </c>
    </row>
    <row r="186" customFormat="false" ht="15" hidden="false" customHeight="false" outlineLevel="0" collapsed="false">
      <c r="A186" s="468" t="s">
        <v>109</v>
      </c>
      <c r="B186" s="481" t="n">
        <f aca="false">'Income Statement'!B80</f>
        <v>-4309011.2</v>
      </c>
      <c r="C186" s="481" t="n">
        <f aca="false">'Income Statement'!C80</f>
        <v>-503276.25</v>
      </c>
      <c r="D186" s="481" t="n">
        <f aca="false">'Income Statement'!D80</f>
        <v>4420495.2155</v>
      </c>
    </row>
    <row r="187" customFormat="false" ht="15" hidden="false" customHeight="false" outlineLevel="0" collapsed="false">
      <c r="A187" s="468" t="s">
        <v>1157</v>
      </c>
      <c r="B187" s="473" t="n">
        <f aca="false">'Income Statement'!B80/'Income Statement'!B13</f>
        <v>-0.22167702425734</v>
      </c>
      <c r="C187" s="473" t="n">
        <f aca="false">'Income Statement'!C80/'Income Statement'!C13</f>
        <v>-0.0162723620142533</v>
      </c>
      <c r="D187" s="473" t="n">
        <f aca="false">'Income Statement'!D80/'Income Statement'!D13</f>
        <v>0.0929719874856646</v>
      </c>
    </row>
    <row r="188" customFormat="false" ht="15" hidden="false" customHeight="false" outlineLevel="0" collapsed="false">
      <c r="A188" s="468" t="s">
        <v>1158</v>
      </c>
      <c r="B188" s="473" t="n">
        <f aca="false">'Income Statement'!B80/(('Balance Sheet'!E76+'Balance Sheet'!D76)/2)</f>
        <v>-0.251115277615639</v>
      </c>
      <c r="C188" s="473" t="n">
        <f aca="false">'Income Statement'!C80/(('Balance Sheet'!F76+'Balance Sheet'!E76)/2)</f>
        <v>-0.0225650512039039</v>
      </c>
      <c r="D188" s="473" t="n">
        <f aca="false">'Income Statement'!D80/(('Balance Sheet'!G76+'Balance Sheet'!F76)/2)</f>
        <v>0.159228497929602</v>
      </c>
    </row>
    <row r="189" customFormat="false" ht="15" hidden="false" customHeight="false" outlineLevel="0" collapsed="false">
      <c r="A189" s="468" t="s">
        <v>1159</v>
      </c>
      <c r="B189" s="473" t="n">
        <f aca="false">'Income Statement'!B80/(('Balance Sheet'!E34+'Balance Sheet'!D34)/2)</f>
        <v>-0.231245874185055</v>
      </c>
      <c r="C189" s="473" t="n">
        <f aca="false">'Income Statement'!C80/(('Balance Sheet'!F34+'Balance Sheet'!E34)/2)</f>
        <v>-0.0209824588632599</v>
      </c>
      <c r="D189" s="473" t="n">
        <f aca="false">'Income Statement'!D80/(('Balance Sheet'!G34+'Balance Sheet'!F34)/2)</f>
        <v>0.14898647603738</v>
      </c>
    </row>
    <row r="190" customFormat="false" ht="15" hidden="false" customHeight="false" outlineLevel="0" collapsed="false">
      <c r="A190" s="468" t="s">
        <v>1160</v>
      </c>
      <c r="B190" s="482" t="n">
        <f aca="false">'Income Statement'!B13/(('Balance Sheet'!E34+'Balance Sheet'!D34)/2)</f>
        <v>1.04316572707421</v>
      </c>
      <c r="C190" s="482" t="n">
        <f aca="false">'Income Statement'!C13/(('Balance Sheet'!F34+'Balance Sheet'!E34)/2)</f>
        <v>1.28945378949171</v>
      </c>
      <c r="D190" s="482" t="n">
        <f aca="false">'Income Statement'!D13/(('Balance Sheet'!G34+'Balance Sheet'!F34)/2)</f>
        <v>1.60248780376296</v>
      </c>
    </row>
    <row r="191" customFormat="false" ht="15" hidden="false" customHeight="false" outlineLevel="0" collapsed="false">
      <c r="A191" s="468" t="s">
        <v>1161</v>
      </c>
      <c r="B191" s="471" t="n">
        <f aca="false">Drivers!C84</f>
        <v>0.372621636526764</v>
      </c>
      <c r="C191" s="471" t="n">
        <f aca="false">Drivers!D84</f>
        <v>0.469283109296232</v>
      </c>
      <c r="D191" s="471" t="n">
        <f aca="false">Drivers!E84</f>
        <v>0.510341067689861</v>
      </c>
    </row>
    <row r="192" customFormat="false" ht="15" hidden="false" customHeight="false" outlineLevel="0" collapsed="false">
      <c r="A192" s="222" t="s">
        <v>1162</v>
      </c>
    </row>
    <row r="194" customFormat="false" ht="15" hidden="false" customHeight="false" outlineLevel="0" collapsed="false">
      <c r="A194" s="469" t="s">
        <v>1163</v>
      </c>
    </row>
    <row r="195" customFormat="false" ht="15" hidden="false" customHeight="false" outlineLevel="0" collapsed="false">
      <c r="A195" s="467" t="s">
        <v>1164</v>
      </c>
      <c r="B195" s="467" t="s">
        <v>589</v>
      </c>
      <c r="C195" s="467" t="s">
        <v>590</v>
      </c>
    </row>
    <row r="196" customFormat="false" ht="15" hidden="false" customHeight="false" outlineLevel="0" collapsed="false">
      <c r="A196" s="468" t="s">
        <v>1165</v>
      </c>
      <c r="B196" s="473" t="n">
        <f aca="false">('Income Statement'!D13-'Income Statement'!D16-'Income Statement'!D17)/'Income Statement'!D13</f>
        <v>0.728151562248348</v>
      </c>
      <c r="C196" s="473" t="n">
        <f aca="false">('Income Statement'!D13-'Income Statement'!D16-'Income Statement'!D17)/'Income Statement'!D13</f>
        <v>0.728151562248348</v>
      </c>
    </row>
    <row r="197" customFormat="false" ht="15" hidden="false" customHeight="false" outlineLevel="0" collapsed="false">
      <c r="A197" s="468" t="s">
        <v>1166</v>
      </c>
      <c r="B197" s="471" t="n">
        <f aca="false">'Income Statement'!D22</f>
        <v>0.510341067689861</v>
      </c>
      <c r="C197" s="471" t="n">
        <f aca="false">'Income Statement'!D22</f>
        <v>0.510341067689861</v>
      </c>
    </row>
    <row r="198" customFormat="false" ht="15" hidden="false" customHeight="false" outlineLevel="0" collapsed="false">
      <c r="A198" s="468" t="s">
        <v>1167</v>
      </c>
      <c r="B198" s="477" t="n">
        <v>0.25</v>
      </c>
      <c r="C198" s="477" t="n">
        <v>0.4</v>
      </c>
    </row>
    <row r="199" customFormat="false" ht="15" hidden="false" customHeight="false" outlineLevel="0" collapsed="false">
      <c r="A199" s="468" t="s">
        <v>1168</v>
      </c>
      <c r="B199" s="477" t="n">
        <v>0.12</v>
      </c>
      <c r="C199" s="477" t="n">
        <v>0.16</v>
      </c>
    </row>
    <row r="200" customFormat="false" ht="15" hidden="false" customHeight="false" outlineLevel="0" collapsed="false">
      <c r="A200" s="222" t="s">
        <v>1169</v>
      </c>
    </row>
    <row r="202" customFormat="false" ht="15" hidden="false" customHeight="false" outlineLevel="0" collapsed="false">
      <c r="A202" s="469" t="s">
        <v>1170</v>
      </c>
    </row>
    <row r="203" customFormat="false" ht="15" hidden="false" customHeight="false" outlineLevel="0" collapsed="false">
      <c r="A203" s="467" t="s">
        <v>285</v>
      </c>
      <c r="B203" s="467" t="s">
        <v>1125</v>
      </c>
      <c r="C203" s="467" t="s">
        <v>1126</v>
      </c>
      <c r="D203" s="467" t="s">
        <v>1127</v>
      </c>
    </row>
    <row r="204" customFormat="false" ht="15" hidden="false" customHeight="false" outlineLevel="0" collapsed="false">
      <c r="A204" s="468" t="s">
        <v>1171</v>
      </c>
      <c r="B204" s="471" t="n">
        <f aca="false">Drivers!C61</f>
        <v>0.35970334762818</v>
      </c>
      <c r="C204" s="471" t="n">
        <f aca="false">Drivers!D61</f>
        <v>0.248678515475397</v>
      </c>
      <c r="D204" s="471" t="n">
        <f aca="false">Drivers!E61</f>
        <v>0.226466167568605</v>
      </c>
    </row>
    <row r="205" customFormat="false" ht="15" hidden="false" customHeight="false" outlineLevel="0" collapsed="false">
      <c r="A205" s="468" t="s">
        <v>1172</v>
      </c>
      <c r="B205" s="473" t="n">
        <f aca="false">Drivers!C66/Drivers!C39</f>
        <v>0.204596712459564</v>
      </c>
      <c r="C205" s="473" t="n">
        <f aca="false">Drivers!D66/Drivers!D39</f>
        <v>0.173593524503541</v>
      </c>
      <c r="D205" s="473" t="n">
        <f aca="false">Drivers!E66/Drivers!E39</f>
        <v>0.159217082771602</v>
      </c>
    </row>
    <row r="206" customFormat="false" ht="15" hidden="false" customHeight="false" outlineLevel="0" collapsed="false">
      <c r="A206" s="468" t="s">
        <v>111</v>
      </c>
      <c r="B206" s="471" t="n">
        <f aca="false">Drivers!C77</f>
        <v>-0.142117352188264</v>
      </c>
      <c r="C206" s="471" t="n">
        <f aca="false">Drivers!D77</f>
        <v>0.0651366136208328</v>
      </c>
      <c r="D206" s="471" t="n">
        <f aca="false">Drivers!E77</f>
        <v>0.161833671626173</v>
      </c>
    </row>
    <row r="207" customFormat="false" ht="15" hidden="false" customHeight="false" outlineLevel="0" collapsed="false">
      <c r="A207" s="222" t="s">
        <v>1173</v>
      </c>
    </row>
    <row r="209" customFormat="false" ht="15" hidden="false" customHeight="false" outlineLevel="0" collapsed="false">
      <c r="A209" s="469" t="s">
        <v>1174</v>
      </c>
    </row>
    <row r="210" customFormat="false" ht="15" hidden="false" customHeight="false" outlineLevel="0" collapsed="false">
      <c r="A210" s="467" t="s">
        <v>285</v>
      </c>
      <c r="B210" s="467" t="s">
        <v>1125</v>
      </c>
      <c r="C210" s="467" t="s">
        <v>1126</v>
      </c>
      <c r="D210" s="467" t="s">
        <v>1127</v>
      </c>
    </row>
    <row r="211" customFormat="false" ht="15" hidden="false" customHeight="false" outlineLevel="0" collapsed="false">
      <c r="A211" s="468" t="s">
        <v>141</v>
      </c>
      <c r="B211" s="481" t="n">
        <f aca="false">'Balance Sheet'!E34</f>
        <v>20547788.8</v>
      </c>
      <c r="C211" s="481" t="n">
        <f aca="false">'Balance Sheet'!F34</f>
        <v>27423352.55</v>
      </c>
      <c r="D211" s="481" t="n">
        <f aca="false">'Balance Sheet'!G34</f>
        <v>31917539.7655</v>
      </c>
    </row>
    <row r="212" customFormat="false" ht="15" hidden="false" customHeight="false" outlineLevel="0" collapsed="false">
      <c r="A212" s="468" t="s">
        <v>133</v>
      </c>
      <c r="B212" s="481" t="n">
        <f aca="false">'Balance Sheet'!E32</f>
        <v>15511800</v>
      </c>
      <c r="C212" s="481" t="n">
        <f aca="false">'Balance Sheet'!F32</f>
        <v>19442120</v>
      </c>
      <c r="D212" s="481" t="n">
        <f aca="false">'Balance Sheet'!G32</f>
        <v>21394688</v>
      </c>
    </row>
    <row r="213" customFormat="false" ht="15" hidden="false" customHeight="false" outlineLevel="0" collapsed="false">
      <c r="A213" s="468" t="s">
        <v>162</v>
      </c>
      <c r="B213" s="481" t="n">
        <f aca="false">'Balance Sheet'!E61</f>
        <v>1200000</v>
      </c>
      <c r="C213" s="481" t="n">
        <f aca="false">'Balance Sheet'!F61</f>
        <v>1500000</v>
      </c>
      <c r="D213" s="481" t="n">
        <f aca="false">'Balance Sheet'!G61</f>
        <v>1500000</v>
      </c>
    </row>
    <row r="214" customFormat="false" ht="15" hidden="false" customHeight="false" outlineLevel="0" collapsed="false">
      <c r="A214" s="222" t="s">
        <v>1175</v>
      </c>
    </row>
    <row r="216" customFormat="false" ht="15" hidden="false" customHeight="false" outlineLevel="0" collapsed="false">
      <c r="A216" s="469" t="s">
        <v>1176</v>
      </c>
    </row>
    <row r="217" customFormat="false" ht="15" hidden="false" customHeight="false" outlineLevel="0" collapsed="false">
      <c r="A217" s="467" t="s">
        <v>285</v>
      </c>
      <c r="B217" s="467" t="s">
        <v>1125</v>
      </c>
      <c r="C217" s="467" t="s">
        <v>1126</v>
      </c>
      <c r="D217" s="467" t="s">
        <v>1127</v>
      </c>
    </row>
    <row r="218" customFormat="false" ht="15" hidden="false" customHeight="false" outlineLevel="0" collapsed="false">
      <c r="A218" s="468" t="s">
        <v>406</v>
      </c>
      <c r="B218" s="481" t="n">
        <f aca="false">'Cash Flow Statement'!C22</f>
        <v>-5009000</v>
      </c>
      <c r="C218" s="481" t="n">
        <f aca="false">'Cash Flow Statement'!D22</f>
        <v>-6305600</v>
      </c>
      <c r="D218" s="481" t="n">
        <f aca="false">'Cash Flow Statement'!E22</f>
        <v>-5084520</v>
      </c>
    </row>
    <row r="219" customFormat="false" ht="15" hidden="false" customHeight="false" outlineLevel="0" collapsed="false">
      <c r="A219" s="468" t="s">
        <v>1177</v>
      </c>
      <c r="B219" s="473" t="n">
        <f aca="false">-'Cash Flow Statement'!C22/'Income Statement'!B13</f>
        <v>0.257687938825737</v>
      </c>
      <c r="C219" s="473" t="n">
        <f aca="false">-'Cash Flow Statement'!D22/'Income Statement'!C13</f>
        <v>0.2038781005801</v>
      </c>
      <c r="D219" s="473" t="n">
        <f aca="false">-'Cash Flow Statement'!E22/'Income Statement'!D13</f>
        <v>0.106937776598666</v>
      </c>
    </row>
    <row r="220" customFormat="false" ht="15" hidden="false" customHeight="false" outlineLevel="0" collapsed="false">
      <c r="A220" s="468" t="s">
        <v>1178</v>
      </c>
      <c r="B220" s="482" t="n">
        <f aca="false">-'Cash Flow Statement'!C22/'Income Statement'!B71</f>
        <v>3.49741656193269</v>
      </c>
      <c r="C220" s="482" t="n">
        <f aca="false">-'Cash Flow Statement'!D22/'Income Statement'!C71</f>
        <v>2.65467650129669</v>
      </c>
      <c r="D220" s="482" t="n">
        <f aca="false">-'Cash Flow Statement'!E22/'Income Statement'!D71</f>
        <v>1.62343484191329</v>
      </c>
    </row>
    <row r="221" customFormat="false" ht="15" hidden="false" customHeight="false" outlineLevel="0" collapsed="false">
      <c r="A221" s="222" t="s">
        <v>1143</v>
      </c>
    </row>
    <row r="223" customFormat="false" ht="15" hidden="false" customHeight="false" outlineLevel="0" collapsed="false">
      <c r="A223" s="469" t="s">
        <v>1179</v>
      </c>
    </row>
    <row r="224" customFormat="false" ht="15" hidden="false" customHeight="false" outlineLevel="0" collapsed="false">
      <c r="A224" s="467" t="s">
        <v>285</v>
      </c>
      <c r="B224" s="467" t="s">
        <v>1125</v>
      </c>
      <c r="C224" s="467" t="s">
        <v>1126</v>
      </c>
      <c r="D224" s="467" t="s">
        <v>1127</v>
      </c>
    </row>
    <row r="225" customFormat="false" ht="15" hidden="false" customHeight="false" outlineLevel="0" collapsed="false">
      <c r="A225" s="468" t="s">
        <v>141</v>
      </c>
      <c r="B225" s="481" t="n">
        <f aca="false">'Balance Sheet'!E34</f>
        <v>20547788.8</v>
      </c>
      <c r="C225" s="481" t="n">
        <f aca="false">'Balance Sheet'!F34</f>
        <v>27423352.55</v>
      </c>
      <c r="D225" s="481" t="n">
        <f aca="false">'Balance Sheet'!G34</f>
        <v>31917539.7655</v>
      </c>
    </row>
    <row r="226" customFormat="false" ht="15" hidden="false" customHeight="false" outlineLevel="0" collapsed="false">
      <c r="A226" s="468" t="s">
        <v>167</v>
      </c>
      <c r="B226" s="481" t="n">
        <f aca="false">'Balance Sheet'!E66</f>
        <v>1492800</v>
      </c>
      <c r="C226" s="481" t="n">
        <f aca="false">'Balance Sheet'!F66</f>
        <v>1871640</v>
      </c>
      <c r="D226" s="481" t="n">
        <f aca="false">'Balance Sheet'!G66</f>
        <v>1945332</v>
      </c>
    </row>
    <row r="227" customFormat="false" ht="15" hidden="false" customHeight="false" outlineLevel="0" collapsed="false">
      <c r="A227" s="468" t="s">
        <v>168</v>
      </c>
      <c r="B227" s="481" t="n">
        <f aca="false">'Balance Sheet'!E76</f>
        <v>19054988.8</v>
      </c>
      <c r="C227" s="481" t="n">
        <f aca="false">'Balance Sheet'!F76</f>
        <v>25551712.55</v>
      </c>
      <c r="D227" s="481" t="n">
        <f aca="false">'Balance Sheet'!G76</f>
        <v>29972207.7655</v>
      </c>
    </row>
    <row r="228" customFormat="false" ht="15" hidden="false" customHeight="false" outlineLevel="0" collapsed="false">
      <c r="A228" s="468" t="s">
        <v>1180</v>
      </c>
      <c r="B228" s="473" t="n">
        <f aca="false">'Balance Sheet'!E66/'Balance Sheet'!E76</f>
        <v>0.078341688660557</v>
      </c>
      <c r="C228" s="473" t="n">
        <f aca="false">'Balance Sheet'!F66/'Balance Sheet'!F76</f>
        <v>0.0732491020450213</v>
      </c>
      <c r="D228" s="473" t="n">
        <f aca="false">'Balance Sheet'!G66/'Balance Sheet'!G76</f>
        <v>0.0649045280621338</v>
      </c>
    </row>
    <row r="229" customFormat="false" ht="15" hidden="false" customHeight="false" outlineLevel="0" collapsed="false">
      <c r="A229" s="222" t="s">
        <v>1143</v>
      </c>
    </row>
    <row r="231" customFormat="false" ht="15" hidden="false" customHeight="false" outlineLevel="0" collapsed="false">
      <c r="A231" s="469" t="s">
        <v>1181</v>
      </c>
    </row>
    <row r="232" customFormat="false" ht="15" hidden="false" customHeight="false" outlineLevel="0" collapsed="false">
      <c r="A232" s="467" t="s">
        <v>285</v>
      </c>
      <c r="B232" s="467" t="s">
        <v>1125</v>
      </c>
      <c r="C232" s="467" t="s">
        <v>1126</v>
      </c>
      <c r="D232" s="467" t="s">
        <v>1127</v>
      </c>
    </row>
    <row r="233" customFormat="false" ht="15" hidden="false" customHeight="false" outlineLevel="0" collapsed="false">
      <c r="A233" s="468" t="s">
        <v>533</v>
      </c>
      <c r="B233" s="481" t="n">
        <f aca="false">'Cash Flow Statement'!C19</f>
        <v>-3957011.2</v>
      </c>
      <c r="C233" s="481" t="n">
        <f aca="false">'Cash Flow Statement'!D19</f>
        <v>697143.75</v>
      </c>
      <c r="D233" s="481" t="n">
        <f aca="false">'Cash Flow Statement'!E19</f>
        <v>6282469.2155</v>
      </c>
    </row>
    <row r="234" customFormat="false" ht="15" hidden="false" customHeight="false" outlineLevel="0" collapsed="false">
      <c r="A234" s="468" t="s">
        <v>406</v>
      </c>
      <c r="B234" s="481" t="n">
        <f aca="false">'Cash Flow Statement'!C22</f>
        <v>-5009000</v>
      </c>
      <c r="C234" s="481" t="n">
        <f aca="false">'Cash Flow Statement'!D22</f>
        <v>-6305600</v>
      </c>
      <c r="D234" s="481" t="n">
        <f aca="false">'Cash Flow Statement'!E22</f>
        <v>-5084520</v>
      </c>
    </row>
    <row r="235" customFormat="false" ht="15" hidden="false" customHeight="false" outlineLevel="0" collapsed="false">
      <c r="A235" s="468" t="s">
        <v>1182</v>
      </c>
      <c r="B235" s="479" t="n">
        <f aca="false">'Cash Flow Statement'!C19+'Cash Flow Statement'!C22</f>
        <v>-8966011.2</v>
      </c>
      <c r="C235" s="479" t="n">
        <f aca="false">'Cash Flow Statement'!D19+'Cash Flow Statement'!D22</f>
        <v>-5608456.25</v>
      </c>
      <c r="D235" s="479" t="n">
        <f aca="false">'Cash Flow Statement'!E19+'Cash Flow Statement'!E22</f>
        <v>1197949.2155</v>
      </c>
    </row>
    <row r="236" customFormat="false" ht="15" hidden="false" customHeight="false" outlineLevel="0" collapsed="false">
      <c r="A236" s="468" t="s">
        <v>194</v>
      </c>
      <c r="B236" s="481" t="n">
        <f aca="false">'Cash Flow Statement'!C36</f>
        <v>43988.8000000008</v>
      </c>
      <c r="C236" s="481" t="n">
        <f aca="false">'Cash Flow Statement'!D36</f>
        <v>1735532.55</v>
      </c>
      <c r="D236" s="481" t="n">
        <f aca="false">'Cash Flow Statement'!E36</f>
        <v>2933481.76549999</v>
      </c>
    </row>
    <row r="237" customFormat="false" ht="15" hidden="false" customHeight="false" outlineLevel="0" collapsed="false">
      <c r="A237" s="222" t="s">
        <v>1175</v>
      </c>
    </row>
    <row r="239" customFormat="false" ht="15" hidden="false" customHeight="false" outlineLevel="0" collapsed="false">
      <c r="A239" s="469" t="s">
        <v>1183</v>
      </c>
    </row>
    <row r="240" customFormat="false" ht="15" hidden="false" customHeight="false" outlineLevel="0" collapsed="false">
      <c r="A240" s="467" t="s">
        <v>285</v>
      </c>
      <c r="B240" s="467" t="s">
        <v>1125</v>
      </c>
      <c r="C240" s="467" t="s">
        <v>1126</v>
      </c>
      <c r="D240" s="467" t="s">
        <v>1127</v>
      </c>
    </row>
    <row r="241" customFormat="false" ht="15" hidden="false" customHeight="false" outlineLevel="0" collapsed="false">
      <c r="A241" s="468" t="s">
        <v>1184</v>
      </c>
      <c r="B241" s="483" t="n">
        <f aca="false">'Balance Sheet'!E22/'Balance Sheet'!E58</f>
        <v>17.1994153005465</v>
      </c>
      <c r="C241" s="483" t="n">
        <f aca="false">'Balance Sheet'!F22/'Balance Sheet'!F58</f>
        <v>21.47570915402</v>
      </c>
      <c r="D241" s="483" t="n">
        <f aca="false">'Balance Sheet'!G22/'Balance Sheet'!G58</f>
        <v>23.6292289022572</v>
      </c>
    </row>
    <row r="242" customFormat="false" ht="15" hidden="false" customHeight="false" outlineLevel="0" collapsed="false">
      <c r="A242" s="468" t="s">
        <v>1185</v>
      </c>
      <c r="B242" s="483" t="n">
        <f aca="false">('Balance Sheet'!E22-'Balance Sheet'!E10)/'Balance Sheet'!E58</f>
        <v>8.66457923497268</v>
      </c>
      <c r="C242" s="483" t="n">
        <f aca="false">('Balance Sheet'!F22-'Balance Sheet'!F10)/'Balance Sheet'!F58</f>
        <v>13.4066100258315</v>
      </c>
      <c r="D242" s="483" t="n">
        <f aca="false">('Balance Sheet'!G22-'Balance Sheet'!G10)/'Balance Sheet'!G58</f>
        <v>15.2119132815517</v>
      </c>
    </row>
    <row r="243" customFormat="false" ht="15" hidden="false" customHeight="false" outlineLevel="0" collapsed="false">
      <c r="A243" s="222" t="s">
        <v>1143</v>
      </c>
    </row>
    <row r="245" customFormat="false" ht="15" hidden="false" customHeight="false" outlineLevel="0" collapsed="false">
      <c r="A245" s="469" t="s">
        <v>1186</v>
      </c>
    </row>
    <row r="246" customFormat="false" ht="15" hidden="false" customHeight="false" outlineLevel="0" collapsed="false">
      <c r="A246" s="467" t="s">
        <v>1187</v>
      </c>
      <c r="B246" s="467" t="s">
        <v>589</v>
      </c>
      <c r="C246" s="467" t="s">
        <v>590</v>
      </c>
      <c r="D246" s="467" t="s">
        <v>591</v>
      </c>
    </row>
    <row r="247" customFormat="false" ht="15" hidden="false" customHeight="false" outlineLevel="0" collapsed="false">
      <c r="A247" s="468" t="s">
        <v>592</v>
      </c>
      <c r="B247" s="484" t="n">
        <f aca="false">VCM!B20</f>
        <v>0.65</v>
      </c>
      <c r="C247" s="484" t="n">
        <f aca="false">VCM!C20</f>
        <v>0.8</v>
      </c>
      <c r="D247" s="484" t="n">
        <f aca="false">VCM!D20</f>
        <v>0.725</v>
      </c>
    </row>
    <row r="248" customFormat="false" ht="15" hidden="false" customHeight="false" outlineLevel="0" collapsed="false">
      <c r="A248" s="468" t="s">
        <v>594</v>
      </c>
      <c r="B248" s="484" t="n">
        <f aca="false">VCM!B21</f>
        <v>0.5</v>
      </c>
      <c r="C248" s="484" t="n">
        <f aca="false">VCM!C21</f>
        <v>0.65</v>
      </c>
      <c r="D248" s="484" t="n">
        <f aca="false">VCM!D21</f>
        <v>0.575</v>
      </c>
    </row>
    <row r="249" customFormat="false" ht="15" hidden="false" customHeight="false" outlineLevel="0" collapsed="false">
      <c r="A249" s="468" t="s">
        <v>595</v>
      </c>
      <c r="B249" s="484" t="n">
        <f aca="false">VCM!B22</f>
        <v>0.35</v>
      </c>
      <c r="C249" s="484" t="n">
        <f aca="false">VCM!C22</f>
        <v>0.45</v>
      </c>
      <c r="D249" s="484" t="n">
        <f aca="false">VCM!D22</f>
        <v>0.4</v>
      </c>
    </row>
    <row r="250" customFormat="false" ht="15" hidden="false" customHeight="false" outlineLevel="0" collapsed="false">
      <c r="A250" s="468" t="s">
        <v>596</v>
      </c>
      <c r="B250" s="484" t="n">
        <f aca="false">VCM!B23</f>
        <v>0.2</v>
      </c>
      <c r="C250" s="484" t="n">
        <f aca="false">VCM!C23</f>
        <v>0.3</v>
      </c>
      <c r="D250" s="484" t="n">
        <f aca="false">VCM!D23</f>
        <v>0.25</v>
      </c>
    </row>
    <row r="251" customFormat="false" ht="15" hidden="false" customHeight="false" outlineLevel="0" collapsed="false">
      <c r="A251" s="468" t="s">
        <v>1188</v>
      </c>
      <c r="D251" s="484" t="n">
        <f aca="false">VCM!B6</f>
        <v>0.4</v>
      </c>
    </row>
    <row r="252" customFormat="false" ht="15" hidden="false" customHeight="false" outlineLevel="0" collapsed="false">
      <c r="A252" s="222" t="s">
        <v>1189</v>
      </c>
    </row>
    <row r="254" customFormat="false" ht="15" hidden="false" customHeight="false" outlineLevel="0" collapsed="false">
      <c r="A254" s="469" t="s">
        <v>1190</v>
      </c>
    </row>
    <row r="255" customFormat="false" ht="15" hidden="false" customHeight="false" outlineLevel="0" collapsed="false">
      <c r="A255" s="467" t="s">
        <v>1191</v>
      </c>
      <c r="B255" s="467" t="s">
        <v>1192</v>
      </c>
      <c r="C255" s="467" t="s">
        <v>1193</v>
      </c>
    </row>
    <row r="256" customFormat="false" ht="15" hidden="false" customHeight="false" outlineLevel="0" collapsed="false">
      <c r="A256" s="468" t="s">
        <v>1194</v>
      </c>
      <c r="B256" s="485" t="n">
        <v>7.63</v>
      </c>
      <c r="C256" s="485" t="n">
        <v>8.18</v>
      </c>
    </row>
    <row r="257" customFormat="false" ht="15" hidden="false" customHeight="false" outlineLevel="0" collapsed="false">
      <c r="A257" s="468" t="s">
        <v>1195</v>
      </c>
      <c r="B257" s="485" t="n">
        <v>3.88</v>
      </c>
      <c r="C257" s="485" t="n">
        <v>3.87</v>
      </c>
    </row>
    <row r="258" customFormat="false" ht="15" hidden="false" customHeight="false" outlineLevel="0" collapsed="false">
      <c r="A258" s="468" t="s">
        <v>1196</v>
      </c>
      <c r="B258" s="485" t="n">
        <v>8.44</v>
      </c>
      <c r="C258" s="485" t="n">
        <v>9.81</v>
      </c>
    </row>
    <row r="259" customFormat="false" ht="15" hidden="false" customHeight="false" outlineLevel="0" collapsed="false">
      <c r="A259" s="468" t="s">
        <v>1197</v>
      </c>
      <c r="B259" s="485" t="n">
        <v>8.36</v>
      </c>
      <c r="C259" s="485" t="n">
        <v>8.09</v>
      </c>
    </row>
    <row r="260" customFormat="false" ht="15" hidden="false" customHeight="false" outlineLevel="0" collapsed="false">
      <c r="A260" s="222" t="s">
        <v>1198</v>
      </c>
    </row>
    <row r="262" customFormat="false" ht="15" hidden="false" customHeight="false" outlineLevel="0" collapsed="false">
      <c r="A262" s="469" t="s">
        <v>1199</v>
      </c>
    </row>
    <row r="263" customFormat="false" ht="22.35" hidden="false" customHeight="false" outlineLevel="0" collapsed="false">
      <c r="A263" s="467" t="s">
        <v>285</v>
      </c>
      <c r="B263" s="467" t="s">
        <v>1200</v>
      </c>
    </row>
    <row r="264" customFormat="false" ht="15" hidden="false" customHeight="false" outlineLevel="0" collapsed="false">
      <c r="A264" s="468" t="s">
        <v>1201</v>
      </c>
      <c r="B264" s="485" t="n">
        <v>4.45</v>
      </c>
    </row>
    <row r="265" customFormat="false" ht="15" hidden="false" customHeight="false" outlineLevel="0" collapsed="false">
      <c r="A265" s="468" t="s">
        <v>1202</v>
      </c>
      <c r="B265" s="485" t="n">
        <v>4.24</v>
      </c>
    </row>
    <row r="266" customFormat="false" ht="15" hidden="false" customHeight="false" outlineLevel="0" collapsed="false">
      <c r="A266" s="468" t="s">
        <v>1203</v>
      </c>
      <c r="B266" s="485" t="n">
        <v>6.71</v>
      </c>
    </row>
    <row r="267" customFormat="false" ht="15" hidden="false" customHeight="false" outlineLevel="0" collapsed="false">
      <c r="A267" s="468" t="s">
        <v>1204</v>
      </c>
      <c r="B267" s="486" t="n">
        <f aca="false">Drivers!F11*100</f>
        <v>2</v>
      </c>
    </row>
    <row r="268" customFormat="false" ht="15" hidden="false" customHeight="false" outlineLevel="0" collapsed="false">
      <c r="A268" s="222" t="s">
        <v>1205</v>
      </c>
    </row>
    <row r="270" customFormat="false" ht="15" hidden="false" customHeight="false" outlineLevel="0" collapsed="false">
      <c r="A270" s="469" t="s">
        <v>1206</v>
      </c>
    </row>
    <row r="271" customFormat="false" ht="15" hidden="false" customHeight="false" outlineLevel="0" collapsed="false">
      <c r="A271" s="467" t="s">
        <v>1207</v>
      </c>
      <c r="B271" s="467" t="s">
        <v>1208</v>
      </c>
      <c r="C271" s="467" t="s">
        <v>1209</v>
      </c>
    </row>
    <row r="272" customFormat="false" ht="15" hidden="false" customHeight="false" outlineLevel="0" collapsed="false">
      <c r="A272" s="468" t="s">
        <v>1210</v>
      </c>
      <c r="B272" s="487" t="n">
        <v>8.1</v>
      </c>
      <c r="C272" s="483" t="s">
        <v>1211</v>
      </c>
    </row>
    <row r="273" customFormat="false" ht="15" hidden="false" customHeight="false" outlineLevel="0" collapsed="false">
      <c r="A273" s="468" t="s">
        <v>1212</v>
      </c>
      <c r="B273" s="487" t="n">
        <v>10.5</v>
      </c>
      <c r="C273" s="483" t="s">
        <v>1211</v>
      </c>
    </row>
    <row r="274" customFormat="false" ht="15" hidden="false" customHeight="false" outlineLevel="0" collapsed="false">
      <c r="A274" s="468" t="s">
        <v>1213</v>
      </c>
      <c r="B274" s="487" t="n">
        <v>4.1</v>
      </c>
      <c r="C274" s="483" t="s">
        <v>1214</v>
      </c>
    </row>
    <row r="275" customFormat="false" ht="15" hidden="false" customHeight="false" outlineLevel="0" collapsed="false">
      <c r="A275" s="468" t="s">
        <v>1215</v>
      </c>
      <c r="B275" s="487" t="n">
        <v>12.4</v>
      </c>
      <c r="C275" s="483" t="s">
        <v>1214</v>
      </c>
    </row>
    <row r="276" customFormat="false" ht="15" hidden="false" customHeight="false" outlineLevel="0" collapsed="false">
      <c r="A276" s="468" t="s">
        <v>1216</v>
      </c>
      <c r="B276" s="487" t="n">
        <v>6</v>
      </c>
      <c r="C276" s="483" t="s">
        <v>1080</v>
      </c>
    </row>
    <row r="277" customFormat="false" ht="15" hidden="false" customHeight="false" outlineLevel="0" collapsed="false">
      <c r="A277" s="468" t="s">
        <v>1217</v>
      </c>
      <c r="B277" s="488" t="n">
        <v>50</v>
      </c>
      <c r="C277" s="489" t="s">
        <v>1080</v>
      </c>
    </row>
    <row r="278" customFormat="false" ht="15" hidden="false" customHeight="false" outlineLevel="0" collapsed="false">
      <c r="A278" s="468" t="s">
        <v>1218</v>
      </c>
      <c r="B278" s="490" t="n">
        <f aca="false">'Discount rate'!B15*100</f>
        <v>10</v>
      </c>
      <c r="C278" s="490" t="s">
        <v>1219</v>
      </c>
    </row>
    <row r="279" customFormat="false" ht="15" hidden="false" customHeight="false" outlineLevel="0" collapsed="false">
      <c r="A279" s="222" t="s">
        <v>1220</v>
      </c>
    </row>
    <row r="281" customFormat="false" ht="15" hidden="false" customHeight="false" outlineLevel="0" collapsed="false">
      <c r="A281" s="469" t="s">
        <v>1221</v>
      </c>
    </row>
    <row r="282" customFormat="false" ht="15" hidden="false" customHeight="false" outlineLevel="0" collapsed="false">
      <c r="A282" s="467" t="s">
        <v>1222</v>
      </c>
      <c r="B282" s="467" t="s">
        <v>347</v>
      </c>
    </row>
    <row r="283" customFormat="false" ht="15" hidden="false" customHeight="false" outlineLevel="0" collapsed="false">
      <c r="A283" s="468" t="s">
        <v>1223</v>
      </c>
      <c r="B283" s="478" t="n">
        <v>26083</v>
      </c>
    </row>
    <row r="284" customFormat="false" ht="15" hidden="false" customHeight="false" outlineLevel="0" collapsed="false">
      <c r="A284" s="468" t="s">
        <v>1224</v>
      </c>
      <c r="B284" s="478" t="n">
        <v>25640</v>
      </c>
    </row>
    <row r="285" customFormat="false" ht="15" hidden="false" customHeight="false" outlineLevel="0" collapsed="false">
      <c r="A285" s="468" t="s">
        <v>1225</v>
      </c>
      <c r="B285" s="478" t="n">
        <v>26210</v>
      </c>
    </row>
    <row r="286" customFormat="false" ht="15" hidden="false" customHeight="false" outlineLevel="0" collapsed="false">
      <c r="A286" s="468" t="s">
        <v>1226</v>
      </c>
      <c r="B286" s="478" t="n">
        <v>26800</v>
      </c>
    </row>
    <row r="287" customFormat="false" ht="15" hidden="false" customHeight="false" outlineLevel="0" collapsed="false">
      <c r="A287" s="468" t="s">
        <v>1227</v>
      </c>
      <c r="B287" s="478" t="n">
        <v>27000</v>
      </c>
    </row>
    <row r="288" customFormat="false" ht="15" hidden="false" customHeight="false" outlineLevel="0" collapsed="false">
      <c r="A288" s="468" t="s">
        <v>1228</v>
      </c>
      <c r="B288" s="481" t="n">
        <f aca="false">Drivers!F46</f>
        <v>26300</v>
      </c>
    </row>
    <row r="289" customFormat="false" ht="15" hidden="false" customHeight="false" outlineLevel="0" collapsed="false">
      <c r="A289" s="468" t="s">
        <v>1229</v>
      </c>
      <c r="B289" s="481" t="n">
        <f aca="false">Drivers!J46</f>
        <v>28467.965808</v>
      </c>
    </row>
    <row r="290" customFormat="false" ht="15" hidden="false" customHeight="false" outlineLevel="0" collapsed="false">
      <c r="A290" s="222" t="s">
        <v>1230</v>
      </c>
    </row>
    <row r="292" customFormat="false" ht="15" hidden="false" customHeight="false" outlineLevel="0" collapsed="false">
      <c r="A292" s="469" t="s">
        <v>1231</v>
      </c>
    </row>
    <row r="293" customFormat="false" ht="15" hidden="false" customHeight="false" outlineLevel="0" collapsed="false">
      <c r="A293" s="467" t="s">
        <v>285</v>
      </c>
      <c r="B293" s="467" t="s">
        <v>1232</v>
      </c>
      <c r="C293" s="467" t="s">
        <v>1125</v>
      </c>
      <c r="D293" s="467" t="s">
        <v>1126</v>
      </c>
      <c r="E293" s="467" t="s">
        <v>1127</v>
      </c>
    </row>
    <row r="294" customFormat="false" ht="15" hidden="false" customHeight="false" outlineLevel="0" collapsed="false">
      <c r="A294" s="468" t="s">
        <v>1233</v>
      </c>
      <c r="B294" s="478" t="n">
        <v>634</v>
      </c>
      <c r="C294" s="478" t="n">
        <v>529</v>
      </c>
      <c r="D294" s="479" t="n">
        <f aca="false">E294/1.28</f>
        <v>397.65625</v>
      </c>
      <c r="E294" s="478" t="n">
        <v>509</v>
      </c>
    </row>
    <row r="295" customFormat="false" ht="15" hidden="false" customHeight="false" outlineLevel="0" collapsed="false">
      <c r="A295" s="222" t="s">
        <v>1234</v>
      </c>
    </row>
    <row r="297" customFormat="false" ht="15" hidden="false" customHeight="false" outlineLevel="0" collapsed="false">
      <c r="A297" s="469" t="s">
        <v>1235</v>
      </c>
    </row>
    <row r="298" customFormat="false" ht="15" hidden="false" customHeight="false" outlineLevel="0" collapsed="false">
      <c r="A298" s="467" t="s">
        <v>285</v>
      </c>
      <c r="B298" s="467" t="s">
        <v>1080</v>
      </c>
      <c r="C298" s="467" t="s">
        <v>1236</v>
      </c>
      <c r="D298" s="467" t="s">
        <v>1237</v>
      </c>
      <c r="E298" s="467" t="s">
        <v>1238</v>
      </c>
      <c r="F298" s="467" t="s">
        <v>1239</v>
      </c>
      <c r="G298" s="467" t="s">
        <v>1081</v>
      </c>
    </row>
    <row r="299" customFormat="false" ht="15" hidden="false" customHeight="false" outlineLevel="0" collapsed="false">
      <c r="A299" s="468" t="s">
        <v>1240</v>
      </c>
      <c r="B299" s="484" t="n">
        <f aca="false">Drivers!F135</f>
        <v>0.17</v>
      </c>
      <c r="C299" s="484" t="n">
        <f aca="false">Drivers!G135</f>
        <v>0.2</v>
      </c>
      <c r="D299" s="484" t="n">
        <f aca="false">Drivers!H135</f>
        <v>0.2</v>
      </c>
      <c r="E299" s="484" t="n">
        <f aca="false">Drivers!I135</f>
        <v>0.2</v>
      </c>
      <c r="F299" s="484" t="n">
        <f aca="false">Drivers!J135</f>
        <v>0.2</v>
      </c>
      <c r="G299" s="484" t="n">
        <f aca="false">Assumption!$D$15</f>
        <v>0.2</v>
      </c>
    </row>
    <row r="300" customFormat="false" ht="15" hidden="false" customHeight="false" outlineLevel="0" collapsed="false">
      <c r="A300" s="468" t="s">
        <v>1241</v>
      </c>
      <c r="B300" s="477" t="n">
        <v>0</v>
      </c>
      <c r="C300" s="477" t="n">
        <v>0</v>
      </c>
      <c r="D300" s="491" t="n">
        <f aca="false">Assumption!$D$15*0.5</f>
        <v>0.1</v>
      </c>
      <c r="E300" s="491" t="n">
        <f aca="false">Assumption!$D$15*0.5</f>
        <v>0.1</v>
      </c>
      <c r="F300" s="491" t="n">
        <f aca="false">Assumption!$D$15*0.5</f>
        <v>0.1</v>
      </c>
      <c r="G300" s="491" t="n">
        <f aca="false">Assumption!$D$15*0.5</f>
        <v>0.1</v>
      </c>
    </row>
    <row r="301" customFormat="false" ht="15" hidden="false" customHeight="false" outlineLevel="0" collapsed="false">
      <c r="A301" s="222" t="s">
        <v>1242</v>
      </c>
    </row>
    <row r="303" customFormat="false" ht="15" hidden="false" customHeight="false" outlineLevel="0" collapsed="false">
      <c r="A303" s="469" t="s">
        <v>1243</v>
      </c>
    </row>
    <row r="304" customFormat="false" ht="15" hidden="false" customHeight="false" outlineLevel="0" collapsed="false">
      <c r="A304" s="467" t="s">
        <v>1244</v>
      </c>
      <c r="B304" s="467" t="s">
        <v>1245</v>
      </c>
    </row>
    <row r="305" customFormat="false" ht="15" hidden="false" customHeight="false" outlineLevel="0" collapsed="false">
      <c r="A305" s="468" t="s">
        <v>1246</v>
      </c>
      <c r="B305" s="485" t="n">
        <v>12.6</v>
      </c>
    </row>
    <row r="306" customFormat="false" ht="15" hidden="false" customHeight="false" outlineLevel="0" collapsed="false">
      <c r="A306" s="468" t="s">
        <v>1247</v>
      </c>
      <c r="B306" s="485" t="n">
        <v>11.78</v>
      </c>
    </row>
    <row r="307" customFormat="false" ht="15" hidden="false" customHeight="false" outlineLevel="0" collapsed="false">
      <c r="A307" s="468" t="s">
        <v>1248</v>
      </c>
      <c r="B307" s="485" t="n">
        <v>9.73</v>
      </c>
    </row>
    <row r="308" customFormat="false" ht="15" hidden="false" customHeight="false" outlineLevel="0" collapsed="false">
      <c r="A308" s="468" t="s">
        <v>1249</v>
      </c>
      <c r="B308" s="485" t="n">
        <v>8.44</v>
      </c>
    </row>
    <row r="309" customFormat="false" ht="15" hidden="false" customHeight="false" outlineLevel="0" collapsed="false">
      <c r="A309" s="468" t="s">
        <v>1250</v>
      </c>
      <c r="B309" s="485" t="n">
        <v>8.35</v>
      </c>
    </row>
    <row r="310" customFormat="false" ht="15" hidden="false" customHeight="false" outlineLevel="0" collapsed="false">
      <c r="A310" s="468" t="s">
        <v>1251</v>
      </c>
      <c r="B310" s="485" t="n">
        <v>4.73</v>
      </c>
    </row>
    <row r="311" customFormat="false" ht="15" hidden="false" customHeight="false" outlineLevel="0" collapsed="false">
      <c r="A311" s="468" t="s">
        <v>1252</v>
      </c>
      <c r="B311" s="485" t="n">
        <v>4.15</v>
      </c>
    </row>
    <row r="312" customFormat="false" ht="15" hidden="false" customHeight="false" outlineLevel="0" collapsed="false">
      <c r="A312" s="468" t="s">
        <v>1253</v>
      </c>
      <c r="B312" s="485" t="n">
        <v>3.07</v>
      </c>
    </row>
    <row r="313" customFormat="false" ht="15" hidden="false" customHeight="false" outlineLevel="0" collapsed="false">
      <c r="A313" s="468" t="s">
        <v>1254</v>
      </c>
      <c r="B313" s="486" t="n">
        <f aca="false">((Drivers!J39/Drivers!E39)^(1/5)-1)*100</f>
        <v>29.0708646106224</v>
      </c>
    </row>
    <row r="314" customFormat="false" ht="15" hidden="false" customHeight="false" outlineLevel="0" collapsed="false">
      <c r="A314" s="222" t="s">
        <v>1255</v>
      </c>
    </row>
    <row r="316" customFormat="false" ht="15" hidden="false" customHeight="false" outlineLevel="0" collapsed="false">
      <c r="A316" s="469" t="s">
        <v>1256</v>
      </c>
    </row>
    <row r="317" customFormat="false" ht="22.35" hidden="false" customHeight="false" outlineLevel="0" collapsed="false">
      <c r="A317" s="467" t="s">
        <v>1257</v>
      </c>
      <c r="B317" s="467" t="s">
        <v>1258</v>
      </c>
    </row>
    <row r="318" customFormat="false" ht="15" hidden="false" customHeight="false" outlineLevel="0" collapsed="false">
      <c r="A318" s="468" t="s">
        <v>1259</v>
      </c>
      <c r="B318" s="478" t="n">
        <v>2850</v>
      </c>
    </row>
    <row r="319" customFormat="false" ht="15" hidden="false" customHeight="false" outlineLevel="0" collapsed="false">
      <c r="A319" s="468" t="s">
        <v>1260</v>
      </c>
      <c r="B319" s="478" t="n">
        <v>2110</v>
      </c>
    </row>
    <row r="320" customFormat="false" ht="15" hidden="false" customHeight="false" outlineLevel="0" collapsed="false">
      <c r="A320" s="468" t="s">
        <v>1261</v>
      </c>
      <c r="B320" s="492" t="n">
        <v>1129.79</v>
      </c>
    </row>
    <row r="321" customFormat="false" ht="15" hidden="false" customHeight="false" outlineLevel="0" collapsed="false">
      <c r="A321" s="468" t="s">
        <v>1262</v>
      </c>
      <c r="B321" s="492" t="n">
        <v>69.5</v>
      </c>
    </row>
    <row r="322" customFormat="false" ht="15" hidden="false" customHeight="false" outlineLevel="0" collapsed="false">
      <c r="A322" s="468" t="s">
        <v>1263</v>
      </c>
      <c r="B322" s="492" t="n">
        <v>33.93</v>
      </c>
    </row>
    <row r="323" customFormat="false" ht="15" hidden="false" customHeight="false" outlineLevel="0" collapsed="false">
      <c r="A323" s="222" t="s">
        <v>1264</v>
      </c>
    </row>
    <row r="325" customFormat="false" ht="15" hidden="false" customHeight="false" outlineLevel="0" collapsed="false">
      <c r="A325" s="469" t="s">
        <v>1265</v>
      </c>
    </row>
    <row r="326" customFormat="false" ht="15" hidden="false" customHeight="false" outlineLevel="0" collapsed="false">
      <c r="A326" s="467" t="s">
        <v>1207</v>
      </c>
      <c r="B326" s="467" t="s">
        <v>308</v>
      </c>
    </row>
    <row r="327" customFormat="false" ht="15" hidden="false" customHeight="false" outlineLevel="0" collapsed="false">
      <c r="A327" s="468" t="s">
        <v>1266</v>
      </c>
      <c r="B327" s="487" t="n">
        <v>92.1</v>
      </c>
    </row>
    <row r="328" customFormat="false" ht="15" hidden="false" customHeight="false" outlineLevel="0" collapsed="false">
      <c r="A328" s="468" t="s">
        <v>1267</v>
      </c>
      <c r="B328" s="487" t="n">
        <v>65</v>
      </c>
    </row>
    <row r="329" customFormat="false" ht="15" hidden="false" customHeight="false" outlineLevel="0" collapsed="false">
      <c r="A329" s="468" t="s">
        <v>1268</v>
      </c>
      <c r="B329" s="487" t="n">
        <v>60</v>
      </c>
    </row>
    <row r="330" customFormat="false" ht="15" hidden="false" customHeight="false" outlineLevel="0" collapsed="false">
      <c r="A330" s="468" t="s">
        <v>1269</v>
      </c>
      <c r="B330" s="487" t="n">
        <v>57.4</v>
      </c>
    </row>
    <row r="331" customFormat="false" ht="15" hidden="false" customHeight="false" outlineLevel="0" collapsed="false">
      <c r="A331" s="468" t="s">
        <v>1270</v>
      </c>
      <c r="B331" s="487" t="n">
        <v>25</v>
      </c>
    </row>
    <row r="332" customFormat="false" ht="15" hidden="false" customHeight="false" outlineLevel="0" collapsed="false">
      <c r="A332" s="468" t="s">
        <v>1271</v>
      </c>
      <c r="B332" s="483" t="n">
        <f aca="false">(475.04/405.94-1)*100</f>
        <v>17.0222200325171</v>
      </c>
    </row>
    <row r="333" customFormat="false" ht="15" hidden="false" customHeight="false" outlineLevel="0" collapsed="false">
      <c r="A333" s="222" t="s">
        <v>1272</v>
      </c>
    </row>
    <row r="335" customFormat="false" ht="15" hidden="false" customHeight="false" outlineLevel="0" collapsed="false">
      <c r="A335" s="469" t="s">
        <v>1273</v>
      </c>
    </row>
    <row r="336" customFormat="false" ht="32.8" hidden="false" customHeight="false" outlineLevel="0" collapsed="false">
      <c r="A336" s="467" t="s">
        <v>1145</v>
      </c>
      <c r="B336" s="467" t="s">
        <v>1274</v>
      </c>
      <c r="C336" s="467" t="s">
        <v>1275</v>
      </c>
    </row>
    <row r="337" customFormat="false" ht="15" hidden="false" customHeight="false" outlineLevel="0" collapsed="false">
      <c r="A337" s="468" t="s">
        <v>1276</v>
      </c>
      <c r="B337" s="478" t="n">
        <v>108</v>
      </c>
      <c r="C337" s="478" t="n">
        <v>108</v>
      </c>
    </row>
    <row r="338" customFormat="false" ht="15" hidden="false" customHeight="false" outlineLevel="0" collapsed="false">
      <c r="A338" s="468" t="s">
        <v>1277</v>
      </c>
      <c r="B338" s="478" t="n">
        <v>54</v>
      </c>
      <c r="C338" s="478" t="n">
        <v>54</v>
      </c>
    </row>
    <row r="339" customFormat="false" ht="15" hidden="false" customHeight="false" outlineLevel="0" collapsed="false">
      <c r="A339" s="468" t="s">
        <v>1278</v>
      </c>
      <c r="B339" s="478" t="n">
        <v>20</v>
      </c>
      <c r="C339" s="478" t="n">
        <v>43</v>
      </c>
    </row>
    <row r="340" customFormat="false" ht="15" hidden="false" customHeight="false" outlineLevel="0" collapsed="false">
      <c r="A340" s="468" t="s">
        <v>1279</v>
      </c>
      <c r="B340" s="478" t="n">
        <v>3</v>
      </c>
      <c r="C340" s="478" t="n">
        <v>4</v>
      </c>
    </row>
    <row r="341" customFormat="false" ht="15" hidden="false" customHeight="false" outlineLevel="0" collapsed="false">
      <c r="A341" s="222" t="s">
        <v>1280</v>
      </c>
    </row>
    <row r="343" customFormat="false" ht="15" hidden="false" customHeight="false" outlineLevel="0" collapsed="false">
      <c r="A343" s="469" t="s">
        <v>1281</v>
      </c>
    </row>
    <row r="344" customFormat="false" ht="22.35" hidden="false" customHeight="false" outlineLevel="0" collapsed="false">
      <c r="A344" s="467" t="s">
        <v>1282</v>
      </c>
      <c r="B344" s="467" t="s">
        <v>1283</v>
      </c>
      <c r="C344" s="467" t="s">
        <v>290</v>
      </c>
      <c r="D344" s="467" t="s">
        <v>291</v>
      </c>
      <c r="E344" s="467" t="s">
        <v>294</v>
      </c>
    </row>
    <row r="345" customFormat="false" ht="15" hidden="false" customHeight="false" outlineLevel="0" collapsed="false">
      <c r="A345" s="468" t="s">
        <v>1284</v>
      </c>
      <c r="B345" s="484" t="s">
        <v>1285</v>
      </c>
      <c r="C345" s="484" t="n">
        <f aca="false">Drivers!F13</f>
        <v>0.32</v>
      </c>
      <c r="D345" s="484" t="n">
        <f aca="false">Drivers!G13</f>
        <v>0.22</v>
      </c>
      <c r="E345" s="484" t="n">
        <f aca="false">Drivers!J13</f>
        <v>0.17</v>
      </c>
    </row>
    <row r="346" customFormat="false" ht="15" hidden="false" customHeight="false" outlineLevel="0" collapsed="false">
      <c r="A346" s="468" t="s">
        <v>1286</v>
      </c>
      <c r="B346" s="484" t="s">
        <v>480</v>
      </c>
      <c r="C346" s="484" t="n">
        <f aca="false">Drivers!F27</f>
        <v>0.3</v>
      </c>
      <c r="D346" s="484" t="n">
        <f aca="false">Drivers!G27</f>
        <v>0.3</v>
      </c>
      <c r="E346" s="484" t="n">
        <f aca="false">Drivers!J27</f>
        <v>0.25</v>
      </c>
    </row>
    <row r="347" customFormat="false" ht="15" hidden="false" customHeight="false" outlineLevel="0" collapsed="false">
      <c r="A347" s="468" t="s">
        <v>1287</v>
      </c>
      <c r="B347" s="471" t="s">
        <v>1288</v>
      </c>
      <c r="C347" s="471" t="n">
        <f aca="false">Drivers!F11</f>
        <v>0.02</v>
      </c>
      <c r="D347" s="471" t="n">
        <f aca="false">Drivers!G11</f>
        <v>0.02</v>
      </c>
      <c r="E347" s="471" t="n">
        <f aca="false">Drivers!J11</f>
        <v>0.02</v>
      </c>
    </row>
    <row r="348" customFormat="false" ht="15" hidden="false" customHeight="false" outlineLevel="0" collapsed="false">
      <c r="A348" s="468" t="s">
        <v>1289</v>
      </c>
      <c r="B348" s="471" t="s">
        <v>1290</v>
      </c>
      <c r="C348" s="471" t="n">
        <f aca="false">Drivers!F54</f>
        <v>0.25</v>
      </c>
      <c r="D348" s="471" t="n">
        <f aca="false">Drivers!G54</f>
        <v>0.255</v>
      </c>
      <c r="E348" s="471" t="n">
        <f aca="false">Drivers!J54</f>
        <v>0.27</v>
      </c>
    </row>
    <row r="349" customFormat="false" ht="15" hidden="false" customHeight="false" outlineLevel="0" collapsed="false">
      <c r="A349" s="468" t="s">
        <v>1291</v>
      </c>
      <c r="B349" s="471" t="s">
        <v>1292</v>
      </c>
      <c r="C349" s="471" t="n">
        <f aca="false">Drivers!F69</f>
        <v>0.05</v>
      </c>
      <c r="D349" s="471" t="n">
        <f aca="false">Drivers!G69</f>
        <v>0.05</v>
      </c>
      <c r="E349" s="471" t="n">
        <f aca="false">Drivers!J69</f>
        <v>0.05</v>
      </c>
    </row>
    <row r="350" customFormat="false" ht="15" hidden="false" customHeight="false" outlineLevel="0" collapsed="false">
      <c r="A350" s="468" t="s">
        <v>1293</v>
      </c>
      <c r="B350" s="471" t="s">
        <v>1294</v>
      </c>
      <c r="C350" s="471" t="n">
        <f aca="false">Drivers!F61</f>
        <v>0.225</v>
      </c>
      <c r="D350" s="471" t="n">
        <f aca="false">Drivers!G61</f>
        <v>0.23</v>
      </c>
      <c r="E350" s="471" t="n">
        <f aca="false">Drivers!J61</f>
        <v>0.225</v>
      </c>
    </row>
    <row r="351" customFormat="false" ht="15" hidden="false" customHeight="false" outlineLevel="0" collapsed="false">
      <c r="A351" s="468" t="s">
        <v>1295</v>
      </c>
      <c r="B351" s="471" t="s">
        <v>1296</v>
      </c>
      <c r="C351" s="471" t="n">
        <f aca="false">Drivers!F73</f>
        <v>0.006</v>
      </c>
      <c r="D351" s="471" t="n">
        <f aca="false">Drivers!G73</f>
        <v>0.006</v>
      </c>
      <c r="E351" s="471" t="n">
        <f aca="false">Drivers!J73</f>
        <v>0.006</v>
      </c>
    </row>
    <row r="352" customFormat="false" ht="15" hidden="false" customHeight="false" outlineLevel="0" collapsed="false">
      <c r="A352" s="468" t="s">
        <v>1297</v>
      </c>
      <c r="B352" s="484" t="s">
        <v>1298</v>
      </c>
      <c r="C352" s="484" t="n">
        <f aca="false">Drivers!F93</f>
        <v>0.2</v>
      </c>
      <c r="D352" s="484" t="n">
        <f aca="false">Drivers!G93</f>
        <v>0.65</v>
      </c>
      <c r="E352" s="484" t="n">
        <f aca="false">Drivers!J93</f>
        <v>0.1</v>
      </c>
    </row>
    <row r="353" customFormat="false" ht="15" hidden="false" customHeight="false" outlineLevel="0" collapsed="false">
      <c r="A353" s="468" t="s">
        <v>1299</v>
      </c>
      <c r="B353" s="471" t="s">
        <v>1300</v>
      </c>
      <c r="C353" s="471" t="n">
        <f aca="false">Drivers!F128</f>
        <v>0.1</v>
      </c>
      <c r="D353" s="471" t="n">
        <f aca="false">Drivers!G128</f>
        <v>0.1</v>
      </c>
      <c r="E353" s="471" t="n">
        <f aca="false">Drivers!J128</f>
        <v>0.1</v>
      </c>
    </row>
    <row r="354" customFormat="false" ht="15" hidden="false" customHeight="false" outlineLevel="0" collapsed="false">
      <c r="A354" s="468" t="s">
        <v>1301</v>
      </c>
      <c r="B354" s="484" t="s">
        <v>1302</v>
      </c>
      <c r="C354" s="484" t="n">
        <f aca="false">Drivers!F135</f>
        <v>0.17</v>
      </c>
      <c r="D354" s="484" t="n">
        <f aca="false">Drivers!G135</f>
        <v>0.2</v>
      </c>
      <c r="E354" s="484" t="n">
        <f aca="false">Drivers!J135</f>
        <v>0.2</v>
      </c>
    </row>
    <row r="355" customFormat="false" ht="15" hidden="false" customHeight="false" outlineLevel="0" collapsed="false">
      <c r="A355" s="468" t="s">
        <v>1303</v>
      </c>
      <c r="B355" s="481" t="s">
        <v>1304</v>
      </c>
      <c r="C355" s="481" t="n">
        <f aca="false">Drivers!F46</f>
        <v>26300</v>
      </c>
      <c r="D355" s="481" t="n">
        <f aca="false">Drivers!G46</f>
        <v>26826</v>
      </c>
      <c r="E355" s="481" t="n">
        <f aca="false">Drivers!J46</f>
        <v>28467.965808</v>
      </c>
    </row>
    <row r="356" customFormat="false" ht="15" hidden="false" customHeight="false" outlineLevel="0" collapsed="false">
      <c r="A356" s="468" t="s">
        <v>1305</v>
      </c>
      <c r="B356" s="484" t="s">
        <v>1306</v>
      </c>
      <c r="C356" s="484" t="n">
        <f aca="false">VCM!B6</f>
        <v>0.4</v>
      </c>
    </row>
    <row r="357" customFormat="false" ht="15" hidden="false" customHeight="false" outlineLevel="0" collapsed="false">
      <c r="A357" s="468" t="s">
        <v>1307</v>
      </c>
      <c r="B357" s="493" t="s">
        <v>1308</v>
      </c>
      <c r="C357" s="493" t="n">
        <f aca="false">'Discount rate'!B13</f>
        <v>0.039207</v>
      </c>
    </row>
    <row r="358" customFormat="false" ht="15" hidden="false" customHeight="false" outlineLevel="0" collapsed="false">
      <c r="A358" s="468" t="s">
        <v>1309</v>
      </c>
      <c r="B358" s="490" t="s">
        <v>1310</v>
      </c>
      <c r="C358" s="490" t="n">
        <f aca="false">VCM!B32</f>
        <v>8</v>
      </c>
    </row>
    <row r="359" customFormat="false" ht="15" hidden="false" customHeight="false" outlineLevel="0" collapsed="false">
      <c r="A359" s="222" t="s">
        <v>1311</v>
      </c>
    </row>
    <row r="361" customFormat="false" ht="15" hidden="false" customHeight="false" outlineLevel="0" collapsed="false">
      <c r="A361" s="469" t="s">
        <v>1312</v>
      </c>
    </row>
    <row r="362" customFormat="false" ht="22.35" hidden="false" customHeight="false" outlineLevel="0" collapsed="false">
      <c r="A362" s="467" t="s">
        <v>1313</v>
      </c>
      <c r="B362" s="467" t="s">
        <v>1314</v>
      </c>
      <c r="C362" s="467" t="s">
        <v>1315</v>
      </c>
      <c r="D362" s="467" t="s">
        <v>756</v>
      </c>
      <c r="E362" s="467" t="s">
        <v>757</v>
      </c>
      <c r="F362" s="467" t="s">
        <v>764</v>
      </c>
      <c r="G362" s="467" t="s">
        <v>765</v>
      </c>
      <c r="H362" s="467" t="s">
        <v>766</v>
      </c>
      <c r="I362" s="467" t="s">
        <v>767</v>
      </c>
    </row>
    <row r="363" customFormat="false" ht="15" hidden="false" customHeight="false" outlineLevel="0" collapsed="false">
      <c r="A363" s="468" t="s">
        <v>1316</v>
      </c>
      <c r="D363" s="470" t="n">
        <f aca="false">Summary!B51</f>
        <v>28.7792676740121</v>
      </c>
      <c r="E363" s="470" t="n">
        <f aca="false">Summary!C51</f>
        <v>28.7792676740121</v>
      </c>
      <c r="F363" s="470" t="n">
        <f aca="false">Summary!J51</f>
        <v>170.317748046407</v>
      </c>
      <c r="G363" s="470" t="n">
        <f aca="false">Summary!K51</f>
        <v>170.317748046407</v>
      </c>
      <c r="H363" s="470" t="n">
        <f aca="false">Summary!L51</f>
        <v>13.8547081054738</v>
      </c>
      <c r="I363" s="470" t="n">
        <f aca="false">Summary!M51</f>
        <v>13.8547081054738</v>
      </c>
    </row>
    <row r="364" customFormat="false" ht="15" hidden="false" customHeight="false" outlineLevel="0" collapsed="false">
      <c r="A364" s="468" t="s">
        <v>1317</v>
      </c>
      <c r="B364" s="470" t="n">
        <f aca="false">Summary!D52</f>
        <v>-27.5757859578914</v>
      </c>
      <c r="C364" s="470" t="n">
        <f aca="false">Summary!E52</f>
        <v>32.2932410181635</v>
      </c>
      <c r="D364" s="470" t="n">
        <f aca="false">Summary!B52</f>
        <v>1.20348171612066</v>
      </c>
      <c r="E364" s="470" t="n">
        <f aca="false">Summary!C52</f>
        <v>61.0725086921756</v>
      </c>
      <c r="F364" s="470" t="n">
        <f aca="false">Summary!J52</f>
        <v>137.259386260341</v>
      </c>
      <c r="G364" s="470" t="n">
        <f aca="false">Summary!K52</f>
        <v>209.565440708054</v>
      </c>
      <c r="H364" s="470" t="n">
        <f aca="false">Summary!L52</f>
        <v>6.5651549352034</v>
      </c>
      <c r="I364" s="470" t="n">
        <f aca="false">Summary!M52</f>
        <v>22.6244231602783</v>
      </c>
    </row>
    <row r="365" customFormat="false" ht="15" hidden="false" customHeight="false" outlineLevel="0" collapsed="false">
      <c r="A365" s="468" t="s">
        <v>1318</v>
      </c>
      <c r="B365" s="470" t="n">
        <f aca="false">Summary!D53</f>
        <v>-6.830269805754</v>
      </c>
      <c r="C365" s="470" t="n">
        <f aca="false">Summary!E53</f>
        <v>7.1103149876981</v>
      </c>
      <c r="D365" s="470" t="n">
        <f aca="false">Summary!B53</f>
        <v>21.9489978682581</v>
      </c>
      <c r="E365" s="470" t="n">
        <f aca="false">Summary!C53</f>
        <v>35.8895826617102</v>
      </c>
      <c r="F365" s="470" t="n">
        <f aca="false">Summary!J53</f>
        <v>162.126023734606</v>
      </c>
      <c r="G365" s="470" t="n">
        <f aca="false">Summary!K53</f>
        <v>178.837298929894</v>
      </c>
      <c r="H365" s="470" t="n">
        <f aca="false">Summary!L53</f>
        <v>12.0296873871274</v>
      </c>
      <c r="I365" s="470" t="n">
        <f aca="false">Summary!M53</f>
        <v>15.7584823404092</v>
      </c>
    </row>
    <row r="366" customFormat="false" ht="15" hidden="false" customHeight="false" outlineLevel="0" collapsed="false">
      <c r="A366" s="468" t="s">
        <v>1319</v>
      </c>
      <c r="B366" s="470" t="n">
        <f aca="false">Summary!D54</f>
        <v>-8.5402075516386</v>
      </c>
      <c r="C366" s="470" t="n">
        <f aca="false">Summary!E54</f>
        <v>8.3199643397814</v>
      </c>
      <c r="D366" s="470" t="n">
        <f aca="false">Summary!B54</f>
        <v>20.2390601223735</v>
      </c>
      <c r="E366" s="470" t="n">
        <f aca="false">Summary!C54</f>
        <v>37.0992320137935</v>
      </c>
      <c r="F366" s="470" t="n">
        <f aca="false">Summary!J54</f>
        <v>170.317748046407</v>
      </c>
      <c r="G366" s="470" t="n">
        <f aca="false">Summary!K54</f>
        <v>170.317748046407</v>
      </c>
      <c r="H366" s="470" t="n">
        <f aca="false">Summary!L54</f>
        <v>12.4921661211025</v>
      </c>
      <c r="I366" s="470" t="n">
        <f aca="false">Summary!M54</f>
        <v>15.217250089845</v>
      </c>
    </row>
    <row r="367" customFormat="false" ht="15" hidden="false" customHeight="false" outlineLevel="0" collapsed="false">
      <c r="A367" s="468" t="s">
        <v>1320</v>
      </c>
      <c r="B367" s="470" t="n">
        <f aca="false">Summary!D55</f>
        <v>-10.5394287062184</v>
      </c>
      <c r="C367" s="470" t="n">
        <f aca="false">Summary!E55</f>
        <v>10.190326455543</v>
      </c>
      <c r="D367" s="470" t="n">
        <f aca="false">Summary!B55</f>
        <v>18.2398389677937</v>
      </c>
      <c r="E367" s="470" t="n">
        <f aca="false">Summary!C55</f>
        <v>38.9695941295551</v>
      </c>
      <c r="F367" s="470" t="n">
        <f aca="false">Summary!J55</f>
        <v>170.317748046407</v>
      </c>
      <c r="G367" s="470" t="n">
        <f aca="false">Summary!K55</f>
        <v>170.317748046407</v>
      </c>
      <c r="H367" s="470" t="n">
        <f aca="false">Summary!L55</f>
        <v>12.1106543654786</v>
      </c>
      <c r="I367" s="470" t="n">
        <f aca="false">Summary!M55</f>
        <v>15.598761845469</v>
      </c>
    </row>
    <row r="368" customFormat="false" ht="15" hidden="false" customHeight="false" outlineLevel="0" collapsed="false">
      <c r="A368" s="468" t="s">
        <v>1321</v>
      </c>
      <c r="B368" s="470" t="n">
        <f aca="false">Summary!D56</f>
        <v>-4.7964579687685</v>
      </c>
      <c r="C368" s="470" t="n">
        <f aca="false">Summary!E56</f>
        <v>5.7533011162452</v>
      </c>
      <c r="D368" s="470" t="n">
        <f aca="false">Summary!B56</f>
        <v>23.9828097052436</v>
      </c>
      <c r="E368" s="470" t="n">
        <f aca="false">Summary!C56</f>
        <v>34.5325687902573</v>
      </c>
      <c r="F368" s="470" t="n">
        <f aca="false">Summary!J56</f>
        <v>170.317748046407</v>
      </c>
      <c r="G368" s="470" t="n">
        <f aca="false">Summary!K56</f>
        <v>170.317748046407</v>
      </c>
      <c r="H368" s="470" t="n">
        <f aca="false">Summary!L56</f>
        <v>13.6677337912126</v>
      </c>
      <c r="I368" s="470" t="n">
        <f aca="false">Summary!M56</f>
        <v>14.0416824197349</v>
      </c>
    </row>
    <row r="369" customFormat="false" ht="15" hidden="false" customHeight="false" outlineLevel="0" collapsed="false">
      <c r="A369" s="468" t="s">
        <v>1322</v>
      </c>
      <c r="B369" s="470" t="n">
        <f aca="false">Summary!D57</f>
        <v>-4.7914385945676</v>
      </c>
      <c r="C369" s="470" t="n">
        <f aca="false">Summary!E57</f>
        <v>5.9890032431682</v>
      </c>
      <c r="D369" s="470" t="n">
        <f aca="false">Summary!B57</f>
        <v>23.9878290794445</v>
      </c>
      <c r="E369" s="470" t="n">
        <f aca="false">Summary!C57</f>
        <v>34.7682709171803</v>
      </c>
      <c r="F369" s="470" t="n">
        <f aca="false">Summary!J57</f>
        <v>170.317748046407</v>
      </c>
      <c r="G369" s="470" t="n">
        <f aca="false">Summary!K57</f>
        <v>170.317748046407</v>
      </c>
      <c r="H369" s="470" t="n">
        <f aca="false">Summary!L57</f>
        <v>13.8547081054738</v>
      </c>
      <c r="I369" s="470" t="n">
        <f aca="false">Summary!M57</f>
        <v>13.8547081054738</v>
      </c>
    </row>
    <row r="370" customFormat="false" ht="15" hidden="false" customHeight="false" outlineLevel="0" collapsed="false">
      <c r="A370" s="468" t="s">
        <v>1323</v>
      </c>
      <c r="B370" s="470" t="n">
        <f aca="false">Summary!D58</f>
        <v>0</v>
      </c>
      <c r="C370" s="470" t="n">
        <f aca="false">Summary!E58</f>
        <v>2.9600121891597</v>
      </c>
      <c r="D370" s="470" t="n">
        <f aca="false">Summary!B58</f>
        <v>28.7792676740121</v>
      </c>
      <c r="E370" s="470" t="n">
        <f aca="false">Summary!C58</f>
        <v>31.7392798631718</v>
      </c>
      <c r="F370" s="470" t="n">
        <f aca="false">Summary!J58</f>
        <v>170.317748046407</v>
      </c>
      <c r="G370" s="470" t="n">
        <f aca="false">Summary!K58</f>
        <v>170.317748046407</v>
      </c>
      <c r="H370" s="470" t="n">
        <f aca="false">Summary!L58</f>
        <v>13.8547081054738</v>
      </c>
      <c r="I370" s="470" t="n">
        <f aca="false">Summary!M58</f>
        <v>13.8547081054738</v>
      </c>
    </row>
    <row r="371" customFormat="false" ht="15" hidden="false" customHeight="false" outlineLevel="0" collapsed="false">
      <c r="A371" s="222" t="s">
        <v>1324</v>
      </c>
    </row>
    <row r="373" customFormat="false" ht="15" hidden="false" customHeight="false" outlineLevel="0" collapsed="false">
      <c r="A373" s="469" t="s">
        <v>1325</v>
      </c>
    </row>
    <row r="374" customFormat="false" ht="15" hidden="false" customHeight="false" outlineLevel="0" collapsed="false">
      <c r="A374" s="467" t="s">
        <v>285</v>
      </c>
      <c r="B374" s="467" t="s">
        <v>287</v>
      </c>
      <c r="C374" s="467" t="s">
        <v>288</v>
      </c>
      <c r="D374" s="467" t="s">
        <v>289</v>
      </c>
      <c r="E374" s="467" t="s">
        <v>290</v>
      </c>
      <c r="F374" s="467" t="s">
        <v>291</v>
      </c>
      <c r="G374" s="467" t="s">
        <v>292</v>
      </c>
      <c r="H374" s="467" t="s">
        <v>293</v>
      </c>
      <c r="I374" s="467" t="s">
        <v>294</v>
      </c>
    </row>
    <row r="375" customFormat="false" ht="15" hidden="false" customHeight="false" outlineLevel="0" collapsed="false">
      <c r="A375" s="468" t="s">
        <v>1326</v>
      </c>
      <c r="B375" s="471" t="n">
        <f aca="false">Drivers!C54</f>
        <v>0.255</v>
      </c>
      <c r="C375" s="471" t="n">
        <f aca="false">Drivers!D54</f>
        <v>0.25</v>
      </c>
      <c r="D375" s="471" t="n">
        <f aca="false">Drivers!E54</f>
        <v>0.245</v>
      </c>
      <c r="E375" s="471" t="n">
        <f aca="false">Drivers!F54</f>
        <v>0.25</v>
      </c>
      <c r="F375" s="471" t="n">
        <f aca="false">Drivers!G54</f>
        <v>0.255</v>
      </c>
      <c r="G375" s="471" t="n">
        <f aca="false">Drivers!H54</f>
        <v>0.27</v>
      </c>
      <c r="H375" s="471" t="n">
        <f aca="false">Drivers!I54</f>
        <v>0.265</v>
      </c>
      <c r="I375" s="471" t="n">
        <f aca="false">Drivers!J54</f>
        <v>0.27</v>
      </c>
    </row>
    <row r="376" customFormat="false" ht="15" hidden="false" customHeight="false" outlineLevel="0" collapsed="false">
      <c r="A376" s="468" t="s">
        <v>466</v>
      </c>
      <c r="E376" s="471" t="n">
        <f aca="false">Drivers!F11</f>
        <v>0.02</v>
      </c>
      <c r="F376" s="471" t="n">
        <f aca="false">Drivers!G11</f>
        <v>0.02</v>
      </c>
      <c r="G376" s="471" t="n">
        <f aca="false">Drivers!H11</f>
        <v>0.02</v>
      </c>
      <c r="H376" s="471" t="n">
        <f aca="false">Drivers!I11</f>
        <v>0.02</v>
      </c>
      <c r="I376" s="471" t="n">
        <f aca="false">Drivers!J11</f>
        <v>0.02</v>
      </c>
    </row>
    <row r="377" customFormat="false" ht="15" hidden="false" customHeight="false" outlineLevel="0" collapsed="false">
      <c r="A377" s="222" t="s">
        <v>1327</v>
      </c>
    </row>
    <row r="379" customFormat="false" ht="15" hidden="false" customHeight="false" outlineLevel="0" collapsed="false">
      <c r="A379" s="469" t="s">
        <v>1328</v>
      </c>
    </row>
    <row r="380" customFormat="false" ht="15" hidden="false" customHeight="false" outlineLevel="0" collapsed="false">
      <c r="A380" s="467" t="s">
        <v>620</v>
      </c>
      <c r="B380" s="467" t="s">
        <v>289</v>
      </c>
      <c r="C380" s="467" t="s">
        <v>290</v>
      </c>
      <c r="D380" s="467" t="s">
        <v>291</v>
      </c>
      <c r="E380" s="467" t="s">
        <v>292</v>
      </c>
      <c r="F380" s="467" t="s">
        <v>293</v>
      </c>
      <c r="G380" s="467" t="s">
        <v>294</v>
      </c>
    </row>
    <row r="381" customFormat="false" ht="15" hidden="false" customHeight="false" outlineLevel="0" collapsed="false">
      <c r="A381" s="468" t="s">
        <v>1329</v>
      </c>
      <c r="B381" s="470" t="n">
        <f aca="false">Drivers!E14/1000000</f>
        <v>38.05904</v>
      </c>
      <c r="C381" s="470" t="n">
        <f aca="false">Drivers!F14/1000000</f>
        <v>51.242691456</v>
      </c>
      <c r="D381" s="470" t="n">
        <f aca="false">Drivers!G14/1000000</f>
        <v>63.7664052478464</v>
      </c>
      <c r="E381" s="470" t="n">
        <f aca="false">Drivers!H14/1000000</f>
        <v>87.8063400262845</v>
      </c>
      <c r="F381" s="470" t="n">
        <f aca="false">Drivers!I14/1000000</f>
        <v>111.953083533513</v>
      </c>
      <c r="G381" s="470" t="n">
        <f aca="false">Drivers!J14/1000000</f>
        <v>133.604809888894</v>
      </c>
    </row>
    <row r="382" customFormat="false" ht="15" hidden="false" customHeight="false" outlineLevel="0" collapsed="false">
      <c r="A382" s="468" t="s">
        <v>1330</v>
      </c>
      <c r="B382" s="470" t="n">
        <f aca="false">Drivers!E21/1000000</f>
        <v>5.89806</v>
      </c>
      <c r="C382" s="470" t="n">
        <f aca="false">Drivers!F21/1000000</f>
        <v>7.339545864</v>
      </c>
      <c r="D382" s="470" t="n">
        <f aca="false">Drivers!G21/1000000</f>
        <v>8.8338774019104</v>
      </c>
      <c r="E382" s="470" t="n">
        <f aca="false">Drivers!H21/1000000</f>
        <v>11.5335103359342</v>
      </c>
      <c r="F382" s="470" t="n">
        <f aca="false">Drivers!I21/1000000</f>
        <v>14.1170166511835</v>
      </c>
      <c r="G382" s="470" t="n">
        <f aca="false">Drivers!J21/1000000</f>
        <v>16.5592605318382</v>
      </c>
    </row>
    <row r="383" customFormat="false" ht="15" hidden="false" customHeight="false" outlineLevel="0" collapsed="false">
      <c r="A383" s="468" t="s">
        <v>1331</v>
      </c>
      <c r="B383" s="470" t="n">
        <f aca="false">Drivers!E28/1000000</f>
        <v>2.736</v>
      </c>
      <c r="C383" s="470" t="n">
        <f aca="false">Drivers!F28/1000000</f>
        <v>3.610152</v>
      </c>
      <c r="D383" s="470" t="n">
        <f aca="false">Drivers!G28/1000000</f>
        <v>4.763595564</v>
      </c>
      <c r="E383" s="470" t="n">
        <f aca="false">Drivers!H28/1000000</f>
        <v>6.769069296444</v>
      </c>
      <c r="F383" s="470" t="n">
        <f aca="false">Drivers!I28/1000000</f>
        <v>9.06919904337567</v>
      </c>
      <c r="G383" s="470" t="n">
        <f aca="false">Drivers!J28/1000000</f>
        <v>11.5065462862829</v>
      </c>
    </row>
    <row r="384" customFormat="false" ht="15" hidden="false" customHeight="false" outlineLevel="0" collapsed="false">
      <c r="A384" s="468" t="s">
        <v>1332</v>
      </c>
      <c r="B384" s="470" t="n">
        <f aca="false">Drivers!E35/1000000</f>
        <v>1.1886</v>
      </c>
      <c r="C384" s="470" t="n">
        <f aca="false">Drivers!F35/1000000</f>
        <v>1.9302864</v>
      </c>
      <c r="D384" s="470" t="n">
        <f aca="false">Drivers!G35/1000000</f>
        <v>2.938861044</v>
      </c>
      <c r="E384" s="470" t="n">
        <f aca="false">Drivers!H35/1000000</f>
        <v>5.071004731422</v>
      </c>
      <c r="F384" s="470" t="n">
        <f aca="false">Drivers!I35/1000000</f>
        <v>7.46325121347033</v>
      </c>
      <c r="G384" s="470" t="n">
        <f aca="false">Drivers!J35/1000000</f>
        <v>9.84775997617409</v>
      </c>
    </row>
    <row r="385" customFormat="false" ht="15" hidden="false" customHeight="false" outlineLevel="0" collapsed="false">
      <c r="A385" s="468" t="s">
        <v>49</v>
      </c>
      <c r="B385" s="470" t="n">
        <f aca="false">Drivers!E39/1000000</f>
        <v>47.5465281</v>
      </c>
      <c r="C385" s="470" t="n">
        <f aca="false">Drivers!F39/1000000</f>
        <v>63.67381698996</v>
      </c>
      <c r="D385" s="470" t="n">
        <f aca="false">Drivers!G39/1000000</f>
        <v>79.7406200829525</v>
      </c>
      <c r="E385" s="470" t="n">
        <f aca="false">Drivers!H39/1000000</f>
        <v>110.401664919354</v>
      </c>
      <c r="F385" s="470" t="n">
        <f aca="false">Drivers!I39/1000000</f>
        <v>141.604332588451</v>
      </c>
      <c r="G385" s="470" t="n">
        <f aca="false">Drivers!J39/1000000</f>
        <v>170.317748046407</v>
      </c>
    </row>
    <row r="386" customFormat="false" ht="15" hidden="false" customHeight="false" outlineLevel="0" collapsed="false">
      <c r="A386" s="222" t="s">
        <v>1333</v>
      </c>
    </row>
    <row r="388" customFormat="false" ht="15" hidden="false" customHeight="false" outlineLevel="0" collapsed="false">
      <c r="A388" s="469" t="s">
        <v>1334</v>
      </c>
    </row>
    <row r="389" customFormat="false" ht="15" hidden="false" customHeight="false" outlineLevel="0" collapsed="false">
      <c r="A389" s="467" t="s">
        <v>1335</v>
      </c>
      <c r="B389" s="467" t="s">
        <v>290</v>
      </c>
      <c r="C389" s="467" t="s">
        <v>291</v>
      </c>
      <c r="D389" s="467" t="s">
        <v>292</v>
      </c>
      <c r="E389" s="467" t="s">
        <v>293</v>
      </c>
      <c r="F389" s="467" t="s">
        <v>294</v>
      </c>
    </row>
    <row r="390" customFormat="false" ht="15" hidden="false" customHeight="false" outlineLevel="0" collapsed="false">
      <c r="A390" s="468" t="s">
        <v>1336</v>
      </c>
      <c r="B390" s="470" t="n">
        <f aca="false">Drivers!F12/1000000</f>
        <v>20.09517312</v>
      </c>
      <c r="C390" s="470" t="n">
        <f aca="false">Drivers!G12/1000000</f>
        <v>24.5161112064</v>
      </c>
      <c r="D390" s="470" t="n">
        <f aca="false">Drivers!H12/1000000</f>
        <v>33.09675012864</v>
      </c>
      <c r="E390" s="470" t="n">
        <f aca="false">Drivers!I12/1000000</f>
        <v>41.3709376608</v>
      </c>
      <c r="F390" s="470" t="n">
        <f aca="false">Drivers!J12/1000000</f>
        <v>48.403997063136</v>
      </c>
    </row>
    <row r="391" customFormat="false" ht="15" hidden="false" customHeight="false" outlineLevel="0" collapsed="false">
      <c r="A391" s="468" t="s">
        <v>1337</v>
      </c>
      <c r="B391" s="484" t="n">
        <f aca="false">Drivers!F13</f>
        <v>0.32</v>
      </c>
      <c r="C391" s="484" t="n">
        <f aca="false">Drivers!G13</f>
        <v>0.22</v>
      </c>
      <c r="D391" s="484" t="n">
        <f aca="false">Drivers!H13</f>
        <v>0.35</v>
      </c>
      <c r="E391" s="484" t="n">
        <f aca="false">Drivers!I13</f>
        <v>0.25</v>
      </c>
      <c r="F391" s="484" t="n">
        <f aca="false">Drivers!J13</f>
        <v>0.17</v>
      </c>
    </row>
    <row r="392" customFormat="false" ht="15" hidden="false" customHeight="false" outlineLevel="0" collapsed="false">
      <c r="A392" s="468" t="s">
        <v>319</v>
      </c>
      <c r="B392" s="484" t="n">
        <f aca="false">Drivers!F20</f>
        <v>0.22</v>
      </c>
      <c r="C392" s="484" t="n">
        <f aca="false">Drivers!G20</f>
        <v>0.18</v>
      </c>
      <c r="D392" s="484" t="n">
        <f aca="false">Drivers!H20</f>
        <v>0.28</v>
      </c>
      <c r="E392" s="484" t="n">
        <f aca="false">Drivers!I20</f>
        <v>0.2</v>
      </c>
      <c r="F392" s="484" t="n">
        <f aca="false">Drivers!J20</f>
        <v>0.15</v>
      </c>
    </row>
    <row r="393" customFormat="false" ht="15" hidden="false" customHeight="false" outlineLevel="0" collapsed="false">
      <c r="A393" s="468" t="s">
        <v>480</v>
      </c>
      <c r="B393" s="484" t="n">
        <f aca="false">Drivers!F27</f>
        <v>0.3</v>
      </c>
      <c r="C393" s="484" t="n">
        <f aca="false">Drivers!G27</f>
        <v>0.3</v>
      </c>
      <c r="D393" s="484" t="n">
        <f aca="false">Drivers!H27</f>
        <v>0.4</v>
      </c>
      <c r="E393" s="484" t="n">
        <f aca="false">Drivers!I27</f>
        <v>0.32</v>
      </c>
      <c r="F393" s="484" t="n">
        <f aca="false">Drivers!J27</f>
        <v>0.25</v>
      </c>
    </row>
    <row r="394" customFormat="false" ht="15" hidden="false" customHeight="false" outlineLevel="0" collapsed="false">
      <c r="A394" s="468" t="s">
        <v>482</v>
      </c>
      <c r="B394" s="484" t="n">
        <f aca="false">Drivers!F34</f>
        <v>0.6</v>
      </c>
      <c r="C394" s="484" t="n">
        <f aca="false">Drivers!G34</f>
        <v>0.5</v>
      </c>
      <c r="D394" s="484" t="n">
        <f aca="false">Drivers!H34</f>
        <v>0.7</v>
      </c>
      <c r="E394" s="484" t="n">
        <f aca="false">Drivers!I34</f>
        <v>0.45</v>
      </c>
      <c r="F394" s="484" t="n">
        <f aca="false">Drivers!J34</f>
        <v>0.3</v>
      </c>
    </row>
    <row r="395" customFormat="false" ht="15" hidden="false" customHeight="false" outlineLevel="0" collapsed="false">
      <c r="A395" s="468" t="s">
        <v>1288</v>
      </c>
      <c r="B395" s="471" t="n">
        <f aca="false">Drivers!F11</f>
        <v>0.02</v>
      </c>
      <c r="C395" s="471" t="n">
        <f aca="false">Drivers!G11</f>
        <v>0.02</v>
      </c>
      <c r="D395" s="471" t="n">
        <f aca="false">Drivers!H11</f>
        <v>0.02</v>
      </c>
      <c r="E395" s="471" t="n">
        <f aca="false">Drivers!I11</f>
        <v>0.02</v>
      </c>
      <c r="F395" s="471" t="n">
        <f aca="false">Drivers!J11</f>
        <v>0.02</v>
      </c>
    </row>
    <row r="396" customFormat="false" ht="15" hidden="false" customHeight="false" outlineLevel="0" collapsed="false">
      <c r="A396" s="468" t="s">
        <v>1338</v>
      </c>
      <c r="B396" s="471" t="n">
        <f aca="false">Drivers!F25</f>
        <v>0.015</v>
      </c>
      <c r="C396" s="471" t="n">
        <f aca="false">Drivers!G25</f>
        <v>0.015</v>
      </c>
      <c r="D396" s="471" t="n">
        <f aca="false">Drivers!H25</f>
        <v>0.015</v>
      </c>
      <c r="E396" s="471" t="n">
        <f aca="false">Drivers!I25</f>
        <v>0.015</v>
      </c>
      <c r="F396" s="471" t="n">
        <f aca="false">Drivers!J25</f>
        <v>0.015</v>
      </c>
    </row>
    <row r="397" customFormat="false" ht="15" hidden="false" customHeight="false" outlineLevel="0" collapsed="false">
      <c r="A397" s="468" t="s">
        <v>1290</v>
      </c>
      <c r="B397" s="471" t="n">
        <f aca="false">Drivers!F54</f>
        <v>0.25</v>
      </c>
      <c r="C397" s="471" t="n">
        <f aca="false">Drivers!G54</f>
        <v>0.255</v>
      </c>
      <c r="D397" s="471" t="n">
        <f aca="false">Drivers!H54</f>
        <v>0.27</v>
      </c>
      <c r="E397" s="471" t="n">
        <f aca="false">Drivers!I54</f>
        <v>0.265</v>
      </c>
      <c r="F397" s="471" t="n">
        <f aca="false">Drivers!J54</f>
        <v>0.27</v>
      </c>
    </row>
    <row r="398" customFormat="false" ht="15" hidden="false" customHeight="false" outlineLevel="0" collapsed="false">
      <c r="A398" s="468" t="s">
        <v>1294</v>
      </c>
      <c r="B398" s="471" t="n">
        <f aca="false">Drivers!F61</f>
        <v>0.225</v>
      </c>
      <c r="C398" s="471" t="n">
        <f aca="false">Drivers!G61</f>
        <v>0.23</v>
      </c>
      <c r="D398" s="471" t="n">
        <f aca="false">Drivers!H61</f>
        <v>0.235</v>
      </c>
      <c r="E398" s="471" t="n">
        <f aca="false">Drivers!I61</f>
        <v>0.23</v>
      </c>
      <c r="F398" s="471" t="n">
        <f aca="false">Drivers!J61</f>
        <v>0.225</v>
      </c>
    </row>
    <row r="399" customFormat="false" ht="15" hidden="false" customHeight="false" outlineLevel="0" collapsed="false">
      <c r="A399" s="468" t="s">
        <v>1339</v>
      </c>
      <c r="B399" s="484" t="n">
        <f aca="false">Drivers!F93</f>
        <v>0.2</v>
      </c>
      <c r="C399" s="484" t="n">
        <f aca="false">Drivers!G93</f>
        <v>0.65</v>
      </c>
      <c r="D399" s="484" t="n">
        <f aca="false">Drivers!H93</f>
        <v>0.12</v>
      </c>
      <c r="E399" s="484" t="n">
        <f aca="false">Drivers!I93</f>
        <v>0.1</v>
      </c>
      <c r="F399" s="484" t="n">
        <f aca="false">Drivers!J93</f>
        <v>0.1</v>
      </c>
    </row>
    <row r="400" customFormat="false" ht="15" hidden="false" customHeight="false" outlineLevel="0" collapsed="false">
      <c r="A400" s="222" t="s">
        <v>1340</v>
      </c>
    </row>
    <row r="402" customFormat="false" ht="15" hidden="false" customHeight="false" outlineLevel="0" collapsed="false">
      <c r="A402" s="469" t="s">
        <v>1341</v>
      </c>
    </row>
    <row r="403" customFormat="false" ht="15" hidden="false" customHeight="false" outlineLevel="0" collapsed="false">
      <c r="A403" s="467" t="s">
        <v>285</v>
      </c>
      <c r="B403" s="467" t="s">
        <v>287</v>
      </c>
      <c r="C403" s="467" t="s">
        <v>288</v>
      </c>
      <c r="D403" s="467" t="s">
        <v>289</v>
      </c>
      <c r="E403" s="467" t="s">
        <v>290</v>
      </c>
      <c r="F403" s="467" t="s">
        <v>291</v>
      </c>
      <c r="G403" s="467" t="s">
        <v>292</v>
      </c>
      <c r="H403" s="467" t="s">
        <v>293</v>
      </c>
      <c r="I403" s="467" t="s">
        <v>294</v>
      </c>
    </row>
    <row r="404" customFormat="false" ht="15" hidden="false" customHeight="false" outlineLevel="0" collapsed="false">
      <c r="A404" s="468" t="s">
        <v>1071</v>
      </c>
      <c r="B404" s="471" t="n">
        <f aca="false">Drivers!C84</f>
        <v>0.372621636526764</v>
      </c>
      <c r="C404" s="471" t="n">
        <f aca="false">Drivers!D84</f>
        <v>0.469283109296232</v>
      </c>
      <c r="D404" s="471" t="n">
        <f aca="false">Drivers!E84</f>
        <v>0.510341067689861</v>
      </c>
      <c r="E404" s="471" t="n">
        <f aca="false">Drivers!F84</f>
        <v>0.517554124511611</v>
      </c>
      <c r="F404" s="471" t="n">
        <f aca="false">Drivers!G84</f>
        <v>0.505146024442223</v>
      </c>
      <c r="G404" s="471" t="n">
        <f aca="false">Drivers!H84</f>
        <v>0.448290544904745</v>
      </c>
      <c r="H404" s="471" t="n">
        <f aca="false">Drivers!I84</f>
        <v>0.470678066965061</v>
      </c>
      <c r="I404" s="471" t="n">
        <f aca="false">Drivers!J84</f>
        <v>0.475938954335309</v>
      </c>
    </row>
    <row r="405" customFormat="false" ht="15" hidden="false" customHeight="false" outlineLevel="0" collapsed="false">
      <c r="A405" s="468" t="s">
        <v>111</v>
      </c>
      <c r="B405" s="471" t="n">
        <f aca="false">Drivers!C77</f>
        <v>-0.142117352188264</v>
      </c>
      <c r="C405" s="471" t="n">
        <f aca="false">Drivers!D77</f>
        <v>0.0651366136208328</v>
      </c>
      <c r="D405" s="471" t="n">
        <f aca="false">Drivers!E77</f>
        <v>0.161833671626173</v>
      </c>
      <c r="E405" s="471" t="n">
        <f aca="false">Drivers!F77</f>
        <v>0.178789407841557</v>
      </c>
      <c r="F405" s="471" t="n">
        <f aca="false">Drivers!G77</f>
        <v>0.178952390484925</v>
      </c>
      <c r="G405" s="471" t="n">
        <f aca="false">Drivers!H77</f>
        <v>0.160844626537491</v>
      </c>
      <c r="H405" s="471" t="n">
        <f aca="false">Drivers!I77</f>
        <v>0.19015424005941</v>
      </c>
      <c r="I405" s="471" t="n">
        <f aca="false">Drivers!J77</f>
        <v>0.202178779341621</v>
      </c>
    </row>
    <row r="406" customFormat="false" ht="15" hidden="false" customHeight="false" outlineLevel="0" collapsed="false">
      <c r="A406" s="468" t="s">
        <v>1342</v>
      </c>
      <c r="B406" s="473" t="n">
        <f aca="false">'Income Statement'!B65/'Income Statement'!B13</f>
        <v>-0.215796862267366</v>
      </c>
      <c r="C406" s="473" t="n">
        <f aca="false">'Income Statement'!C65/'Income Statement'!C13</f>
        <v>-0.0116629890729473</v>
      </c>
      <c r="D406" s="473" t="n">
        <f aca="false">'Income Statement'!D65/'Income Statement'!D13</f>
        <v>0.0959623635589914</v>
      </c>
      <c r="E406" s="473" t="n">
        <f aca="false">'Income Statement'!E65/'Income Statement'!E13</f>
        <v>0.120019656366001</v>
      </c>
      <c r="F406" s="473" t="n">
        <f aca="false">'Income Statement'!F65/'Income Statement'!F13</f>
        <v>0.112859776679358</v>
      </c>
      <c r="G406" s="473" t="n">
        <f aca="false">'Income Statement'!G65/'Income Statement'!G13</f>
        <v>0.0567697977509639</v>
      </c>
      <c r="H406" s="473" t="n">
        <f aca="false">'Income Statement'!H65/'Income Statement'!H13</f>
        <v>0.0977854677911052</v>
      </c>
      <c r="I406" s="473" t="n">
        <f aca="false">'Income Statement'!I65/'Income Statement'!I13</f>
        <v>0.115405260376923</v>
      </c>
    </row>
    <row r="407" customFormat="false" ht="15" hidden="false" customHeight="false" outlineLevel="0" collapsed="false">
      <c r="A407" s="468" t="s">
        <v>1343</v>
      </c>
      <c r="B407" s="473" t="n">
        <f aca="false">'Income Statement'!B80/'Income Statement'!B13</f>
        <v>-0.22167702425734</v>
      </c>
      <c r="C407" s="473" t="n">
        <f aca="false">'Income Statement'!C80/'Income Statement'!C13</f>
        <v>-0.0162723620142533</v>
      </c>
      <c r="D407" s="473" t="n">
        <f aca="false">'Income Statement'!D80/'Income Statement'!D13</f>
        <v>0.0929719874856646</v>
      </c>
      <c r="E407" s="473" t="n">
        <f aca="false">'Income Statement'!E80/'Income Statement'!E13</f>
        <v>0.103325671172801</v>
      </c>
      <c r="F407" s="473" t="n">
        <f aca="false">'Income Statement'!F80/'Income Statement'!F13</f>
        <v>0.0730800084136817</v>
      </c>
      <c r="G407" s="473" t="n">
        <f aca="false">'Income Statement'!G80/'Income Statement'!G13</f>
        <v>0.0217194985803575</v>
      </c>
      <c r="H407" s="473" t="n">
        <f aca="false">'Income Statement'!H80/'Income Statement'!H13</f>
        <v>0.0615104916041829</v>
      </c>
      <c r="I407" s="473" t="n">
        <f aca="false">'Income Statement'!I80/'Income Statement'!I13</f>
        <v>0.081346238218807</v>
      </c>
    </row>
    <row r="408" customFormat="false" ht="15" hidden="false" customHeight="false" outlineLevel="0" collapsed="false">
      <c r="A408" s="468" t="s">
        <v>1344</v>
      </c>
      <c r="B408" s="471" t="n">
        <f aca="false">Drivers!C85</f>
        <v>0.690725538937682</v>
      </c>
      <c r="C408" s="471" t="n">
        <f aca="false">Drivers!D85</f>
        <v>0.712477712553412</v>
      </c>
      <c r="D408" s="471" t="n">
        <f aca="false">Drivers!E85</f>
        <v>0.728151562248349</v>
      </c>
      <c r="E408" s="471" t="n">
        <f aca="false">Drivers!F85</f>
        <v>0.727946900839612</v>
      </c>
      <c r="F408" s="471" t="n">
        <f aca="false">Drivers!G85</f>
        <v>0.725629376867233</v>
      </c>
      <c r="G408" s="471" t="n">
        <f aca="false">Drivers!H85</f>
        <v>0.70645789081262</v>
      </c>
      <c r="H408" s="471" t="n">
        <f aca="false">Drivers!I85</f>
        <v>0.714809962006536</v>
      </c>
      <c r="I408" s="471" t="n">
        <f aca="false">Drivers!J85</f>
        <v>0.711535121403536</v>
      </c>
    </row>
    <row r="409" customFormat="false" ht="15" hidden="false" customHeight="false" outlineLevel="0" collapsed="false">
      <c r="A409" s="222" t="s">
        <v>1345</v>
      </c>
    </row>
    <row r="411" customFormat="false" ht="15" hidden="false" customHeight="false" outlineLevel="0" collapsed="false">
      <c r="A411" s="469" t="s">
        <v>1346</v>
      </c>
    </row>
    <row r="412" customFormat="false" ht="15" hidden="false" customHeight="false" outlineLevel="0" collapsed="false">
      <c r="A412" s="467" t="s">
        <v>1347</v>
      </c>
      <c r="B412" s="467" t="s">
        <v>289</v>
      </c>
      <c r="C412" s="467" t="s">
        <v>290</v>
      </c>
      <c r="D412" s="467" t="s">
        <v>291</v>
      </c>
      <c r="E412" s="467" t="s">
        <v>292</v>
      </c>
      <c r="F412" s="467" t="s">
        <v>293</v>
      </c>
      <c r="G412" s="467" t="s">
        <v>294</v>
      </c>
    </row>
    <row r="413" customFormat="false" ht="15" hidden="false" customHeight="false" outlineLevel="0" collapsed="false">
      <c r="A413" s="468" t="s">
        <v>49</v>
      </c>
      <c r="B413" s="470" t="n">
        <f aca="false">'Income Statement'!D13/1000000</f>
        <v>47.5465281</v>
      </c>
      <c r="C413" s="470" t="n">
        <f aca="false">'Income Statement'!E13/1000000</f>
        <v>63.67381698996</v>
      </c>
      <c r="D413" s="470" t="n">
        <f aca="false">'Income Statement'!F13/1000000</f>
        <v>79.7406200829525</v>
      </c>
      <c r="E413" s="470" t="n">
        <f aca="false">'Income Statement'!G13/1000000</f>
        <v>110.401664919354</v>
      </c>
      <c r="F413" s="470" t="n">
        <f aca="false">'Income Statement'!H13/1000000</f>
        <v>141.604332588451</v>
      </c>
      <c r="G413" s="470" t="n">
        <f aca="false">'Income Statement'!I13/1000000</f>
        <v>170.317748046407</v>
      </c>
    </row>
    <row r="414" customFormat="false" ht="15" hidden="false" customHeight="false" outlineLevel="0" collapsed="false">
      <c r="A414" s="468" t="s">
        <v>1070</v>
      </c>
      <c r="B414" s="471" t="n">
        <f aca="false">Drivers!E40</f>
        <v>0.537315376523464</v>
      </c>
      <c r="C414" s="471" t="n">
        <f aca="false">Drivers!F40</f>
        <v>0.339189621922363</v>
      </c>
      <c r="D414" s="471" t="n">
        <f aca="false">Drivers!G40</f>
        <v>0.252329824918865</v>
      </c>
      <c r="E414" s="471" t="n">
        <f aca="false">Drivers!H40</f>
        <v>0.384509736750299</v>
      </c>
      <c r="F414" s="471" t="n">
        <f aca="false">Drivers!I40</f>
        <v>0.28262859705866</v>
      </c>
      <c r="G414" s="471" t="n">
        <f aca="false">Drivers!J40</f>
        <v>0.202772153458088</v>
      </c>
    </row>
    <row r="415" customFormat="false" ht="15" hidden="false" customHeight="false" outlineLevel="0" collapsed="false">
      <c r="A415" s="468" t="s">
        <v>50</v>
      </c>
      <c r="B415" s="470" t="n">
        <f aca="false">-'Income Statement'!D20/1000000</f>
        <v>-23.2815821845</v>
      </c>
      <c r="C415" s="470" t="n">
        <f aca="false">-'Income Statement'!E20/1000000</f>
        <v>-30.7191703834087</v>
      </c>
      <c r="D415" s="470" t="n">
        <f aca="false">-'Income Statement'!F20/1000000</f>
        <v>-39.4599628614914</v>
      </c>
      <c r="E415" s="470" t="n">
        <f aca="false">-'Income Statement'!G20/1000000</f>
        <v>-60.9096423942658</v>
      </c>
      <c r="F415" s="470" t="n">
        <f aca="false">-'Income Statement'!H20/1000000</f>
        <v>-74.9542790518415</v>
      </c>
      <c r="G415" s="470" t="n">
        <f aca="false">-'Income Statement'!I20/1000000</f>
        <v>-89.2568971364555</v>
      </c>
    </row>
    <row r="416" customFormat="false" ht="15" hidden="false" customHeight="false" outlineLevel="0" collapsed="false">
      <c r="A416" s="468" t="s">
        <v>56</v>
      </c>
      <c r="B416" s="470" t="n">
        <f aca="false">'Income Statement'!D21/1000000</f>
        <v>24.2649459155</v>
      </c>
      <c r="C416" s="470" t="n">
        <f aca="false">'Income Statement'!E21/1000000</f>
        <v>32.9546466065513</v>
      </c>
      <c r="D416" s="470" t="n">
        <f aca="false">'Income Statement'!F21/1000000</f>
        <v>40.2806572214611</v>
      </c>
      <c r="E416" s="470" t="n">
        <f aca="false">'Income Statement'!G21/1000000</f>
        <v>49.4920225250884</v>
      </c>
      <c r="F416" s="470" t="n">
        <f aca="false">'Income Statement'!H21/1000000</f>
        <v>66.6500535366099</v>
      </c>
      <c r="G416" s="470" t="n">
        <f aca="false">'Income Statement'!I21/1000000</f>
        <v>81.0608509099515</v>
      </c>
    </row>
    <row r="417" customFormat="false" ht="15" hidden="false" customHeight="false" outlineLevel="0" collapsed="false">
      <c r="A417" s="468" t="s">
        <v>57</v>
      </c>
      <c r="B417" s="471" t="n">
        <f aca="false">'Income Statement'!D22</f>
        <v>0.510341067689861</v>
      </c>
      <c r="C417" s="471" t="n">
        <f aca="false">'Income Statement'!E22</f>
        <v>0.517554124511611</v>
      </c>
      <c r="D417" s="471" t="n">
        <f aca="false">'Income Statement'!F22</f>
        <v>0.505146024442223</v>
      </c>
      <c r="E417" s="471" t="n">
        <f aca="false">'Income Statement'!G22</f>
        <v>0.448290544904745</v>
      </c>
      <c r="F417" s="471" t="n">
        <f aca="false">'Income Statement'!H22</f>
        <v>0.470678066965061</v>
      </c>
      <c r="G417" s="471" t="n">
        <f aca="false">'Income Statement'!I22</f>
        <v>0.475938954335309</v>
      </c>
    </row>
    <row r="418" customFormat="false" ht="15" hidden="false" customHeight="false" outlineLevel="0" collapsed="false">
      <c r="A418" s="468" t="s">
        <v>1348</v>
      </c>
      <c r="B418" s="470" t="n">
        <f aca="false">-'Income Statement'!D63/1000000</f>
        <v>-19.7022687</v>
      </c>
      <c r="C418" s="470" t="n">
        <f aca="false">-'Income Statement'!E63/1000000</f>
        <v>-25.3125369719047</v>
      </c>
      <c r="D418" s="470" t="n">
        <f aca="false">-'Income Statement'!F63/1000000</f>
        <v>-31.2811486466256</v>
      </c>
      <c r="E418" s="470" t="n">
        <f aca="false">-'Income Statement'!G63/1000000</f>
        <v>-43.2245423362469</v>
      </c>
      <c r="F418" s="470" t="n">
        <f aca="false">-'Income Statement'!H63/1000000</f>
        <v>-52.8032076332009</v>
      </c>
      <c r="G418" s="470" t="n">
        <f aca="false">-'Income Statement'!I63/1000000</f>
        <v>-61.4052868498447</v>
      </c>
    </row>
    <row r="419" customFormat="false" ht="15" hidden="false" customHeight="false" outlineLevel="0" collapsed="false">
      <c r="A419" s="468" t="s">
        <v>1155</v>
      </c>
      <c r="B419" s="470" t="n">
        <f aca="false">'Income Statement'!D65/1000000</f>
        <v>4.5626772155</v>
      </c>
      <c r="C419" s="470" t="n">
        <f aca="false">'Income Statement'!E65/1000000</f>
        <v>7.64210963464664</v>
      </c>
      <c r="D419" s="470" t="n">
        <f aca="false">'Income Statement'!F65/1000000</f>
        <v>8.99950857483553</v>
      </c>
      <c r="E419" s="470" t="n">
        <f aca="false">'Income Statement'!G65/1000000</f>
        <v>6.26748018884142</v>
      </c>
      <c r="F419" s="470" t="n">
        <f aca="false">'Income Statement'!H65/1000000</f>
        <v>13.846845903409</v>
      </c>
      <c r="G419" s="470" t="n">
        <f aca="false">'Income Statement'!I65/1000000</f>
        <v>19.6555640601068</v>
      </c>
    </row>
    <row r="420" customFormat="false" ht="15" hidden="false" customHeight="false" outlineLevel="0" collapsed="false">
      <c r="A420" s="468" t="s">
        <v>445</v>
      </c>
      <c r="B420" s="470" t="n">
        <f aca="false">-'Income Statement'!D74/1000000</f>
        <v>-0.142182</v>
      </c>
      <c r="C420" s="470" t="n">
        <f aca="false">-'Income Statement'!E74/1000000</f>
        <v>-0.16026</v>
      </c>
      <c r="D420" s="470" t="n">
        <f aca="false">-'Income Statement'!F74/1000000</f>
        <v>-1.71520209161757</v>
      </c>
      <c r="E420" s="470" t="n">
        <f aca="false">-'Income Statement'!G74/1000000</f>
        <v>-3.27014418323515</v>
      </c>
      <c r="F420" s="470" t="n">
        <f aca="false">-'Income Statement'!H74/1000000</f>
        <v>-2.95915576491163</v>
      </c>
      <c r="G420" s="470" t="n">
        <f aca="false">-'Income Statement'!I74/1000000</f>
        <v>-2.3371789282646</v>
      </c>
    </row>
    <row r="421" customFormat="false" ht="15" hidden="false" customHeight="false" outlineLevel="0" collapsed="false">
      <c r="A421" s="468" t="s">
        <v>106</v>
      </c>
      <c r="B421" s="470" t="n">
        <f aca="false">'Income Statement'!D76/1000000</f>
        <v>4.4204952155</v>
      </c>
      <c r="C421" s="470" t="n">
        <f aca="false">'Income Statement'!E76/1000000</f>
        <v>7.48184963464664</v>
      </c>
      <c r="D421" s="470" t="n">
        <f aca="false">'Income Statement'!F76/1000000</f>
        <v>7.28430648321796</v>
      </c>
      <c r="E421" s="470" t="n">
        <f aca="false">'Income Statement'!G76/1000000</f>
        <v>2.99733600560627</v>
      </c>
      <c r="F421" s="470" t="n">
        <f aca="false">'Income Statement'!H76/1000000</f>
        <v>10.8876901384973</v>
      </c>
      <c r="G421" s="470" t="n">
        <f aca="false">'Income Statement'!I76/1000000</f>
        <v>17.3183851318422</v>
      </c>
    </row>
    <row r="422" customFormat="false" ht="15" hidden="false" customHeight="false" outlineLevel="0" collapsed="false">
      <c r="A422" s="468" t="s">
        <v>457</v>
      </c>
      <c r="B422" s="470" t="n">
        <f aca="false">-'Income Statement'!D78/1000000</f>
        <v>-0</v>
      </c>
      <c r="C422" s="470" t="n">
        <f aca="false">-'Income Statement'!E78/1000000</f>
        <v>-0.902709758024928</v>
      </c>
      <c r="D422" s="470" t="n">
        <f aca="false">-'Income Statement'!F78/1000000</f>
        <v>-1.45686129664359</v>
      </c>
      <c r="E422" s="470" t="n">
        <f aca="false">-'Income Statement'!G78/1000000</f>
        <v>-0.599467201121254</v>
      </c>
      <c r="F422" s="470" t="n">
        <f aca="false">-'Income Statement'!H78/1000000</f>
        <v>-2.17753802769947</v>
      </c>
      <c r="G422" s="470" t="n">
        <f aca="false">-'Income Statement'!I78/1000000</f>
        <v>-3.46367702636844</v>
      </c>
    </row>
    <row r="423" customFormat="false" ht="15" hidden="false" customHeight="false" outlineLevel="0" collapsed="false">
      <c r="A423" s="468" t="s">
        <v>109</v>
      </c>
      <c r="B423" s="470" t="n">
        <f aca="false">'Income Statement'!D80/1000000</f>
        <v>4.4204952155</v>
      </c>
      <c r="C423" s="470" t="n">
        <f aca="false">'Income Statement'!E80/1000000</f>
        <v>6.57913987662171</v>
      </c>
      <c r="D423" s="470" t="n">
        <f aca="false">'Income Statement'!F80/1000000</f>
        <v>5.82744518657437</v>
      </c>
      <c r="E423" s="470" t="n">
        <f aca="false">'Income Statement'!G80/1000000</f>
        <v>2.39786880448502</v>
      </c>
      <c r="F423" s="470" t="n">
        <f aca="false">'Income Statement'!H80/1000000</f>
        <v>8.71015211079786</v>
      </c>
      <c r="G423" s="470" t="n">
        <f aca="false">'Income Statement'!I80/1000000</f>
        <v>13.8547081054738</v>
      </c>
    </row>
    <row r="424" customFormat="false" ht="15" hidden="false" customHeight="false" outlineLevel="0" collapsed="false">
      <c r="A424" s="468" t="s">
        <v>1343</v>
      </c>
      <c r="B424" s="473" t="n">
        <f aca="false">'Income Statement'!D80/'Income Statement'!D13</f>
        <v>0.0929719874856646</v>
      </c>
      <c r="C424" s="473" t="n">
        <f aca="false">'Income Statement'!E80/'Income Statement'!E13</f>
        <v>0.103325671172801</v>
      </c>
      <c r="D424" s="473" t="n">
        <f aca="false">'Income Statement'!F80/'Income Statement'!F13</f>
        <v>0.0730800084136817</v>
      </c>
      <c r="E424" s="473" t="n">
        <f aca="false">'Income Statement'!G80/'Income Statement'!G13</f>
        <v>0.0217194985803575</v>
      </c>
      <c r="F424" s="473" t="n">
        <f aca="false">'Income Statement'!H80/'Income Statement'!H13</f>
        <v>0.0615104916041829</v>
      </c>
      <c r="G424" s="473" t="n">
        <f aca="false">'Income Statement'!I80/'Income Statement'!I13</f>
        <v>0.081346238218807</v>
      </c>
    </row>
    <row r="425" customFormat="false" ht="15" hidden="false" customHeight="false" outlineLevel="0" collapsed="false">
      <c r="A425" s="468" t="s">
        <v>1349</v>
      </c>
      <c r="B425" s="470" t="n">
        <f aca="false">'Income Statement'!D71/1000000</f>
        <v>3.131952</v>
      </c>
      <c r="C425" s="470" t="n">
        <f aca="false">'Income Statement'!E71/1000000</f>
        <v>3.7420944</v>
      </c>
      <c r="D425" s="470" t="n">
        <f aca="false">'Income Statement'!F71/1000000</f>
        <v>5.27026600775904</v>
      </c>
      <c r="E425" s="470" t="n">
        <f aca="false">'Income Statement'!G71/1000000</f>
        <v>11.4900343742293</v>
      </c>
      <c r="F425" s="470" t="n">
        <f aca="false">'Income Statement'!H71/1000000</f>
        <v>13.079818349068</v>
      </c>
      <c r="G425" s="470" t="n">
        <f aca="false">'Income Statement'!I71/1000000</f>
        <v>14.7790703401295</v>
      </c>
    </row>
    <row r="426" customFormat="false" ht="15" hidden="false" customHeight="false" outlineLevel="0" collapsed="false">
      <c r="A426" s="468" t="s">
        <v>1350</v>
      </c>
      <c r="B426" s="470" t="n">
        <f aca="false">'Income Statement'!D82/1000000</f>
        <v>7.6946292155</v>
      </c>
      <c r="C426" s="470" t="n">
        <f aca="false">'Income Statement'!E82/1000000</f>
        <v>11.3842040346466</v>
      </c>
      <c r="D426" s="470" t="n">
        <f aca="false">'Income Statement'!F82/1000000</f>
        <v>14.2697745825946</v>
      </c>
      <c r="E426" s="470" t="n">
        <f aca="false">'Income Statement'!G82/1000000</f>
        <v>17.7575145630708</v>
      </c>
      <c r="F426" s="470" t="n">
        <f aca="false">'Income Statement'!H82/1000000</f>
        <v>26.926664252477</v>
      </c>
      <c r="G426" s="470" t="n">
        <f aca="false">'Income Statement'!I82/1000000</f>
        <v>34.4346344002363</v>
      </c>
    </row>
    <row r="427" customFormat="false" ht="15" hidden="false" customHeight="false" outlineLevel="0" collapsed="false">
      <c r="A427" s="468" t="s">
        <v>111</v>
      </c>
      <c r="B427" s="471" t="n">
        <f aca="false">'Income Statement'!D83</f>
        <v>0.161833671626173</v>
      </c>
      <c r="C427" s="471" t="n">
        <f aca="false">'Income Statement'!E83</f>
        <v>0.178789407841557</v>
      </c>
      <c r="D427" s="471" t="n">
        <f aca="false">'Income Statement'!F83</f>
        <v>0.178952390484925</v>
      </c>
      <c r="E427" s="471" t="n">
        <f aca="false">'Income Statement'!G83</f>
        <v>0.160844626537491</v>
      </c>
      <c r="F427" s="471" t="n">
        <f aca="false">'Income Statement'!H83</f>
        <v>0.19015424005941</v>
      </c>
      <c r="G427" s="471" t="n">
        <f aca="false">'Income Statement'!I83</f>
        <v>0.202178779341621</v>
      </c>
    </row>
    <row r="428" customFormat="false" ht="15" hidden="false" customHeight="false" outlineLevel="0" collapsed="false">
      <c r="A428" s="222" t="s">
        <v>1351</v>
      </c>
    </row>
    <row r="430" customFormat="false" ht="15" hidden="false" customHeight="false" outlineLevel="0" collapsed="false">
      <c r="A430" s="469" t="s">
        <v>1352</v>
      </c>
    </row>
    <row r="431" customFormat="false" ht="22.35" hidden="false" customHeight="false" outlineLevel="0" collapsed="false">
      <c r="A431" s="467" t="s">
        <v>1353</v>
      </c>
      <c r="B431" s="467" t="s">
        <v>1354</v>
      </c>
      <c r="C431" s="467" t="s">
        <v>1355</v>
      </c>
      <c r="D431" s="467" t="s">
        <v>1356</v>
      </c>
      <c r="E431" s="467" t="s">
        <v>1357</v>
      </c>
      <c r="F431" s="467" t="s">
        <v>1358</v>
      </c>
      <c r="G431" s="467" t="s">
        <v>1359</v>
      </c>
      <c r="H431" s="467" t="s">
        <v>1360</v>
      </c>
      <c r="I431" s="467" t="s">
        <v>1361</v>
      </c>
      <c r="J431" s="467" t="s">
        <v>1362</v>
      </c>
      <c r="K431" s="467" t="s">
        <v>1363</v>
      </c>
    </row>
    <row r="432" customFormat="false" ht="15" hidden="false" customHeight="false" outlineLevel="0" collapsed="false">
      <c r="A432" s="468" t="s">
        <v>638</v>
      </c>
      <c r="B432" s="492" t="n">
        <v>462.67</v>
      </c>
      <c r="C432" s="492" t="n">
        <v>706.71</v>
      </c>
      <c r="D432" s="492" t="n">
        <v>637.15</v>
      </c>
      <c r="E432" s="492" t="n">
        <v>1109.3</v>
      </c>
      <c r="F432" s="492" t="n">
        <v>1870.5</v>
      </c>
      <c r="G432" s="492" t="n">
        <v>3123.9</v>
      </c>
      <c r="H432" s="492" t="n">
        <v>105.4</v>
      </c>
      <c r="I432" s="473" t="n">
        <f aca="false">SUM(B432:D432)/SUM(E432:G432)</f>
        <v>0.295972934449596</v>
      </c>
      <c r="J432" s="473" t="n">
        <f aca="false">IF(ISNUMBER(H432),H432/SUM(E432:G432),"")</f>
        <v>0.0172682143617806</v>
      </c>
      <c r="K432" s="482" t="n">
        <f aca="false">IF(ISNUMBER(H432),SUM(B432:D432)/H432,"")</f>
        <v>17.1397533206831</v>
      </c>
    </row>
    <row r="433" customFormat="false" ht="15" hidden="false" customHeight="false" outlineLevel="0" collapsed="false">
      <c r="A433" s="468" t="s">
        <v>1364</v>
      </c>
      <c r="B433" s="492" t="n">
        <v>15.62</v>
      </c>
      <c r="C433" s="492" t="n">
        <v>54.65</v>
      </c>
      <c r="D433" s="492" t="n">
        <v>331.11</v>
      </c>
      <c r="E433" s="492" t="n">
        <v>1505.5</v>
      </c>
      <c r="F433" s="492" t="n">
        <v>1506</v>
      </c>
      <c r="G433" s="492" t="n">
        <v>1522.1</v>
      </c>
      <c r="H433" s="492" t="n">
        <v>94.63</v>
      </c>
      <c r="I433" s="473" t="n">
        <f aca="false">SUM(B433:D433)/SUM(E433:G433)</f>
        <v>0.0885344979707076</v>
      </c>
      <c r="J433" s="473" t="n">
        <f aca="false">IF(ISNUMBER(H433),H433/SUM(E433:G433),"")</f>
        <v>0.0208730368801835</v>
      </c>
      <c r="K433" s="482" t="n">
        <f aca="false">IF(ISNUMBER(H433),SUM(B433:D433)/H433,"")</f>
        <v>4.24157244002959</v>
      </c>
    </row>
    <row r="434" customFormat="false" ht="15" hidden="false" customHeight="false" outlineLevel="0" collapsed="false">
      <c r="A434" s="468" t="s">
        <v>634</v>
      </c>
      <c r="B434" s="492" t="n">
        <v>643.18</v>
      </c>
      <c r="C434" s="492" t="n">
        <v>1038.12</v>
      </c>
      <c r="D434" s="492" t="n">
        <v>1425.14</v>
      </c>
      <c r="E434" s="492" t="n">
        <v>12621.5</v>
      </c>
      <c r="F434" s="492" t="n">
        <v>12782.2</v>
      </c>
      <c r="G434" s="492" t="n">
        <v>10728.1</v>
      </c>
      <c r="H434" s="492" t="n">
        <v>1236.1</v>
      </c>
      <c r="I434" s="473" t="n">
        <f aca="false">SUM(B434:D434)/SUM(E434:G434)</f>
        <v>0.0859752351114531</v>
      </c>
      <c r="J434" s="473" t="n">
        <f aca="false">IF(ISNUMBER(H434),H434/SUM(E434:G434),"")</f>
        <v>0.0342108613465147</v>
      </c>
      <c r="K434" s="482" t="n">
        <f aca="false">IF(ISNUMBER(H434),SUM(B434:D434)/H434,"")</f>
        <v>2.51309764582154</v>
      </c>
    </row>
    <row r="435" customFormat="false" ht="15" hidden="false" customHeight="false" outlineLevel="0" collapsed="false">
      <c r="A435" s="468" t="s">
        <v>636</v>
      </c>
      <c r="B435" s="492" t="n">
        <v>686.12</v>
      </c>
      <c r="C435" s="492" t="n">
        <v>1165.93</v>
      </c>
      <c r="D435" s="492" t="n">
        <v>1425.14</v>
      </c>
      <c r="E435" s="492" t="n">
        <v>14521.9</v>
      </c>
      <c r="F435" s="492" t="n">
        <v>14192.6</v>
      </c>
      <c r="G435" s="492" t="n">
        <v>10741.3</v>
      </c>
      <c r="H435" s="492" t="n">
        <v>1529.13</v>
      </c>
      <c r="I435" s="473" t="n">
        <f aca="false">SUM(B435:D435)/SUM(E435:G435)</f>
        <v>0.0830597782835477</v>
      </c>
      <c r="J435" s="473" t="n">
        <f aca="false">IF(ISNUMBER(H435),H435/SUM(E435:G435),"")</f>
        <v>0.0387555188337329</v>
      </c>
      <c r="K435" s="482" t="n">
        <f aca="false">IF(ISNUMBER(H435),SUM(B435:D435)/H435,"")</f>
        <v>2.14317291531786</v>
      </c>
    </row>
    <row r="436" customFormat="false" ht="15" hidden="false" customHeight="false" outlineLevel="0" collapsed="false">
      <c r="A436" s="468" t="s">
        <v>643</v>
      </c>
      <c r="B436" s="492" t="n">
        <v>10.48</v>
      </c>
      <c r="C436" s="492" t="n">
        <v>25.83</v>
      </c>
      <c r="D436" s="492" t="n">
        <v>12.25</v>
      </c>
      <c r="E436" s="492" t="n">
        <v>180.8</v>
      </c>
      <c r="F436" s="492" t="n">
        <v>185.4</v>
      </c>
      <c r="G436" s="492" t="n">
        <v>222.9</v>
      </c>
      <c r="H436" s="492" t="n">
        <v>20.39</v>
      </c>
      <c r="I436" s="473" t="n">
        <f aca="false">SUM(B436:D436)/SUM(E436:G436)</f>
        <v>0.0824308266847734</v>
      </c>
      <c r="J436" s="473" t="n">
        <f aca="false">IF(ISNUMBER(H436),H436/SUM(E436:G436),"")</f>
        <v>0.0346121201833305</v>
      </c>
      <c r="K436" s="482" t="n">
        <f aca="false">IF(ISNUMBER(H436),SUM(B436:D436)/H436,"")</f>
        <v>2.38155958803335</v>
      </c>
    </row>
    <row r="437" customFormat="false" ht="15" hidden="false" customHeight="false" outlineLevel="0" collapsed="false">
      <c r="A437" s="468" t="s">
        <v>640</v>
      </c>
      <c r="B437" s="492" t="n">
        <v>44.16</v>
      </c>
      <c r="C437" s="492" t="n">
        <v>43.58</v>
      </c>
      <c r="D437" s="492" t="n">
        <v>148.59</v>
      </c>
      <c r="E437" s="492" t="n">
        <v>1532.2</v>
      </c>
      <c r="F437" s="492" t="n">
        <v>1767.1</v>
      </c>
      <c r="G437" s="492" t="n">
        <v>1804.1</v>
      </c>
      <c r="H437" s="492" t="n">
        <v>304.18</v>
      </c>
      <c r="I437" s="473" t="n">
        <f aca="false">SUM(B437:D437)/SUM(E437:G437)</f>
        <v>0.046308343457303</v>
      </c>
      <c r="J437" s="473" t="n">
        <f aca="false">IF(ISNUMBER(H437),H437/SUM(E437:G437),"")</f>
        <v>0.0596034016537994</v>
      </c>
      <c r="K437" s="482" t="n">
        <f aca="false">IF(ISNUMBER(H437),SUM(B437:D437)/H437,"")</f>
        <v>0.776941284765599</v>
      </c>
    </row>
    <row r="438" customFormat="false" ht="15" hidden="false" customHeight="false" outlineLevel="0" collapsed="false">
      <c r="A438" s="468" t="s">
        <v>652</v>
      </c>
      <c r="B438" s="492" t="n">
        <v>36.2</v>
      </c>
      <c r="C438" s="492" t="n">
        <v>18.98</v>
      </c>
      <c r="D438" s="492" t="n">
        <v>0.66</v>
      </c>
      <c r="E438" s="492" t="n">
        <v>567</v>
      </c>
      <c r="F438" s="492" t="n">
        <v>436.6</v>
      </c>
      <c r="G438" s="492" t="n">
        <v>476.3</v>
      </c>
      <c r="H438" s="492" t="n">
        <v>49.48</v>
      </c>
      <c r="I438" s="473" t="n">
        <f aca="false">SUM(B438:D438)/SUM(E438:G438)</f>
        <v>0.0377322792080546</v>
      </c>
      <c r="J438" s="473" t="n">
        <f aca="false">IF(ISNUMBER(H438),H438/SUM(E438:G438),"")</f>
        <v>0.0334346915332117</v>
      </c>
      <c r="K438" s="482" t="n">
        <f aca="false">IF(ISNUMBER(H438),SUM(B438:D438)/H438,"")</f>
        <v>1.1285367825384</v>
      </c>
    </row>
    <row r="439" customFormat="false" ht="15" hidden="false" customHeight="false" outlineLevel="0" collapsed="false">
      <c r="A439" s="468" t="s">
        <v>628</v>
      </c>
      <c r="B439" s="492" t="n">
        <v>88.08</v>
      </c>
      <c r="C439" s="492" t="n">
        <v>70.64</v>
      </c>
      <c r="D439" s="492" t="n">
        <v>182.64</v>
      </c>
      <c r="E439" s="492" t="n">
        <v>3258.9</v>
      </c>
      <c r="F439" s="492" t="n">
        <v>3596.5</v>
      </c>
      <c r="G439" s="492" t="n">
        <v>3631</v>
      </c>
      <c r="H439" s="492" t="n">
        <v>318.44</v>
      </c>
      <c r="I439" s="473" t="n">
        <f aca="false">SUM(B439:D439)/SUM(E439:G439)</f>
        <v>0.0325526396093988</v>
      </c>
      <c r="J439" s="473" t="n">
        <f aca="false">IF(ISNUMBER(H439),H439/SUM(E439:G439),"")</f>
        <v>0.0303669514800122</v>
      </c>
      <c r="K439" s="482" t="n">
        <f aca="false">IF(ISNUMBER(H439),SUM(B439:D439)/H439,"")</f>
        <v>1.07197588242683</v>
      </c>
    </row>
    <row r="440" customFormat="false" ht="15" hidden="false" customHeight="false" outlineLevel="0" collapsed="false">
      <c r="A440" s="468" t="s">
        <v>646</v>
      </c>
      <c r="B440" s="492" t="n">
        <v>30.09</v>
      </c>
      <c r="C440" s="492" t="n">
        <v>167.09</v>
      </c>
      <c r="D440" s="492" t="n">
        <v>70.52</v>
      </c>
      <c r="E440" s="492" t="n">
        <v>2506.9</v>
      </c>
      <c r="F440" s="492" t="n">
        <v>3174.4</v>
      </c>
      <c r="G440" s="492" t="n">
        <v>3153.3</v>
      </c>
      <c r="H440" s="492" t="n">
        <v>274.09</v>
      </c>
      <c r="I440" s="473" t="n">
        <f aca="false">SUM(B440:D440)/SUM(E440:G440)</f>
        <v>0.0303013152830915</v>
      </c>
      <c r="J440" s="473" t="n">
        <f aca="false">IF(ISNUMBER(H440),H440/SUM(E440:G440),"")</f>
        <v>0.0310246077920902</v>
      </c>
      <c r="K440" s="482" t="n">
        <f aca="false">IF(ISNUMBER(H440),SUM(B440:D440)/H440,"")</f>
        <v>0.976686489839104</v>
      </c>
    </row>
    <row r="441" customFormat="false" ht="15" hidden="false" customHeight="false" outlineLevel="0" collapsed="false">
      <c r="A441" s="468" t="s">
        <v>661</v>
      </c>
      <c r="B441" s="492" t="n">
        <v>7.16</v>
      </c>
      <c r="C441" s="492" t="n">
        <v>10.12</v>
      </c>
      <c r="D441" s="492" t="n">
        <v>5.66</v>
      </c>
      <c r="E441" s="492" t="n">
        <v>538</v>
      </c>
      <c r="F441" s="492" t="n">
        <v>613.9</v>
      </c>
      <c r="G441" s="492" t="n">
        <v>682.4</v>
      </c>
      <c r="H441" s="492" t="n">
        <v>35.42</v>
      </c>
      <c r="I441" s="473" t="n">
        <f aca="false">SUM(B441:D441)/SUM(E441:G441)</f>
        <v>0.0125061331298043</v>
      </c>
      <c r="J441" s="473" t="n">
        <f aca="false">IF(ISNUMBER(H441),H441/SUM(E441:G441),"")</f>
        <v>0.0193098184593578</v>
      </c>
      <c r="K441" s="482" t="n">
        <f aca="false">IF(ISNUMBER(H441),SUM(B441:D441)/H441,"")</f>
        <v>0.647656691134952</v>
      </c>
    </row>
    <row r="442" customFormat="false" ht="15" hidden="false" customHeight="false" outlineLevel="0" collapsed="false">
      <c r="A442" s="468" t="s">
        <v>659</v>
      </c>
      <c r="B442" s="492" t="n">
        <v>6.4</v>
      </c>
      <c r="C442" s="492" t="n">
        <v>0</v>
      </c>
      <c r="D442" s="492" t="n">
        <v>7.81</v>
      </c>
      <c r="E442" s="492" t="n">
        <v>359.7</v>
      </c>
      <c r="F442" s="492" t="n">
        <v>370.2</v>
      </c>
      <c r="G442" s="492" t="n">
        <v>420.6</v>
      </c>
      <c r="H442" s="492" t="n">
        <v>13.91</v>
      </c>
      <c r="I442" s="473" t="n">
        <f aca="false">SUM(B442:D442)/SUM(E442:G442)</f>
        <v>0.0123511516731856</v>
      </c>
      <c r="J442" s="473" t="n">
        <f aca="false">IF(ISNUMBER(H442),H442/SUM(E442:G442),"")</f>
        <v>0.012090395480226</v>
      </c>
      <c r="K442" s="482" t="n">
        <f aca="false">IF(ISNUMBER(H442),SUM(B442:D442)/H442,"")</f>
        <v>1.0215672178289</v>
      </c>
    </row>
    <row r="443" customFormat="false" ht="15" hidden="false" customHeight="false" outlineLevel="0" collapsed="false">
      <c r="A443" s="468" t="s">
        <v>657</v>
      </c>
      <c r="B443" s="492" t="n">
        <v>5.54</v>
      </c>
      <c r="C443" s="492" t="n">
        <v>0.56</v>
      </c>
      <c r="D443" s="492" t="n">
        <v>1.06</v>
      </c>
      <c r="E443" s="492" t="n">
        <v>214.9</v>
      </c>
      <c r="F443" s="492" t="n">
        <v>196.5</v>
      </c>
      <c r="G443" s="492" t="n">
        <v>195.2</v>
      </c>
      <c r="H443" s="492" t="n">
        <v>8.14</v>
      </c>
      <c r="I443" s="473" t="n">
        <f aca="false">SUM(B443:D443)/SUM(E443:G443)</f>
        <v>0.0118034948895483</v>
      </c>
      <c r="J443" s="473" t="n">
        <f aca="false">IF(ISNUMBER(H443),H443/SUM(E443:G443),"")</f>
        <v>0.0134190570392351</v>
      </c>
      <c r="K443" s="482" t="n">
        <f aca="false">IF(ISNUMBER(H443),SUM(B443:D443)/H443,"")</f>
        <v>0.87960687960688</v>
      </c>
    </row>
    <row r="444" customFormat="false" ht="15" hidden="false" customHeight="false" outlineLevel="0" collapsed="false">
      <c r="A444" s="468" t="s">
        <v>655</v>
      </c>
      <c r="B444" s="492" t="n">
        <v>0.87</v>
      </c>
      <c r="C444" s="492" t="n">
        <v>0.58</v>
      </c>
      <c r="D444" s="492" t="n">
        <v>7.68</v>
      </c>
      <c r="E444" s="492" t="n">
        <v>355.6</v>
      </c>
      <c r="F444" s="492" t="n">
        <v>355.5</v>
      </c>
      <c r="G444" s="492" t="n">
        <v>450.5</v>
      </c>
      <c r="H444" s="492" t="n">
        <v>56.97</v>
      </c>
      <c r="I444" s="473" t="n">
        <f aca="false">SUM(B444:D444)/SUM(E444:G444)</f>
        <v>0.00785984848484849</v>
      </c>
      <c r="J444" s="473" t="n">
        <f aca="false">IF(ISNUMBER(H444),H444/SUM(E444:G444),"")</f>
        <v>0.0490444214876033</v>
      </c>
      <c r="K444" s="482" t="n">
        <f aca="false">IF(ISNUMBER(H444),SUM(B444:D444)/H444,"")</f>
        <v>0.160259785852203</v>
      </c>
    </row>
    <row r="445" customFormat="false" ht="15" hidden="false" customHeight="false" outlineLevel="0" collapsed="false">
      <c r="A445" s="468" t="s">
        <v>654</v>
      </c>
      <c r="B445" s="492" t="n">
        <v>6.95</v>
      </c>
      <c r="C445" s="492" t="n">
        <v>10.69</v>
      </c>
      <c r="D445" s="492" t="n">
        <v>2.02</v>
      </c>
      <c r="E445" s="492" t="n">
        <v>874.5</v>
      </c>
      <c r="F445" s="492" t="n">
        <v>822</v>
      </c>
      <c r="G445" s="492" t="n">
        <v>844.4</v>
      </c>
      <c r="I445" s="473" t="n">
        <f aca="false">SUM(B445:D445)/SUM(E445:G445)</f>
        <v>0.00773741587626432</v>
      </c>
      <c r="J445" s="473" t="str">
        <f aca="false">IF(ISNUMBER(H445),H445/SUM(E445:G445),"")</f>
        <v/>
      </c>
      <c r="K445" s="482" t="str">
        <f aca="false">IF(ISNUMBER(H445),SUM(B445:D445)/H445,"")</f>
        <v/>
      </c>
    </row>
    <row r="446" customFormat="false" ht="15" hidden="false" customHeight="false" outlineLevel="0" collapsed="false">
      <c r="A446" s="468" t="s">
        <v>632</v>
      </c>
      <c r="B446" s="492" t="n">
        <v>28.76</v>
      </c>
      <c r="C446" s="492" t="n">
        <v>23.06</v>
      </c>
      <c r="D446" s="492" t="n">
        <v>27.4</v>
      </c>
      <c r="E446" s="492" t="n">
        <v>3819.7</v>
      </c>
      <c r="F446" s="492" t="n">
        <v>4379.1</v>
      </c>
      <c r="G446" s="492" t="n">
        <v>4763.8</v>
      </c>
      <c r="H446" s="492" t="n">
        <v>185.76</v>
      </c>
      <c r="I446" s="473" t="n">
        <f aca="false">SUM(B446:D446)/SUM(E446:G446)</f>
        <v>0.0061114282628485</v>
      </c>
      <c r="J446" s="473" t="n">
        <f aca="false">IF(ISNUMBER(H446),H446/SUM(E446:G446),"")</f>
        <v>0.0143304583956922</v>
      </c>
      <c r="K446" s="482" t="n">
        <f aca="false">IF(ISNUMBER(H446),SUM(B446:D446)/H446,"")</f>
        <v>0.426464254952627</v>
      </c>
    </row>
    <row r="447" customFormat="false" ht="15" hidden="false" customHeight="false" outlineLevel="0" collapsed="false">
      <c r="A447" s="468" t="s">
        <v>647</v>
      </c>
      <c r="B447" s="492" t="n">
        <v>2</v>
      </c>
      <c r="C447" s="492" t="n">
        <v>1.57</v>
      </c>
      <c r="D447" s="492" t="n">
        <v>0.36</v>
      </c>
      <c r="E447" s="492" t="n">
        <v>492.8</v>
      </c>
      <c r="F447" s="492" t="n">
        <v>466.6</v>
      </c>
      <c r="G447" s="492" t="n">
        <v>418.1</v>
      </c>
      <c r="H447" s="492" t="n">
        <v>27.11</v>
      </c>
      <c r="I447" s="473" t="n">
        <f aca="false">SUM(B447:D447)/SUM(E447:G447)</f>
        <v>0.0028529945553539</v>
      </c>
      <c r="J447" s="473" t="n">
        <f aca="false">IF(ISNUMBER(H447),H447/SUM(E447:G447),"")</f>
        <v>0.0196805807622505</v>
      </c>
      <c r="K447" s="482" t="n">
        <f aca="false">IF(ISNUMBER(H447),SUM(B447:D447)/H447,"")</f>
        <v>0.144964957580229</v>
      </c>
    </row>
    <row r="448" customFormat="false" ht="15" hidden="false" customHeight="false" outlineLevel="0" collapsed="false">
      <c r="A448" s="468" t="s">
        <v>1365</v>
      </c>
      <c r="I448" s="473" t="n">
        <f aca="false">MEDIAN(I432:I447)</f>
        <v>0.0314269774462452</v>
      </c>
      <c r="J448" s="473" t="n">
        <f aca="false">MEDIAN(J432:J447)</f>
        <v>0.0303669514800122</v>
      </c>
      <c r="K448" s="482" t="n">
        <f aca="false">MEDIAN(K432:K447)</f>
        <v>1.0215672178289</v>
      </c>
    </row>
    <row r="449" customFormat="false" ht="15" hidden="false" customHeight="false" outlineLevel="0" collapsed="false">
      <c r="A449" s="468" t="s">
        <v>1366</v>
      </c>
      <c r="I449" s="473" t="n">
        <f aca="false">QUARTILE(I432:I447,3)</f>
        <v>0.082588064584467</v>
      </c>
      <c r="J449" s="473" t="n">
        <f aca="false">QUARTILE(J432:J447,3)</f>
        <v>0.0344114907649226</v>
      </c>
      <c r="K449" s="482" t="n">
        <f aca="false">QUARTILE(K432:K447,3)</f>
        <v>2.26236625167561</v>
      </c>
    </row>
    <row r="450" customFormat="false" ht="15" hidden="false" customHeight="false" outlineLevel="0" collapsed="false">
      <c r="A450" s="222" t="s">
        <v>1367</v>
      </c>
    </row>
    <row r="452" customFormat="false" ht="15" hidden="false" customHeight="false" outlineLevel="0" collapsed="false">
      <c r="A452" s="469" t="s">
        <v>1368</v>
      </c>
    </row>
    <row r="453" customFormat="false" ht="15" hidden="false" customHeight="false" outlineLevel="0" collapsed="false">
      <c r="A453" s="467" t="s">
        <v>285</v>
      </c>
      <c r="B453" s="467" t="s">
        <v>287</v>
      </c>
      <c r="C453" s="467" t="s">
        <v>288</v>
      </c>
      <c r="D453" s="467" t="s">
        <v>289</v>
      </c>
      <c r="E453" s="467" t="s">
        <v>290</v>
      </c>
      <c r="F453" s="467" t="s">
        <v>291</v>
      </c>
      <c r="G453" s="467" t="s">
        <v>292</v>
      </c>
      <c r="H453" s="467" t="s">
        <v>293</v>
      </c>
      <c r="I453" s="467" t="s">
        <v>294</v>
      </c>
    </row>
    <row r="454" customFormat="false" ht="15" hidden="false" customHeight="false" outlineLevel="0" collapsed="false">
      <c r="A454" s="468" t="s">
        <v>1369</v>
      </c>
      <c r="B454" s="471" t="n">
        <f aca="false">Drivers!C93</f>
        <v>0.257687938825737</v>
      </c>
      <c r="C454" s="471" t="n">
        <f aca="false">Drivers!D93</f>
        <v>0.2038781005801</v>
      </c>
      <c r="D454" s="471" t="n">
        <f aca="false">Drivers!E93</f>
        <v>0.106937776598666</v>
      </c>
      <c r="E454" s="471" t="n">
        <f aca="false">Drivers!F93</f>
        <v>0.2</v>
      </c>
      <c r="F454" s="471" t="n">
        <f aca="false">Drivers!G93</f>
        <v>0.65</v>
      </c>
      <c r="G454" s="471" t="n">
        <f aca="false">Drivers!H93</f>
        <v>0.12</v>
      </c>
      <c r="H454" s="471" t="n">
        <f aca="false">Drivers!I93</f>
        <v>0.1</v>
      </c>
      <c r="I454" s="471" t="n">
        <f aca="false">Drivers!J93</f>
        <v>0.1</v>
      </c>
    </row>
    <row r="455" customFormat="false" ht="15" hidden="false" customHeight="false" outlineLevel="0" collapsed="false">
      <c r="A455" s="468" t="s">
        <v>1370</v>
      </c>
      <c r="B455" s="471" t="n">
        <f aca="false">Drivers!C101</f>
        <v>0.0736795100791018</v>
      </c>
      <c r="C455" s="471" t="n">
        <f aca="false">Drivers!D101</f>
        <v>0.0767996026937801</v>
      </c>
      <c r="D455" s="471" t="n">
        <f aca="false">Drivers!E101</f>
        <v>0.0658713080671815</v>
      </c>
      <c r="E455" s="471" t="n">
        <f aca="false">Drivers!F101</f>
        <v>0.0587697514755562</v>
      </c>
      <c r="F455" s="471" t="n">
        <f aca="false">Drivers!G101</f>
        <v>0.0660926138055673</v>
      </c>
      <c r="G455" s="471" t="n">
        <f aca="false">Drivers!H101</f>
        <v>0.104074828786527</v>
      </c>
      <c r="H455" s="471" t="n">
        <f aca="false">Drivers!I101</f>
        <v>0.0923687722683053</v>
      </c>
      <c r="I455" s="471" t="n">
        <f aca="false">Drivers!J101</f>
        <v>0.0867735189646974</v>
      </c>
    </row>
    <row r="456" customFormat="false" ht="15" hidden="false" customHeight="false" outlineLevel="0" collapsed="false">
      <c r="A456" s="468" t="s">
        <v>1371</v>
      </c>
      <c r="B456" s="482" t="n">
        <f aca="false">Drivers!C95/Drivers!C98</f>
        <v>3.49741656193269</v>
      </c>
      <c r="C456" s="482" t="n">
        <f aca="false">Drivers!D95/Drivers!D98</f>
        <v>2.65467650129669</v>
      </c>
      <c r="D456" s="482" t="n">
        <f aca="false">Drivers!E95/Drivers!E98</f>
        <v>1.62343484191329</v>
      </c>
      <c r="E456" s="482" t="n">
        <f aca="false">Drivers!F95/Drivers!F98</f>
        <v>3.40311120905769</v>
      </c>
      <c r="F456" s="482" t="n">
        <f aca="false">Drivers!G95/Drivers!G98</f>
        <v>9.83468443103468</v>
      </c>
      <c r="G456" s="482" t="n">
        <f aca="false">Drivers!H95/Drivers!H98</f>
        <v>1.15301654971864</v>
      </c>
      <c r="H456" s="482" t="n">
        <f aca="false">Drivers!I95/Drivers!I98</f>
        <v>1.08261696614878</v>
      </c>
      <c r="I456" s="482" t="n">
        <f aca="false">Drivers!J95/Drivers!J98</f>
        <v>1.15242531584646</v>
      </c>
    </row>
    <row r="457" customFormat="false" ht="15" hidden="false" customHeight="false" outlineLevel="0" collapsed="false">
      <c r="A457" s="468" t="s">
        <v>1372</v>
      </c>
      <c r="B457" s="473" t="n">
        <f aca="false">$I$448</f>
        <v>0.0314269774462452</v>
      </c>
      <c r="C457" s="473" t="n">
        <f aca="false">$I$448</f>
        <v>0.0314269774462452</v>
      </c>
      <c r="D457" s="473" t="n">
        <f aca="false">$I$448</f>
        <v>0.0314269774462452</v>
      </c>
      <c r="E457" s="473" t="n">
        <f aca="false">$I$448</f>
        <v>0.0314269774462452</v>
      </c>
      <c r="F457" s="473" t="n">
        <f aca="false">$I$448</f>
        <v>0.0314269774462452</v>
      </c>
      <c r="G457" s="473" t="n">
        <f aca="false">$I$448</f>
        <v>0.0314269774462452</v>
      </c>
      <c r="H457" s="473" t="n">
        <f aca="false">$I$448</f>
        <v>0.0314269774462452</v>
      </c>
      <c r="I457" s="473" t="n">
        <f aca="false">$I$448</f>
        <v>0.0314269774462452</v>
      </c>
    </row>
    <row r="458" customFormat="false" ht="15" hidden="false" customHeight="false" outlineLevel="0" collapsed="false">
      <c r="A458" s="468" t="s">
        <v>1373</v>
      </c>
      <c r="B458" s="473" t="n">
        <f aca="false">$I$449</f>
        <v>0.082588064584467</v>
      </c>
      <c r="C458" s="473" t="n">
        <f aca="false">$I$449</f>
        <v>0.082588064584467</v>
      </c>
      <c r="D458" s="473" t="n">
        <f aca="false">$I$449</f>
        <v>0.082588064584467</v>
      </c>
      <c r="E458" s="473" t="n">
        <f aca="false">$I$449</f>
        <v>0.082588064584467</v>
      </c>
      <c r="F458" s="473" t="n">
        <f aca="false">$I$449</f>
        <v>0.082588064584467</v>
      </c>
      <c r="G458" s="473" t="n">
        <f aca="false">$I$449</f>
        <v>0.082588064584467</v>
      </c>
      <c r="H458" s="473" t="n">
        <f aca="false">$I$449</f>
        <v>0.082588064584467</v>
      </c>
      <c r="I458" s="473" t="n">
        <f aca="false">$I$449</f>
        <v>0.082588064584467</v>
      </c>
    </row>
    <row r="459" customFormat="false" ht="15" hidden="false" customHeight="false" outlineLevel="0" collapsed="false">
      <c r="A459" s="468" t="s">
        <v>1374</v>
      </c>
      <c r="B459" s="473" t="n">
        <f aca="false">$J$448</f>
        <v>0.0303669514800122</v>
      </c>
      <c r="C459" s="473" t="n">
        <f aca="false">$J$448</f>
        <v>0.0303669514800122</v>
      </c>
      <c r="D459" s="473" t="n">
        <f aca="false">$J$448</f>
        <v>0.0303669514800122</v>
      </c>
      <c r="E459" s="473" t="n">
        <f aca="false">$J$448</f>
        <v>0.0303669514800122</v>
      </c>
      <c r="F459" s="473" t="n">
        <f aca="false">$J$448</f>
        <v>0.0303669514800122</v>
      </c>
      <c r="G459" s="473" t="n">
        <f aca="false">$J$448</f>
        <v>0.0303669514800122</v>
      </c>
      <c r="H459" s="473" t="n">
        <f aca="false">$J$448</f>
        <v>0.0303669514800122</v>
      </c>
      <c r="I459" s="473" t="n">
        <f aca="false">$J$448</f>
        <v>0.0303669514800122</v>
      </c>
    </row>
    <row r="460" customFormat="false" ht="15" hidden="false" customHeight="false" outlineLevel="0" collapsed="false">
      <c r="A460" s="222" t="s">
        <v>1375</v>
      </c>
    </row>
    <row r="462" customFormat="false" ht="15" hidden="false" customHeight="false" outlineLevel="0" collapsed="false">
      <c r="A462" s="469" t="s">
        <v>1376</v>
      </c>
    </row>
    <row r="463" customFormat="false" ht="15" hidden="false" customHeight="false" outlineLevel="0" collapsed="false">
      <c r="A463" s="467" t="s">
        <v>285</v>
      </c>
      <c r="B463" s="467" t="s">
        <v>289</v>
      </c>
      <c r="C463" s="467" t="s">
        <v>290</v>
      </c>
      <c r="D463" s="467" t="s">
        <v>291</v>
      </c>
      <c r="E463" s="467" t="s">
        <v>292</v>
      </c>
      <c r="F463" s="467" t="s">
        <v>293</v>
      </c>
      <c r="G463" s="467" t="s">
        <v>294</v>
      </c>
    </row>
    <row r="464" customFormat="false" ht="15" hidden="false" customHeight="false" outlineLevel="0" collapsed="false">
      <c r="A464" s="468" t="s">
        <v>1377</v>
      </c>
      <c r="B464" s="470" t="n">
        <f aca="false">Drivers!E95/1000000</f>
        <v>5.08452</v>
      </c>
      <c r="C464" s="470" t="n">
        <f aca="false">Drivers!F95/1000000</f>
        <v>12.734763397992</v>
      </c>
      <c r="D464" s="470" t="n">
        <f aca="false">Drivers!G95/1000000</f>
        <v>51.8314030539191</v>
      </c>
      <c r="E464" s="470" t="n">
        <f aca="false">Drivers!H95/1000000</f>
        <v>13.2481997903225</v>
      </c>
      <c r="F464" s="470" t="n">
        <f aca="false">Drivers!I95/1000000</f>
        <v>14.1604332588451</v>
      </c>
      <c r="G464" s="470" t="n">
        <f aca="false">Drivers!J95/1000000</f>
        <v>17.0317748046407</v>
      </c>
    </row>
    <row r="465" customFormat="false" ht="15" hidden="false" customHeight="false" outlineLevel="0" collapsed="false">
      <c r="A465" s="468" t="s">
        <v>1339</v>
      </c>
      <c r="B465" s="471" t="n">
        <f aca="false">Drivers!E93</f>
        <v>0.106937776598666</v>
      </c>
      <c r="C465" s="471" t="n">
        <f aca="false">Drivers!F93</f>
        <v>0.2</v>
      </c>
      <c r="D465" s="471" t="n">
        <f aca="false">Drivers!G93</f>
        <v>0.65</v>
      </c>
      <c r="E465" s="471" t="n">
        <f aca="false">Drivers!H93</f>
        <v>0.12</v>
      </c>
      <c r="F465" s="471" t="n">
        <f aca="false">Drivers!I93</f>
        <v>0.1</v>
      </c>
      <c r="G465" s="471" t="n">
        <f aca="false">Drivers!J93</f>
        <v>0.1</v>
      </c>
    </row>
    <row r="466" customFormat="false" ht="15" hidden="false" customHeight="false" outlineLevel="0" collapsed="false">
      <c r="A466" s="468" t="s">
        <v>1378</v>
      </c>
      <c r="B466" s="470" t="n">
        <f aca="false">Drivers!E98/1000000</f>
        <v>3.131952</v>
      </c>
      <c r="C466" s="470" t="n">
        <f aca="false">Drivers!F98/1000000</f>
        <v>3.7420944</v>
      </c>
      <c r="D466" s="470" t="n">
        <f aca="false">Drivers!G98/1000000</f>
        <v>5.27026600775904</v>
      </c>
      <c r="E466" s="470" t="n">
        <f aca="false">Drivers!H98/1000000</f>
        <v>11.4900343742293</v>
      </c>
      <c r="F466" s="470" t="n">
        <f aca="false">Drivers!I98/1000000</f>
        <v>13.079818349068</v>
      </c>
      <c r="G466" s="470" t="n">
        <f aca="false">Drivers!J98/1000000</f>
        <v>14.7790703401295</v>
      </c>
    </row>
    <row r="467" customFormat="false" ht="15" hidden="false" customHeight="false" outlineLevel="0" collapsed="false">
      <c r="A467" s="468" t="s">
        <v>1379</v>
      </c>
      <c r="B467" s="472" t="n">
        <f aca="false">('Cash Flow Statement'!E19+'Cash Flow Statement'!E22)/1000000</f>
        <v>1.1979492155</v>
      </c>
      <c r="C467" s="472" t="n">
        <f aca="false">DCF!C10/1000000</f>
        <v>-4.86489964943638</v>
      </c>
      <c r="D467" s="472" t="n">
        <f aca="false">DCF!D10/1000000</f>
        <v>-42.6417458610666</v>
      </c>
      <c r="E467" s="472" t="n">
        <f aca="false">DCF!E10/1000000</f>
        <v>-3.68333239197344</v>
      </c>
      <c r="F467" s="472" t="n">
        <f aca="false">DCF!F10/1000000</f>
        <v>3.62304912114107</v>
      </c>
      <c r="G467" s="472" t="n">
        <f aca="false">DCF!G10/1000000</f>
        <v>8.65678707685355</v>
      </c>
    </row>
    <row r="468" customFormat="false" ht="15" hidden="false" customHeight="false" outlineLevel="0" collapsed="false">
      <c r="A468" s="468" t="s">
        <v>1380</v>
      </c>
      <c r="B468" s="472" t="n">
        <f aca="false">('Income Statement'!D65*(1-Assumption!$D$15))/1000000</f>
        <v>3.6501417724</v>
      </c>
      <c r="C468" s="472" t="n">
        <f aca="false">DCF!C5/1000000</f>
        <v>6.7121556766217</v>
      </c>
      <c r="D468" s="472" t="n">
        <f aca="false">DCF!D5/1000000</f>
        <v>7.19960685986841</v>
      </c>
      <c r="E468" s="472" t="n">
        <f aca="false">DCF!E5/1000000</f>
        <v>5.01398415107313</v>
      </c>
      <c r="F468" s="472" t="n">
        <f aca="false">DCF!F5/1000000</f>
        <v>11.0774767227272</v>
      </c>
      <c r="G468" s="472" t="n">
        <f aca="false">DCF!G5/1000000</f>
        <v>15.7244512480854</v>
      </c>
    </row>
    <row r="469" customFormat="false" ht="15" hidden="false" customHeight="false" outlineLevel="0" collapsed="false">
      <c r="A469" s="468" t="s">
        <v>1381</v>
      </c>
      <c r="C469" s="491" t="n">
        <f aca="false">(DCF!C8-DCF!C6+DCF!C7)/DCF!C5</f>
        <v>1.72478945421077</v>
      </c>
      <c r="D469" s="491" t="n">
        <f aca="false">(DCF!D8-DCF!D6+DCF!D7)/DCF!D5</f>
        <v>6.92278810371681</v>
      </c>
      <c r="E469" s="491" t="n">
        <f aca="false">(DCF!E8-DCF!E6+DCF!E7)/DCF!E5</f>
        <v>1.73461189365449</v>
      </c>
      <c r="F469" s="491" t="n">
        <f aca="false">(DCF!F8-DCF!F6+DCF!F7)/DCF!F5</f>
        <v>0.672935523871801</v>
      </c>
      <c r="G469" s="491" t="n">
        <f aca="false">(DCF!G8-DCF!G6+DCF!G7)/DCF!G5</f>
        <v>0.449469686396364</v>
      </c>
    </row>
    <row r="470" customFormat="false" ht="15" hidden="false" customHeight="false" outlineLevel="0" collapsed="false">
      <c r="A470" s="222" t="s">
        <v>1382</v>
      </c>
    </row>
    <row r="472" customFormat="false" ht="15" hidden="false" customHeight="false" outlineLevel="0" collapsed="false">
      <c r="A472" s="469" t="s">
        <v>1383</v>
      </c>
    </row>
    <row r="473" customFormat="false" ht="15" hidden="false" customHeight="false" outlineLevel="0" collapsed="false">
      <c r="A473" s="467" t="s">
        <v>1347</v>
      </c>
      <c r="B473" s="467" t="s">
        <v>289</v>
      </c>
      <c r="C473" s="467" t="s">
        <v>290</v>
      </c>
      <c r="D473" s="467" t="s">
        <v>291</v>
      </c>
      <c r="E473" s="467" t="s">
        <v>292</v>
      </c>
      <c r="F473" s="467" t="s">
        <v>293</v>
      </c>
      <c r="G473" s="467" t="s">
        <v>294</v>
      </c>
    </row>
    <row r="474" customFormat="false" ht="15" hidden="false" customHeight="false" outlineLevel="0" collapsed="false">
      <c r="A474" s="468" t="s">
        <v>1384</v>
      </c>
      <c r="B474" s="470" t="n">
        <f aca="false">'Balance Sheet'!G7/1000000</f>
        <v>2.93348176549999</v>
      </c>
      <c r="C474" s="470" t="n">
        <f aca="false">'Balance Sheet'!H7/1000000</f>
        <v>35.5463294140094</v>
      </c>
      <c r="D474" s="470" t="n">
        <f aca="false">'Balance Sheet'!I7/1000000</f>
        <v>22.6312637120003</v>
      </c>
      <c r="E474" s="470" t="n">
        <f aca="false">'Balance Sheet'!J7/1000000</f>
        <v>16.3318159734387</v>
      </c>
      <c r="F474" s="470" t="n">
        <f aca="false">'Balance Sheet'!K7/1000000</f>
        <v>11.3677721161802</v>
      </c>
      <c r="G474" s="470" t="n">
        <f aca="false">'Balance Sheet'!L7/1000000</f>
        <v>11.9350476839518</v>
      </c>
    </row>
    <row r="475" customFormat="false" ht="15" hidden="false" customHeight="false" outlineLevel="0" collapsed="false">
      <c r="A475" s="468" t="s">
        <v>123</v>
      </c>
      <c r="B475" s="470" t="n">
        <f aca="false">'Balance Sheet'!G12/1000000</f>
        <v>1.76778</v>
      </c>
      <c r="C475" s="470" t="n">
        <f aca="false">'Balance Sheet'!H12/1000000</f>
        <v>3.14007864608022</v>
      </c>
      <c r="D475" s="470" t="n">
        <f aca="false">'Balance Sheet'!I12/1000000</f>
        <v>4.80628395020536</v>
      </c>
      <c r="E475" s="470" t="n">
        <f aca="false">'Balance Sheet'!J12/1000000</f>
        <v>7.86422818603618</v>
      </c>
      <c r="F475" s="470" t="n">
        <f aca="false">'Balance Sheet'!K12/1000000</f>
        <v>11.638712267544</v>
      </c>
      <c r="G475" s="470" t="n">
        <f aca="false">'Balance Sheet'!L12/1000000</f>
        <v>13.9987190175129</v>
      </c>
    </row>
    <row r="476" customFormat="false" ht="15" hidden="false" customHeight="false" outlineLevel="0" collapsed="false">
      <c r="A476" s="468" t="s">
        <v>120</v>
      </c>
      <c r="B476" s="470" t="n">
        <f aca="false">'Balance Sheet'!G9/1000000</f>
        <v>3.7485</v>
      </c>
      <c r="C476" s="470" t="n">
        <f aca="false">'Balance Sheet'!H9/1000000</f>
        <v>4.74593404040822</v>
      </c>
      <c r="D476" s="470" t="n">
        <f aca="false">'Balance Sheet'!I9/1000000</f>
        <v>5.99410510168572</v>
      </c>
      <c r="E476" s="470" t="n">
        <f aca="false">'Balance Sheet'!J9/1000000</f>
        <v>9.32271628962655</v>
      </c>
      <c r="F476" s="470" t="n">
        <f aca="false">'Balance Sheet'!K9/1000000</f>
        <v>11.0641493125862</v>
      </c>
      <c r="G476" s="470" t="n">
        <f aca="false">'Balance Sheet'!L9/1000000</f>
        <v>12.7874394759941</v>
      </c>
    </row>
    <row r="477" customFormat="false" ht="15" hidden="false" customHeight="false" outlineLevel="0" collapsed="false">
      <c r="A477" s="468" t="s">
        <v>1385</v>
      </c>
      <c r="B477" s="470" t="n">
        <f aca="false">'Balance Sheet'!G32/1000000</f>
        <v>21.394688</v>
      </c>
      <c r="C477" s="470" t="n">
        <f aca="false">'Balance Sheet'!H32/1000000</f>
        <v>30.387356997992</v>
      </c>
      <c r="D477" s="470" t="n">
        <f aca="false">'Balance Sheet'!I32/1000000</f>
        <v>76.9484940441521</v>
      </c>
      <c r="E477" s="470" t="n">
        <f aca="false">'Balance Sheet'!J32/1000000</f>
        <v>78.7066594602453</v>
      </c>
      <c r="F477" s="470" t="n">
        <f aca="false">'Balance Sheet'!K32/1000000</f>
        <v>79.7872743700224</v>
      </c>
      <c r="G477" s="470" t="n">
        <f aca="false">'Balance Sheet'!L32/1000000</f>
        <v>82.0399788345336</v>
      </c>
    </row>
    <row r="478" customFormat="false" ht="15" hidden="false" customHeight="false" outlineLevel="0" collapsed="false">
      <c r="A478" s="468" t="s">
        <v>141</v>
      </c>
      <c r="B478" s="470" t="n">
        <f aca="false">'Balance Sheet'!G34/1000000</f>
        <v>31.9175397655</v>
      </c>
      <c r="C478" s="470" t="n">
        <f aca="false">'Balance Sheet'!H34/1000000</f>
        <v>76.3666517780883</v>
      </c>
      <c r="D478" s="470" t="n">
        <f aca="false">'Balance Sheet'!I34/1000000</f>
        <v>113.569771611362</v>
      </c>
      <c r="E478" s="470" t="n">
        <f aca="false">'Balance Sheet'!J34/1000000</f>
        <v>116.641486506121</v>
      </c>
      <c r="F478" s="470" t="n">
        <f aca="false">'Balance Sheet'!K34/1000000</f>
        <v>119.522081369871</v>
      </c>
      <c r="G478" s="470" t="n">
        <f aca="false">'Balance Sheet'!L34/1000000</f>
        <v>127.573894933849</v>
      </c>
    </row>
    <row r="479" customFormat="false" ht="15" hidden="false" customHeight="false" outlineLevel="0" collapsed="false">
      <c r="A479" s="468" t="s">
        <v>1386</v>
      </c>
      <c r="B479" s="472" t="n">
        <f aca="false">('Balance Sheet'!G48+'Balance Sheet'!G61)/1000000</f>
        <v>1.6026</v>
      </c>
      <c r="C479" s="472" t="n">
        <f aca="false">('Balance Sheet'!H48+'Balance Sheet'!H61)/1000000</f>
        <v>1.6026</v>
      </c>
      <c r="D479" s="472" t="n">
        <f aca="false">('Balance Sheet'!I48+'Balance Sheet'!I61)/1000000</f>
        <v>32.7014418323515</v>
      </c>
      <c r="E479" s="472" t="n">
        <f aca="false">('Balance Sheet'!J48+'Balance Sheet'!J61)/1000000</f>
        <v>32.7014418323515</v>
      </c>
      <c r="F479" s="472" t="n">
        <f aca="false">('Balance Sheet'!K48+'Balance Sheet'!K61)/1000000</f>
        <v>26.4816734658812</v>
      </c>
      <c r="G479" s="472" t="n">
        <f aca="false">('Balance Sheet'!L48+'Balance Sheet'!L61)/1000000</f>
        <v>20.2619050994109</v>
      </c>
    </row>
    <row r="480" customFormat="false" ht="15" hidden="false" customHeight="false" outlineLevel="0" collapsed="false">
      <c r="A480" s="468" t="s">
        <v>168</v>
      </c>
      <c r="B480" s="470" t="n">
        <f aca="false">'Balance Sheet'!G76/1000000</f>
        <v>29.9722077655</v>
      </c>
      <c r="C480" s="470" t="n">
        <f aca="false">'Balance Sheet'!H76/1000000</f>
        <v>74.1621107400675</v>
      </c>
      <c r="D480" s="470" t="n">
        <f aca="false">'Balance Sheet'!I76/1000000</f>
        <v>79.9895559266419</v>
      </c>
      <c r="E480" s="470" t="n">
        <f aca="false">'Balance Sheet'!J76/1000000</f>
        <v>82.3874247311269</v>
      </c>
      <c r="F480" s="470" t="n">
        <f aca="false">'Balance Sheet'!K76/1000000</f>
        <v>91.0975768419248</v>
      </c>
      <c r="G480" s="470" t="n">
        <f aca="false">'Balance Sheet'!L76/1000000</f>
        <v>104.952284947399</v>
      </c>
    </row>
    <row r="481" customFormat="false" ht="15" hidden="false" customHeight="false" outlineLevel="0" collapsed="false">
      <c r="A481" s="468" t="s">
        <v>1387</v>
      </c>
      <c r="B481" s="491" t="n">
        <f aca="false">('Balance Sheet'!G48+'Balance Sheet'!G61)/'Balance Sheet'!G76</f>
        <v>0.0534695345948022</v>
      </c>
      <c r="C481" s="491" t="n">
        <f aca="false">('Balance Sheet'!H48+'Balance Sheet'!H61)/'Balance Sheet'!H76</f>
        <v>0.0216094173157637</v>
      </c>
      <c r="D481" s="491" t="n">
        <f aca="false">('Balance Sheet'!I48+'Balance Sheet'!I61)/'Balance Sheet'!I76</f>
        <v>0.408821394912379</v>
      </c>
      <c r="E481" s="491" t="n">
        <f aca="false">('Balance Sheet'!J48+'Balance Sheet'!J61)/'Balance Sheet'!J76</f>
        <v>0.396922733524847</v>
      </c>
      <c r="F481" s="491" t="n">
        <f aca="false">('Balance Sheet'!K48+'Balance Sheet'!K61)/'Balance Sheet'!K76</f>
        <v>0.290695695581815</v>
      </c>
      <c r="G481" s="491" t="n">
        <f aca="false">('Balance Sheet'!L48+'Balance Sheet'!L61)/'Balance Sheet'!L76</f>
        <v>0.193058256040505</v>
      </c>
    </row>
    <row r="482" customFormat="false" ht="15" hidden="false" customHeight="false" outlineLevel="0" collapsed="false">
      <c r="A482" s="468" t="s">
        <v>1388</v>
      </c>
      <c r="B482" s="470" t="n">
        <f aca="false">'Cash Flow Statement'!E19/1000000</f>
        <v>6.2824692155</v>
      </c>
      <c r="C482" s="470" t="n">
        <f aca="false">'Cash Flow Statement'!F19/1000000</f>
        <v>7.73684794855561</v>
      </c>
      <c r="D482" s="470" t="n">
        <f aca="false">'Cash Flow Statement'!G19/1000000</f>
        <v>7.81749551955852</v>
      </c>
      <c r="E482" s="470" t="n">
        <f aca="false">'Cash Flow Statement'!H19/1000000</f>
        <v>6.94875205176094</v>
      </c>
      <c r="F482" s="470" t="n">
        <f aca="false">'Cash Flow Statement'!I19/1000000</f>
        <v>15.4161577680569</v>
      </c>
      <c r="G482" s="470" t="n">
        <f aca="false">'Cash Flow Statement'!J19/1000000</f>
        <v>23.8188187388826</v>
      </c>
    </row>
    <row r="483" customFormat="false" ht="15" hidden="false" customHeight="false" outlineLevel="0" collapsed="false">
      <c r="A483" s="468" t="s">
        <v>406</v>
      </c>
      <c r="B483" s="470" t="n">
        <f aca="false">'Cash Flow Statement'!E22/1000000</f>
        <v>-5.08452</v>
      </c>
      <c r="C483" s="470" t="n">
        <f aca="false">'Cash Flow Statement'!F22/1000000</f>
        <v>-12.734763397992</v>
      </c>
      <c r="D483" s="470" t="n">
        <f aca="false">'Cash Flow Statement'!G22/1000000</f>
        <v>-51.8314030539191</v>
      </c>
      <c r="E483" s="470" t="n">
        <f aca="false">'Cash Flow Statement'!H22/1000000</f>
        <v>-13.2481997903225</v>
      </c>
      <c r="F483" s="470" t="n">
        <f aca="false">'Cash Flow Statement'!I22/1000000</f>
        <v>-14.1604332588451</v>
      </c>
      <c r="G483" s="470" t="n">
        <f aca="false">'Cash Flow Statement'!J22/1000000</f>
        <v>-17.0317748046407</v>
      </c>
    </row>
    <row r="484" customFormat="false" ht="15" hidden="false" customHeight="false" outlineLevel="0" collapsed="false">
      <c r="A484" s="468" t="s">
        <v>1389</v>
      </c>
      <c r="B484" s="470" t="n">
        <f aca="false">'Cash Flow Statement'!E27/1000000</f>
        <v>0</v>
      </c>
      <c r="C484" s="470" t="n">
        <f aca="false">'Cash Flow Statement'!F27/1000000</f>
        <v>37.6107630979458</v>
      </c>
      <c r="D484" s="470" t="n">
        <f aca="false">'Cash Flow Statement'!G27/1000000</f>
        <v>0</v>
      </c>
      <c r="E484" s="470" t="n">
        <f aca="false">'Cash Flow Statement'!H27/1000000</f>
        <v>0</v>
      </c>
      <c r="F484" s="470" t="n">
        <f aca="false">'Cash Flow Statement'!I27/1000000</f>
        <v>0</v>
      </c>
      <c r="G484" s="470" t="n">
        <f aca="false">'Cash Flow Statement'!J27/1000000</f>
        <v>0</v>
      </c>
    </row>
    <row r="485" customFormat="false" ht="15" hidden="false" customHeight="false" outlineLevel="0" collapsed="false">
      <c r="A485" s="468" t="s">
        <v>190</v>
      </c>
      <c r="B485" s="470" t="n">
        <f aca="false">'Cash Flow Statement'!E28/1000000</f>
        <v>0</v>
      </c>
      <c r="C485" s="470" t="n">
        <f aca="false">'Cash Flow Statement'!F28/1000000</f>
        <v>0</v>
      </c>
      <c r="D485" s="470" t="n">
        <f aca="false">'Cash Flow Statement'!G28/1000000</f>
        <v>31.0988418323515</v>
      </c>
      <c r="E485" s="470" t="n">
        <f aca="false">'Cash Flow Statement'!H28/1000000</f>
        <v>0</v>
      </c>
      <c r="F485" s="470" t="n">
        <f aca="false">'Cash Flow Statement'!I28/1000000</f>
        <v>-6.21976836647029</v>
      </c>
      <c r="G485" s="470" t="n">
        <f aca="false">'Cash Flow Statement'!J28/1000000</f>
        <v>-6.21976836647029</v>
      </c>
    </row>
    <row r="486" customFormat="false" ht="15" hidden="false" customHeight="false" outlineLevel="0" collapsed="false">
      <c r="A486" s="222" t="s">
        <v>1390</v>
      </c>
    </row>
    <row r="488" customFormat="false" ht="15" hidden="false" customHeight="false" outlineLevel="0" collapsed="false">
      <c r="A488" s="469" t="s">
        <v>1391</v>
      </c>
    </row>
    <row r="489" customFormat="false" ht="15" hidden="false" customHeight="false" outlineLevel="0" collapsed="false">
      <c r="A489" s="467" t="s">
        <v>285</v>
      </c>
      <c r="B489" s="467" t="s">
        <v>289</v>
      </c>
      <c r="C489" s="467" t="s">
        <v>290</v>
      </c>
      <c r="D489" s="467" t="s">
        <v>291</v>
      </c>
      <c r="E489" s="467" t="s">
        <v>292</v>
      </c>
      <c r="F489" s="467" t="s">
        <v>293</v>
      </c>
      <c r="G489" s="467" t="s">
        <v>294</v>
      </c>
    </row>
    <row r="490" customFormat="false" ht="15" hidden="false" customHeight="false" outlineLevel="0" collapsed="false">
      <c r="A490" s="468" t="s">
        <v>1075</v>
      </c>
      <c r="B490" s="473" t="n">
        <f aca="false">('Income Statement'!D65*(1-Assumption!$D$15))/(Drivers!E100+Drivers!E114)</f>
        <v>0.12744318375483</v>
      </c>
      <c r="C490" s="473" t="n">
        <f aca="false">DCF!C5/(Drivers!F100+Drivers!F114)</f>
        <v>0.16689273549338</v>
      </c>
      <c r="D490" s="473" t="n">
        <f aca="false">DCF!D5/(Drivers!G100+Drivers!G114)</f>
        <v>0.0799425729606493</v>
      </c>
      <c r="E490" s="473" t="n">
        <f aca="false">DCF!E5/(Drivers!H100+Drivers!H114)</f>
        <v>0.0507708980889596</v>
      </c>
      <c r="F490" s="473" t="n">
        <f aca="false">DCF!F5/(Drivers!I100+Drivers!I114)</f>
        <v>0.104296417970394</v>
      </c>
      <c r="G490" s="473" t="n">
        <f aca="false">DCF!G5/(Drivers!J100+Drivers!J114)</f>
        <v>0.138811531585547</v>
      </c>
    </row>
    <row r="491" customFormat="false" ht="15" hidden="false" customHeight="false" outlineLevel="0" collapsed="false">
      <c r="A491" s="468" t="s">
        <v>205</v>
      </c>
      <c r="B491" s="471" t="n">
        <f aca="false">'Discount rate'!$E$5</f>
        <v>0.136378331713872</v>
      </c>
      <c r="C491" s="471" t="n">
        <f aca="false">'Discount rate'!$E$5</f>
        <v>0.136378331713872</v>
      </c>
      <c r="D491" s="471" t="n">
        <f aca="false">'Discount rate'!$E$5</f>
        <v>0.136378331713872</v>
      </c>
      <c r="E491" s="471" t="n">
        <f aca="false">'Discount rate'!$E$5</f>
        <v>0.136378331713872</v>
      </c>
      <c r="F491" s="471" t="n">
        <f aca="false">'Discount rate'!$E$5</f>
        <v>0.136378331713872</v>
      </c>
      <c r="G491" s="471" t="n">
        <f aca="false">'Discount rate'!$E$5</f>
        <v>0.136378331713872</v>
      </c>
    </row>
    <row r="492" customFormat="false" ht="15" hidden="false" customHeight="false" outlineLevel="0" collapsed="false">
      <c r="A492" s="468" t="s">
        <v>1392</v>
      </c>
      <c r="B492" s="486" t="n">
        <f aca="false">Drivers!E45</f>
        <v>1.66003632794798</v>
      </c>
      <c r="C492" s="486" t="n">
        <f aca="false">Drivers!F45</f>
        <v>1.69563969772379</v>
      </c>
      <c r="D492" s="486" t="n">
        <f aca="false">Drivers!G45</f>
        <v>1.14184998978152</v>
      </c>
      <c r="E492" s="486" t="n">
        <f aca="false">Drivers!H45</f>
        <v>1.07841100551331</v>
      </c>
      <c r="F492" s="486" t="n">
        <f aca="false">Drivers!I45</f>
        <v>1.21989933627203</v>
      </c>
      <c r="G492" s="486" t="n">
        <f aca="false">Drivers!J45</f>
        <v>1.29347254840751</v>
      </c>
    </row>
    <row r="493" customFormat="false" ht="15" hidden="false" customHeight="false" outlineLevel="0" collapsed="false">
      <c r="A493" s="222" t="s">
        <v>1393</v>
      </c>
    </row>
    <row r="495" customFormat="false" ht="15" hidden="false" customHeight="false" outlineLevel="0" collapsed="false">
      <c r="A495" s="469" t="s">
        <v>1394</v>
      </c>
    </row>
    <row r="496" customFormat="false" ht="15" hidden="false" customHeight="false" outlineLevel="0" collapsed="false">
      <c r="A496" s="467" t="s">
        <v>1395</v>
      </c>
      <c r="B496" s="467" t="s">
        <v>1208</v>
      </c>
      <c r="C496" s="467" t="s">
        <v>718</v>
      </c>
    </row>
    <row r="497" customFormat="false" ht="15" hidden="false" customHeight="false" outlineLevel="0" collapsed="false">
      <c r="A497" s="468" t="s">
        <v>1308</v>
      </c>
      <c r="B497" s="493" t="n">
        <f aca="false">'Discount rate'!B13</f>
        <v>0.039207</v>
      </c>
      <c r="C497" s="493" t="s">
        <v>1396</v>
      </c>
    </row>
    <row r="498" customFormat="false" ht="15" hidden="false" customHeight="false" outlineLevel="0" collapsed="false">
      <c r="A498" s="468" t="s">
        <v>213</v>
      </c>
      <c r="B498" s="493" t="n">
        <f aca="false">'Discount rate'!B14</f>
        <v>0.0423</v>
      </c>
      <c r="C498" s="493" t="s">
        <v>1397</v>
      </c>
    </row>
    <row r="499" customFormat="false" ht="15" hidden="false" customHeight="false" outlineLevel="0" collapsed="false">
      <c r="A499" s="468" t="s">
        <v>1398</v>
      </c>
      <c r="B499" s="493" t="n">
        <f aca="false">'Discount rate'!B16</f>
        <v>0.039</v>
      </c>
      <c r="C499" s="493" t="s">
        <v>1399</v>
      </c>
    </row>
    <row r="500" customFormat="false" ht="15" hidden="false" customHeight="false" outlineLevel="0" collapsed="false">
      <c r="A500" s="468" t="s">
        <v>1400</v>
      </c>
      <c r="B500" s="493" t="n">
        <f aca="false">'Discount rate'!B17</f>
        <v>0.0813</v>
      </c>
      <c r="C500" s="493" t="s">
        <v>1401</v>
      </c>
    </row>
    <row r="501" customFormat="false" ht="15" hidden="false" customHeight="false" outlineLevel="0" collapsed="false">
      <c r="A501" s="468" t="s">
        <v>1402</v>
      </c>
      <c r="B501" s="486" t="n">
        <f aca="false">'Discount rate'!B18</f>
        <v>0.78</v>
      </c>
      <c r="C501" s="486" t="s">
        <v>1403</v>
      </c>
    </row>
    <row r="502" customFormat="false" ht="15" hidden="false" customHeight="false" outlineLevel="0" collapsed="false">
      <c r="A502" s="468" t="s">
        <v>1404</v>
      </c>
      <c r="B502" s="471" t="n">
        <f aca="false">'Discount rate'!B19</f>
        <v>0.408821394912379</v>
      </c>
      <c r="C502" s="471" t="s">
        <v>1405</v>
      </c>
    </row>
    <row r="503" customFormat="false" ht="15" hidden="false" customHeight="false" outlineLevel="0" collapsed="false">
      <c r="A503" s="468" t="s">
        <v>1406</v>
      </c>
      <c r="B503" s="486" t="n">
        <f aca="false">'Discount rate'!B21</f>
        <v>1.03510455042532</v>
      </c>
      <c r="C503" s="486" t="s">
        <v>1407</v>
      </c>
    </row>
    <row r="504" customFormat="false" ht="15" hidden="false" customHeight="false" outlineLevel="0" collapsed="false">
      <c r="A504" s="468" t="s">
        <v>1408</v>
      </c>
      <c r="B504" s="486" t="n">
        <f aca="false">'Discount rate'!B22</f>
        <v>0.7</v>
      </c>
      <c r="C504" s="486" t="s">
        <v>1409</v>
      </c>
    </row>
    <row r="505" customFormat="false" ht="15" hidden="false" customHeight="false" outlineLevel="0" collapsed="false">
      <c r="A505" s="468" t="s">
        <v>1410</v>
      </c>
      <c r="B505" s="486" t="n">
        <f aca="false">'Discount rate'!B23</f>
        <v>1.47872078632189</v>
      </c>
      <c r="C505" s="486"/>
    </row>
    <row r="506" customFormat="false" ht="15" hidden="false" customHeight="false" outlineLevel="0" collapsed="false">
      <c r="A506" s="468" t="s">
        <v>1411</v>
      </c>
      <c r="B506" s="471" t="n">
        <f aca="false">'Discount rate'!E3</f>
        <v>0.15942699992797</v>
      </c>
      <c r="C506" s="471" t="s">
        <v>1412</v>
      </c>
    </row>
    <row r="507" customFormat="false" ht="15" hidden="false" customHeight="false" outlineLevel="0" collapsed="false">
      <c r="A507" s="468" t="s">
        <v>1413</v>
      </c>
      <c r="B507" s="471" t="n">
        <f aca="false">'Discount rate'!B15</f>
        <v>0.1</v>
      </c>
      <c r="C507" s="471" t="s">
        <v>1414</v>
      </c>
    </row>
    <row r="508" customFormat="false" ht="15" hidden="false" customHeight="false" outlineLevel="0" collapsed="false">
      <c r="A508" s="468" t="s">
        <v>1415</v>
      </c>
      <c r="B508" s="471" t="n">
        <f aca="false">'Discount rate'!E4</f>
        <v>0.08</v>
      </c>
      <c r="C508" s="471" t="s">
        <v>1416</v>
      </c>
    </row>
    <row r="509" customFormat="false" ht="15" hidden="false" customHeight="false" outlineLevel="0" collapsed="false">
      <c r="A509" s="468" t="s">
        <v>1417</v>
      </c>
      <c r="B509" s="473" t="n">
        <f aca="false">'Discount rate'!B7/'Discount rate'!B9</f>
        <v>0.709813183992847</v>
      </c>
      <c r="C509" s="473"/>
    </row>
    <row r="510" customFormat="false" ht="15" hidden="false" customHeight="false" outlineLevel="0" collapsed="false">
      <c r="A510" s="468" t="s">
        <v>205</v>
      </c>
      <c r="B510" s="471" t="n">
        <f aca="false">'Discount rate'!E5</f>
        <v>0.136378331713872</v>
      </c>
      <c r="C510" s="471"/>
    </row>
    <row r="511" customFormat="false" ht="15" hidden="false" customHeight="false" outlineLevel="0" collapsed="false">
      <c r="A511" s="222" t="s">
        <v>1418</v>
      </c>
    </row>
    <row r="513" customFormat="false" ht="15" hidden="false" customHeight="false" outlineLevel="0" collapsed="false">
      <c r="A513" s="469" t="s">
        <v>1419</v>
      </c>
    </row>
    <row r="514" customFormat="false" ht="15" hidden="false" customHeight="false" outlineLevel="0" collapsed="false">
      <c r="A514" s="467" t="s">
        <v>1347</v>
      </c>
      <c r="B514" s="467" t="s">
        <v>290</v>
      </c>
      <c r="C514" s="467" t="s">
        <v>291</v>
      </c>
      <c r="D514" s="467" t="s">
        <v>292</v>
      </c>
      <c r="E514" s="467" t="s">
        <v>293</v>
      </c>
      <c r="F514" s="467" t="s">
        <v>294</v>
      </c>
      <c r="G514" s="467" t="s">
        <v>1420</v>
      </c>
    </row>
    <row r="515" customFormat="false" ht="15" hidden="false" customHeight="false" outlineLevel="0" collapsed="false">
      <c r="A515" s="468" t="s">
        <v>1421</v>
      </c>
      <c r="B515" s="470" t="n">
        <f aca="false">DCF!C5/1000000</f>
        <v>6.7121556766217</v>
      </c>
      <c r="C515" s="470" t="n">
        <f aca="false">DCF!D5/1000000</f>
        <v>7.19960685986841</v>
      </c>
      <c r="D515" s="470" t="n">
        <f aca="false">DCF!E5/1000000</f>
        <v>5.01398415107313</v>
      </c>
      <c r="E515" s="470" t="n">
        <f aca="false">DCF!F5/1000000</f>
        <v>11.0774767227272</v>
      </c>
      <c r="F515" s="470" t="n">
        <f aca="false">DCF!G5/1000000</f>
        <v>15.7244512480854</v>
      </c>
    </row>
    <row r="516" customFormat="false" ht="15" hidden="false" customHeight="false" outlineLevel="0" collapsed="false">
      <c r="A516" s="468" t="s">
        <v>545</v>
      </c>
      <c r="B516" s="470" t="n">
        <f aca="false">DCF!C6/1000000</f>
        <v>3.7420944</v>
      </c>
      <c r="C516" s="470" t="n">
        <f aca="false">DCF!D6/1000000</f>
        <v>5.27026600775904</v>
      </c>
      <c r="D516" s="470" t="n">
        <f aca="false">DCF!E6/1000000</f>
        <v>11.4900343742293</v>
      </c>
      <c r="E516" s="470" t="n">
        <f aca="false">DCF!F6/1000000</f>
        <v>13.079818349068</v>
      </c>
      <c r="F516" s="470" t="n">
        <f aca="false">DCF!G6/1000000</f>
        <v>14.7790703401295</v>
      </c>
    </row>
    <row r="517" customFormat="false" ht="15" hidden="false" customHeight="false" outlineLevel="0" collapsed="false">
      <c r="A517" s="468" t="s">
        <v>1422</v>
      </c>
      <c r="B517" s="470" t="n">
        <f aca="false">-DCF!C7/1000000</f>
        <v>-2.58438632806609</v>
      </c>
      <c r="C517" s="470" t="n">
        <f aca="false">-DCF!D7/1000000</f>
        <v>-3.28021567477489</v>
      </c>
      <c r="D517" s="470" t="n">
        <f aca="false">-DCF!E7/1000000</f>
        <v>-6.93915112695341</v>
      </c>
      <c r="E517" s="470" t="n">
        <f aca="false">-DCF!F7/1000000</f>
        <v>-6.37381269180898</v>
      </c>
      <c r="F517" s="470" t="n">
        <f aca="false">-DCF!G7/1000000</f>
        <v>-4.81495970672064</v>
      </c>
    </row>
    <row r="518" customFormat="false" ht="15" hidden="false" customHeight="false" outlineLevel="0" collapsed="false">
      <c r="A518" s="468" t="s">
        <v>1423</v>
      </c>
      <c r="B518" s="470" t="n">
        <f aca="false">-DCF!C8/1000000</f>
        <v>-12.734763397992</v>
      </c>
      <c r="C518" s="470" t="n">
        <f aca="false">-DCF!D8/1000000</f>
        <v>-51.8314030539191</v>
      </c>
      <c r="D518" s="470" t="n">
        <f aca="false">-DCF!E8/1000000</f>
        <v>-13.2481997903225</v>
      </c>
      <c r="E518" s="470" t="n">
        <f aca="false">-DCF!F8/1000000</f>
        <v>-14.1604332588451</v>
      </c>
      <c r="F518" s="470" t="n">
        <f aca="false">-DCF!G8/1000000</f>
        <v>-17.0317748046407</v>
      </c>
    </row>
    <row r="519" customFormat="false" ht="15" hidden="false" customHeight="false" outlineLevel="0" collapsed="false">
      <c r="A519" s="468" t="s">
        <v>1424</v>
      </c>
      <c r="B519" s="470" t="n">
        <f aca="false">DCF!C10/1000000</f>
        <v>-4.86489964943638</v>
      </c>
      <c r="C519" s="470" t="n">
        <f aca="false">DCF!D10/1000000</f>
        <v>-42.6417458610666</v>
      </c>
      <c r="D519" s="470" t="n">
        <f aca="false">DCF!E10/1000000</f>
        <v>-3.68333239197344</v>
      </c>
      <c r="E519" s="470" t="n">
        <f aca="false">DCF!F10/1000000</f>
        <v>3.62304912114107</v>
      </c>
      <c r="F519" s="470" t="n">
        <f aca="false">DCF!G10/1000000</f>
        <v>8.65678707685355</v>
      </c>
      <c r="G519" s="470" t="n">
        <f aca="false">DCF!G12/1000000</f>
        <v>122.293619555322</v>
      </c>
    </row>
    <row r="520" customFormat="false" ht="15" hidden="false" customHeight="false" outlineLevel="0" collapsed="false">
      <c r="A520" s="468" t="s">
        <v>1425</v>
      </c>
      <c r="B520" s="494" t="n">
        <f aca="false">1/(1+'Discount rate'!$E$5)^1</f>
        <v>0.879988620067942</v>
      </c>
      <c r="C520" s="494" t="n">
        <f aca="false">1/(1+'Discount rate'!$E$5)^2</f>
        <v>0.77437997144908</v>
      </c>
      <c r="D520" s="494" t="n">
        <f aca="false">1/(1+'Discount rate'!$E$5)^3</f>
        <v>0.681445562483728</v>
      </c>
      <c r="E520" s="494" t="n">
        <f aca="false">1/(1+'Discount rate'!$E$5)^4</f>
        <v>0.599664340181478</v>
      </c>
      <c r="F520" s="494" t="n">
        <f aca="false">1/(1+'Discount rate'!$E$5)^5</f>
        <v>0.527697795220252</v>
      </c>
      <c r="G520" s="494" t="n">
        <f aca="false">1/(1+'Discount rate'!$E$5)^5</f>
        <v>0.527697795220252</v>
      </c>
    </row>
    <row r="521" customFormat="false" ht="15" hidden="false" customHeight="false" outlineLevel="0" collapsed="false">
      <c r="A521" s="468" t="s">
        <v>1426</v>
      </c>
      <c r="B521" s="472" t="n">
        <f aca="false">DCF!C10/1000000*1/(1+'Discount rate'!$E$5)^1</f>
        <v>-4.28105632927654</v>
      </c>
      <c r="C521" s="472" t="n">
        <f aca="false">DCF!D10/1000000*1/(1+'Discount rate'!$E$5)^2</f>
        <v>-33.0209139424317</v>
      </c>
      <c r="D521" s="472" t="n">
        <f aca="false">DCF!E10/1000000*1/(1+'Discount rate'!$E$5)^3</f>
        <v>-2.50999051366287</v>
      </c>
      <c r="E521" s="472" t="n">
        <f aca="false">DCF!F10/1000000*1/(1+'Discount rate'!$E$5)^4</f>
        <v>2.17261336067415</v>
      </c>
      <c r="F521" s="472" t="n">
        <f aca="false">DCF!G10/1000000*1/(1+'Discount rate'!$E$5)^5</f>
        <v>4.56816745414679</v>
      </c>
      <c r="G521" s="472" t="n">
        <f aca="false">DCF!G12/1000000*1/(1+'Discount rate'!$E$5)^5</f>
        <v>64.5340734088479</v>
      </c>
    </row>
    <row r="522" customFormat="false" ht="15" hidden="false" customHeight="false" outlineLevel="0" collapsed="false">
      <c r="A522" s="222" t="s">
        <v>1427</v>
      </c>
    </row>
    <row r="524" customFormat="false" ht="15" hidden="false" customHeight="false" outlineLevel="0" collapsed="false">
      <c r="A524" s="469" t="s">
        <v>1428</v>
      </c>
    </row>
    <row r="525" customFormat="false" ht="15" hidden="false" customHeight="false" outlineLevel="0" collapsed="false">
      <c r="A525" s="467" t="s">
        <v>1429</v>
      </c>
      <c r="B525" s="467" t="s">
        <v>1208</v>
      </c>
    </row>
    <row r="526" customFormat="false" ht="15" hidden="false" customHeight="false" outlineLevel="0" collapsed="false">
      <c r="A526" s="468" t="s">
        <v>1430</v>
      </c>
      <c r="B526" s="470" t="n">
        <f aca="false">DCF!B27/1000000</f>
        <v>-33.0711799705501</v>
      </c>
    </row>
    <row r="527" customFormat="false" ht="15" hidden="false" customHeight="false" outlineLevel="0" collapsed="false">
      <c r="A527" s="468" t="s">
        <v>562</v>
      </c>
      <c r="B527" s="470" t="n">
        <f aca="false">DCF!B28/1000000</f>
        <v>64.5340734088479</v>
      </c>
    </row>
    <row r="528" customFormat="false" ht="15" hidden="false" customHeight="false" outlineLevel="0" collapsed="false">
      <c r="A528" s="468" t="s">
        <v>563</v>
      </c>
      <c r="B528" s="470" t="n">
        <f aca="false">DCF!B29/1000000</f>
        <v>31.4628934382978</v>
      </c>
    </row>
    <row r="529" customFormat="false" ht="15" hidden="false" customHeight="false" outlineLevel="0" collapsed="false">
      <c r="A529" s="468" t="s">
        <v>1431</v>
      </c>
      <c r="B529" s="470" t="n">
        <f aca="false">DCF!B31/1000000</f>
        <v>2.93348176549999</v>
      </c>
    </row>
    <row r="530" customFormat="false" ht="15" hidden="false" customHeight="false" outlineLevel="0" collapsed="false">
      <c r="A530" s="468" t="s">
        <v>1432</v>
      </c>
      <c r="B530" s="470" t="n">
        <f aca="false">-DCF!B32/1000000</f>
        <v>-1.6026</v>
      </c>
    </row>
    <row r="531" customFormat="false" ht="15" hidden="false" customHeight="false" outlineLevel="0" collapsed="false">
      <c r="A531" s="468" t="s">
        <v>1433</v>
      </c>
      <c r="B531" s="470" t="n">
        <f aca="false">DCF!B33/1000000</f>
        <v>32.7937752037977</v>
      </c>
    </row>
    <row r="532" customFormat="false" ht="15" hidden="false" customHeight="false" outlineLevel="0" collapsed="false">
      <c r="A532" s="468" t="s">
        <v>1434</v>
      </c>
      <c r="B532" s="470" t="n">
        <f aca="false">DCF!G12/1000000</f>
        <v>122.293619555322</v>
      </c>
    </row>
    <row r="533" customFormat="false" ht="15" hidden="false" customHeight="false" outlineLevel="0" collapsed="false">
      <c r="A533" s="468" t="s">
        <v>564</v>
      </c>
      <c r="B533" s="484" t="n">
        <f aca="false">DCF!B30</f>
        <v>2.05111693034229</v>
      </c>
    </row>
    <row r="534" customFormat="false" ht="15" hidden="false" customHeight="false" outlineLevel="0" collapsed="false">
      <c r="A534" s="468" t="s">
        <v>1435</v>
      </c>
      <c r="B534" s="490" t="n">
        <f aca="false">DCF!B34</f>
        <v>4.08894211236575</v>
      </c>
    </row>
    <row r="535" customFormat="false" ht="15" hidden="false" customHeight="false" outlineLevel="0" collapsed="false">
      <c r="A535" s="468" t="s">
        <v>1436</v>
      </c>
      <c r="B535" s="490" t="n">
        <f aca="false">DCF!B35</f>
        <v>2.76373239117498</v>
      </c>
    </row>
    <row r="536" customFormat="false" ht="15" hidden="false" customHeight="false" outlineLevel="0" collapsed="false">
      <c r="A536" s="468" t="s">
        <v>1437</v>
      </c>
      <c r="B536" s="490" t="n">
        <f aca="false">DCF!B36</f>
        <v>4.98450797806063</v>
      </c>
    </row>
    <row r="537" customFormat="false" ht="15" hidden="false" customHeight="false" outlineLevel="0" collapsed="false">
      <c r="A537" s="468" t="s">
        <v>1438</v>
      </c>
      <c r="B537" s="471" t="n">
        <f aca="false">DCF!B40</f>
        <v>0.360200621871145</v>
      </c>
    </row>
    <row r="538" customFormat="false" ht="15" hidden="false" customHeight="false" outlineLevel="0" collapsed="false">
      <c r="A538" s="222" t="s">
        <v>1439</v>
      </c>
    </row>
    <row r="540" customFormat="false" ht="15" hidden="false" customHeight="false" outlineLevel="0" collapsed="false">
      <c r="A540" s="469" t="s">
        <v>1440</v>
      </c>
    </row>
    <row r="541" customFormat="false" ht="15" hidden="false" customHeight="false" outlineLevel="0" collapsed="false">
      <c r="A541" s="467" t="s">
        <v>1429</v>
      </c>
      <c r="B541" s="467" t="s">
        <v>1208</v>
      </c>
      <c r="C541" s="467" t="s">
        <v>1441</v>
      </c>
    </row>
    <row r="542" customFormat="false" ht="15" hidden="false" customHeight="false" outlineLevel="0" collapsed="false">
      <c r="A542" s="468" t="s">
        <v>1442</v>
      </c>
      <c r="B542" s="470" t="n">
        <f aca="false">VCM!B28/1000000</f>
        <v>13.8547081054738</v>
      </c>
      <c r="C542" s="470"/>
    </row>
    <row r="543" customFormat="false" ht="15" hidden="false" customHeight="false" outlineLevel="0" collapsed="false">
      <c r="A543" s="468" t="s">
        <v>1443</v>
      </c>
      <c r="B543" s="490" t="n">
        <f aca="false">VCM!B29</f>
        <v>9.4</v>
      </c>
      <c r="C543" s="490" t="s">
        <v>1444</v>
      </c>
    </row>
    <row r="544" customFormat="false" ht="15" hidden="false" customHeight="false" outlineLevel="0" collapsed="false">
      <c r="A544" s="468" t="s">
        <v>603</v>
      </c>
      <c r="B544" s="470" t="n">
        <f aca="false">VCM!B30/1000000</f>
        <v>130.234256191453</v>
      </c>
      <c r="C544" s="470"/>
    </row>
    <row r="545" customFormat="false" ht="15" hidden="false" customHeight="false" outlineLevel="0" collapsed="false">
      <c r="A545" s="468" t="s">
        <v>1445</v>
      </c>
      <c r="B545" s="470" t="n">
        <f aca="false">VCM!B31/1000000</f>
        <v>34.4346344002363</v>
      </c>
      <c r="C545" s="470"/>
    </row>
    <row r="546" customFormat="false" ht="15" hidden="false" customHeight="false" outlineLevel="0" collapsed="false">
      <c r="A546" s="468" t="s">
        <v>1446</v>
      </c>
      <c r="B546" s="490" t="n">
        <f aca="false">VCM!B32</f>
        <v>8</v>
      </c>
      <c r="C546" s="490" t="s">
        <v>1444</v>
      </c>
    </row>
    <row r="547" customFormat="false" ht="15" hidden="false" customHeight="false" outlineLevel="0" collapsed="false">
      <c r="A547" s="468" t="s">
        <v>1447</v>
      </c>
      <c r="B547" s="470" t="n">
        <f aca="false">VCM!B36/1000000</f>
        <v>267.150217786431</v>
      </c>
      <c r="C547" s="470"/>
    </row>
    <row r="548" customFormat="false" ht="15" hidden="false" customHeight="false" outlineLevel="0" collapsed="false">
      <c r="A548" s="468" t="s">
        <v>1448</v>
      </c>
      <c r="B548" s="470" t="n">
        <f aca="false">VCM!E6/1000000</f>
        <v>198.692236988942</v>
      </c>
      <c r="C548" s="470"/>
    </row>
    <row r="549" customFormat="false" ht="15" hidden="false" customHeight="false" outlineLevel="0" collapsed="false">
      <c r="A549" s="468" t="s">
        <v>1449</v>
      </c>
      <c r="B549" s="484" t="n">
        <f aca="false">VCM!B6</f>
        <v>0.4</v>
      </c>
      <c r="C549" s="484" t="s">
        <v>1450</v>
      </c>
    </row>
    <row r="550" customFormat="false" ht="15" hidden="false" customHeight="false" outlineLevel="0" collapsed="false">
      <c r="A550" s="468" t="s">
        <v>1451</v>
      </c>
      <c r="B550" s="495" t="n">
        <f aca="false">VCM!B5</f>
        <v>5</v>
      </c>
      <c r="C550" s="495"/>
    </row>
    <row r="551" customFormat="false" ht="15" hidden="false" customHeight="false" outlineLevel="0" collapsed="false">
      <c r="A551" s="468" t="s">
        <v>1452</v>
      </c>
      <c r="B551" s="471" t="n">
        <f aca="false">VCM!B7</f>
        <v>0.136378331713872</v>
      </c>
      <c r="C551" s="471"/>
    </row>
    <row r="552" customFormat="false" ht="15" hidden="false" customHeight="false" outlineLevel="0" collapsed="false">
      <c r="A552" s="468" t="s">
        <v>1453</v>
      </c>
      <c r="B552" s="471" t="n">
        <f aca="false">VCM!B9</f>
        <v>0.258614393402926</v>
      </c>
      <c r="C552" s="471" t="s">
        <v>1454</v>
      </c>
    </row>
    <row r="553" customFormat="false" ht="15" hidden="false" customHeight="false" outlineLevel="0" collapsed="false">
      <c r="A553" s="468" t="s">
        <v>701</v>
      </c>
      <c r="B553" s="470" t="n">
        <f aca="false">VCM!E8/1000000</f>
        <v>62.9096732318668</v>
      </c>
      <c r="C553" s="470"/>
    </row>
    <row r="554" customFormat="false" ht="15" hidden="false" customHeight="false" outlineLevel="0" collapsed="false">
      <c r="A554" s="468" t="s">
        <v>1455</v>
      </c>
      <c r="B554" s="470" t="n">
        <f aca="false">VCM!E5/1000000</f>
        <v>37.6107630979458</v>
      </c>
      <c r="C554" s="470"/>
    </row>
    <row r="555" customFormat="false" ht="15" hidden="false" customHeight="false" outlineLevel="0" collapsed="false">
      <c r="A555" s="468" t="s">
        <v>699</v>
      </c>
      <c r="B555" s="470" t="n">
        <f aca="false">VCM!E11/1000000</f>
        <v>25.2989101339209</v>
      </c>
      <c r="C555" s="470"/>
    </row>
    <row r="556" customFormat="false" ht="15" hidden="false" customHeight="false" outlineLevel="0" collapsed="false">
      <c r="A556" s="468" t="s">
        <v>1456</v>
      </c>
      <c r="B556" s="471" t="n">
        <f aca="false">VCM!E9</f>
        <v>0.597853416903367</v>
      </c>
      <c r="C556" s="471"/>
    </row>
    <row r="557" customFormat="false" ht="15" hidden="false" customHeight="false" outlineLevel="0" collapsed="false">
      <c r="A557" s="222" t="s">
        <v>1457</v>
      </c>
    </row>
    <row r="559" customFormat="false" ht="15" hidden="false" customHeight="false" outlineLevel="0" collapsed="false">
      <c r="A559" s="469" t="s">
        <v>1458</v>
      </c>
    </row>
    <row r="560" customFormat="false" ht="22.35" hidden="false" customHeight="false" outlineLevel="0" collapsed="false">
      <c r="A560" s="467" t="s">
        <v>1429</v>
      </c>
      <c r="B560" s="467" t="s">
        <v>1459</v>
      </c>
    </row>
    <row r="561" customFormat="false" ht="15" hidden="false" customHeight="false" outlineLevel="0" collapsed="false">
      <c r="A561" s="468" t="s">
        <v>1460</v>
      </c>
      <c r="B561" s="470" t="n">
        <f aca="false">VCM!E6/1000000</f>
        <v>198.692236988942</v>
      </c>
    </row>
    <row r="562" customFormat="false" ht="15" hidden="false" customHeight="false" outlineLevel="0" collapsed="false">
      <c r="A562" s="468" t="s">
        <v>1461</v>
      </c>
      <c r="B562" s="470" t="n">
        <f aca="false">(VCM!E8-VCM!E6)/1000000</f>
        <v>-135.782563757076</v>
      </c>
    </row>
    <row r="563" customFormat="false" ht="15" hidden="false" customHeight="false" outlineLevel="0" collapsed="false">
      <c r="A563" s="468" t="s">
        <v>701</v>
      </c>
      <c r="B563" s="470" t="n">
        <f aca="false">VCM!E8/1000000</f>
        <v>62.9096732318668</v>
      </c>
    </row>
    <row r="564" customFormat="false" ht="15" hidden="false" customHeight="false" outlineLevel="0" collapsed="false">
      <c r="A564" s="468" t="s">
        <v>1455</v>
      </c>
      <c r="B564" s="470" t="n">
        <f aca="false">-VCM!E5/1000000</f>
        <v>-37.6107630979458</v>
      </c>
    </row>
    <row r="565" customFormat="false" ht="15" hidden="false" customHeight="false" outlineLevel="0" collapsed="false">
      <c r="A565" s="468" t="s">
        <v>699</v>
      </c>
      <c r="B565" s="470" t="n">
        <f aca="false">VCM!E11/1000000</f>
        <v>25.2989101339209</v>
      </c>
    </row>
    <row r="566" customFormat="false" ht="15" hidden="false" customHeight="false" outlineLevel="0" collapsed="false">
      <c r="A566" s="222" t="s">
        <v>1462</v>
      </c>
    </row>
    <row r="568" customFormat="false" ht="15" hidden="false" customHeight="false" outlineLevel="0" collapsed="false">
      <c r="A568" s="469" t="s">
        <v>1463</v>
      </c>
    </row>
    <row r="569" customFormat="false" ht="22.35" hidden="false" customHeight="false" outlineLevel="0" collapsed="false">
      <c r="A569" s="467" t="s">
        <v>1353</v>
      </c>
      <c r="B569" s="467" t="s">
        <v>623</v>
      </c>
      <c r="C569" s="467" t="s">
        <v>624</v>
      </c>
      <c r="D569" s="467" t="s">
        <v>1464</v>
      </c>
      <c r="E569" s="467" t="s">
        <v>622</v>
      </c>
    </row>
    <row r="570" customFormat="false" ht="15" hidden="false" customHeight="false" outlineLevel="0" collapsed="false">
      <c r="A570" s="468" t="str">
        <f aca="false">Multiples!A5</f>
        <v>DHC</v>
      </c>
      <c r="B570" s="486" t="n">
        <f aca="false">Multiples!F5</f>
        <v>6.35</v>
      </c>
      <c r="C570" s="486" t="n">
        <f aca="false">Multiples!G5</f>
        <v>7.48</v>
      </c>
      <c r="D570" s="486" t="n">
        <f aca="false">Multiples!H5</f>
        <v>1</v>
      </c>
      <c r="E570" s="486" t="n">
        <f aca="false">Multiples!E5</f>
        <v>18.9</v>
      </c>
    </row>
    <row r="571" customFormat="false" ht="15" hidden="false" customHeight="false" outlineLevel="0" collapsed="false">
      <c r="A571" s="468" t="str">
        <f aca="false">Multiples!A6</f>
        <v>TDP</v>
      </c>
      <c r="B571" s="486" t="n">
        <f aca="false">Multiples!F6</f>
        <v>8.98</v>
      </c>
      <c r="C571" s="486" t="n">
        <f aca="false">Multiples!G6</f>
        <v>20.51</v>
      </c>
      <c r="D571" s="486" t="n">
        <f aca="false">Multiples!H6</f>
        <v>1</v>
      </c>
      <c r="E571" s="486" t="n">
        <f aca="false">Multiples!E6</f>
        <v>8.3</v>
      </c>
    </row>
    <row r="572" customFormat="false" ht="15" hidden="false" customHeight="false" outlineLevel="0" collapsed="false">
      <c r="A572" s="468" t="str">
        <f aca="false">Multiples!A7</f>
        <v>AAA</v>
      </c>
      <c r="B572" s="486" t="n">
        <f aca="false">Multiples!F7</f>
        <v>3.85</v>
      </c>
      <c r="C572" s="486" t="n">
        <f aca="false">Multiples!G7</f>
        <v>5.16</v>
      </c>
      <c r="D572" s="486" t="n">
        <f aca="false">Multiples!H7</f>
        <v>1</v>
      </c>
      <c r="E572" s="486" t="n">
        <f aca="false">Multiples!E7</f>
        <v>14.2</v>
      </c>
    </row>
    <row r="573" customFormat="false" ht="15" hidden="false" customHeight="false" outlineLevel="0" collapsed="false">
      <c r="A573" s="468" t="str">
        <f aca="false">Multiples!A8</f>
        <v>APH</v>
      </c>
      <c r="B573" s="486" t="n">
        <f aca="false">Multiples!F8</f>
        <v>5.05</v>
      </c>
      <c r="C573" s="486" t="n">
        <f aca="false">Multiples!G8</f>
        <v>6.98</v>
      </c>
      <c r="D573" s="486" t="n">
        <f aca="false">Multiples!H8</f>
        <v>1</v>
      </c>
      <c r="E573" s="486" t="n">
        <f aca="false">Multiples!E8</f>
        <v>14</v>
      </c>
    </row>
    <row r="574" customFormat="false" ht="15" hidden="false" customHeight="false" outlineLevel="0" collapsed="false">
      <c r="A574" s="468" t="str">
        <f aca="false">Multiples!A9</f>
        <v>HHP</v>
      </c>
      <c r="B574" s="486" t="n">
        <f aca="false">Multiples!F9</f>
        <v>13.71</v>
      </c>
      <c r="C574" s="486" t="n">
        <f aca="false">Multiples!G9</f>
        <v>32.9</v>
      </c>
      <c r="D574" s="486" t="n">
        <f aca="false">Multiples!H9</f>
        <v>1</v>
      </c>
      <c r="E574" s="486" t="n">
        <f aca="false">Multiples!E9</f>
        <v>9.3</v>
      </c>
    </row>
    <row r="575" customFormat="false" ht="15" hidden="false" customHeight="false" outlineLevel="0" collapsed="false">
      <c r="A575" s="468" t="str">
        <f aca="false">Multiples!A10</f>
        <v>INN</v>
      </c>
      <c r="B575" s="486" t="n">
        <f aca="false">Multiples!F10</f>
        <v>2.66</v>
      </c>
      <c r="C575" s="486" t="n">
        <f aca="false">Multiples!G10</f>
        <v>7.29</v>
      </c>
      <c r="D575" s="486" t="n">
        <f aca="false">Multiples!H10</f>
        <v>1</v>
      </c>
      <c r="E575" s="486" t="n">
        <f aca="false">Multiples!E10</f>
        <v>14.9</v>
      </c>
    </row>
    <row r="576" customFormat="false" ht="15" hidden="false" customHeight="false" outlineLevel="0" collapsed="false">
      <c r="A576" s="468" t="str">
        <f aca="false">Multiples!A11</f>
        <v>ILS</v>
      </c>
      <c r="B576" s="486" t="n">
        <f aca="false">Multiples!F11</f>
        <v>13.33</v>
      </c>
      <c r="C576" s="486" t="n">
        <f aca="false">Multiples!G11</f>
        <v>16.64</v>
      </c>
      <c r="D576" s="486" t="n">
        <f aca="false">Multiples!H11</f>
        <v>1</v>
      </c>
      <c r="E576" s="486" t="n">
        <f aca="false">Multiples!E11</f>
        <v>16.4</v>
      </c>
    </row>
    <row r="577" customFormat="false" ht="15" hidden="false" customHeight="false" outlineLevel="0" collapsed="false">
      <c r="A577" s="468" t="str">
        <f aca="false">Multiples!A12</f>
        <v>TPP</v>
      </c>
      <c r="B577" s="486" t="n">
        <f aca="false">Multiples!F12</f>
        <v>3.28</v>
      </c>
      <c r="C577" s="486" t="n">
        <f aca="false">Multiples!G12</f>
        <v>2.54</v>
      </c>
      <c r="D577" s="486" t="n">
        <f aca="false">Multiples!H12</f>
        <v>1</v>
      </c>
      <c r="E577" s="486" t="n">
        <f aca="false">Multiples!E12</f>
        <v>15.9</v>
      </c>
    </row>
    <row r="578" customFormat="false" ht="15" hidden="false" customHeight="false" outlineLevel="0" collapsed="false">
      <c r="A578" s="468" t="str">
        <f aca="false">Multiples!A13</f>
        <v>MCP</v>
      </c>
      <c r="B578" s="486" t="n">
        <f aca="false">Multiples!F13</f>
        <v>36.45</v>
      </c>
      <c r="C578" s="486" t="n">
        <f aca="false">Multiples!G13</f>
        <v>84.23</v>
      </c>
      <c r="D578" s="486" t="n">
        <f aca="false">Multiples!H13</f>
        <v>0</v>
      </c>
      <c r="E578" s="486" t="n">
        <f aca="false">Multiples!E13</f>
        <v>2.9</v>
      </c>
    </row>
    <row r="579" customFormat="false" ht="15" hidden="false" customHeight="false" outlineLevel="0" collapsed="false">
      <c r="A579" s="468" t="str">
        <f aca="false">Multiples!A14</f>
        <v>PBT</v>
      </c>
      <c r="B579" s="486" t="n">
        <f aca="false">Multiples!F14</f>
        <v>0.04</v>
      </c>
      <c r="C579" s="486" t="n">
        <f aca="false">Multiples!G14</f>
        <v>9.97</v>
      </c>
      <c r="D579" s="486" t="n">
        <f aca="false">Multiples!H14</f>
        <v>0</v>
      </c>
      <c r="E579" s="486" t="n">
        <f aca="false">Multiples!E14</f>
        <v>1.9</v>
      </c>
    </row>
    <row r="580" customFormat="false" ht="15" hidden="false" customHeight="false" outlineLevel="0" collapsed="false">
      <c r="A580" s="468" t="str">
        <f aca="false">Multiples!A15</f>
        <v>TPC</v>
      </c>
      <c r="B580" s="486" t="n">
        <f aca="false">Multiples!F15</f>
        <v>4.21</v>
      </c>
      <c r="C580" s="486" t="n">
        <f aca="false">Multiples!G15</f>
        <v>20.41</v>
      </c>
      <c r="D580" s="486" t="n">
        <f aca="false">Multiples!H15</f>
        <v>1</v>
      </c>
      <c r="E580" s="486" t="n">
        <f aca="false">Multiples!E15</f>
        <v>7</v>
      </c>
    </row>
    <row r="581" customFormat="false" ht="15" hidden="false" customHeight="false" outlineLevel="0" collapsed="false">
      <c r="A581" s="468" t="str">
        <f aca="false">Multiples!A16</f>
        <v>VBC</v>
      </c>
      <c r="B581" s="486" t="n">
        <f aca="false">Multiples!F16</f>
        <v>4.17</v>
      </c>
      <c r="C581" s="486" t="n">
        <f aca="false">Multiples!G16</f>
        <v>4.85</v>
      </c>
      <c r="D581" s="486" t="n">
        <f aca="false">Multiples!H16</f>
        <v>1</v>
      </c>
      <c r="E581" s="486" t="n">
        <f aca="false">Multiples!E16</f>
        <v>0</v>
      </c>
    </row>
    <row r="582" customFormat="false" ht="15" hidden="false" customHeight="false" outlineLevel="0" collapsed="false">
      <c r="A582" s="468" t="str">
        <f aca="false">Multiples!A17</f>
        <v>BBS</v>
      </c>
      <c r="B582" s="486" t="n">
        <f aca="false">Multiples!F17</f>
        <v>5.5</v>
      </c>
      <c r="C582" s="486" t="n">
        <f aca="false">Multiples!G17</f>
        <v>9.19</v>
      </c>
      <c r="D582" s="486" t="n">
        <f aca="false">Multiples!H17</f>
        <v>1</v>
      </c>
      <c r="E582" s="486" t="n">
        <f aca="false">Multiples!E17</f>
        <v>6.5</v>
      </c>
    </row>
    <row r="583" customFormat="false" ht="15" hidden="false" customHeight="false" outlineLevel="0" collapsed="false">
      <c r="A583" s="468" t="str">
        <f aca="false">Multiples!A18</f>
        <v>STP</v>
      </c>
      <c r="B583" s="486" t="n">
        <f aca="false">Multiples!F18</f>
        <v>2.96</v>
      </c>
      <c r="C583" s="486" t="n">
        <f aca="false">Multiples!G18</f>
        <v>6.65</v>
      </c>
      <c r="D583" s="486" t="n">
        <f aca="false">Multiples!H18</f>
        <v>1</v>
      </c>
      <c r="E583" s="486" t="n">
        <f aca="false">Multiples!E18</f>
        <v>0</v>
      </c>
    </row>
    <row r="584" customFormat="false" ht="15" hidden="false" customHeight="false" outlineLevel="0" collapsed="false">
      <c r="A584" s="468" t="str">
        <f aca="false">Multiples!A19</f>
        <v>PBP</v>
      </c>
      <c r="B584" s="486" t="n">
        <f aca="false">Multiples!F19</f>
        <v>2.06</v>
      </c>
      <c r="C584" s="486" t="n">
        <f aca="false">Multiples!G19</f>
        <v>6.46</v>
      </c>
      <c r="D584" s="486" t="n">
        <f aca="false">Multiples!H19</f>
        <v>1</v>
      </c>
      <c r="E584" s="486" t="n">
        <f aca="false">Multiples!E19</f>
        <v>5.3</v>
      </c>
    </row>
    <row r="585" customFormat="false" ht="15" hidden="false" customHeight="false" outlineLevel="0" collapsed="false">
      <c r="A585" s="468" t="str">
        <f aca="false">Multiples!A20</f>
        <v>PMP</v>
      </c>
      <c r="B585" s="486" t="n">
        <f aca="false">Multiples!F20</f>
        <v>5.4</v>
      </c>
      <c r="C585" s="486" t="n">
        <f aca="false">Multiples!G20</f>
        <v>5.53</v>
      </c>
      <c r="D585" s="486" t="n">
        <f aca="false">Multiples!H20</f>
        <v>1</v>
      </c>
      <c r="E585" s="486" t="n">
        <f aca="false">Multiples!E20</f>
        <v>4</v>
      </c>
    </row>
    <row r="586" customFormat="false" ht="15" hidden="false" customHeight="false" outlineLevel="0" collapsed="false">
      <c r="A586" s="468" t="s">
        <v>1465</v>
      </c>
      <c r="B586" s="486" t="n">
        <f aca="false">Multiples!F22</f>
        <v>4.63</v>
      </c>
      <c r="C586" s="486" t="n">
        <f aca="false">Multiples!G22</f>
        <v>7.135</v>
      </c>
      <c r="D586" s="486" t="n">
        <f aca="false">Multiples!H22</f>
        <v>14</v>
      </c>
    </row>
    <row r="587" customFormat="false" ht="15" hidden="false" customHeight="false" outlineLevel="0" collapsed="false">
      <c r="A587" s="468" t="s">
        <v>1466</v>
      </c>
      <c r="B587" s="486" t="n">
        <f aca="false">Multiples!F23</f>
        <v>7.99</v>
      </c>
      <c r="C587" s="486" t="n">
        <f aca="false">Multiples!G23</f>
        <v>9.43</v>
      </c>
    </row>
    <row r="588" customFormat="false" ht="15" hidden="false" customHeight="false" outlineLevel="0" collapsed="false">
      <c r="A588" s="468" t="s">
        <v>1467</v>
      </c>
      <c r="E588" s="490" t="n">
        <f aca="false">Drivers!E77*100</f>
        <v>16.1833671626173</v>
      </c>
    </row>
    <row r="589" customFormat="false" ht="15" hidden="false" customHeight="false" outlineLevel="0" collapsed="false">
      <c r="A589" s="222" t="s">
        <v>1468</v>
      </c>
    </row>
    <row r="591" customFormat="false" ht="15" hidden="false" customHeight="false" outlineLevel="0" collapsed="false">
      <c r="A591" s="469" t="s">
        <v>1469</v>
      </c>
    </row>
    <row r="592" customFormat="false" ht="22.35" hidden="false" customHeight="false" outlineLevel="0" collapsed="false">
      <c r="A592" s="467" t="s">
        <v>677</v>
      </c>
      <c r="B592" s="467" t="s">
        <v>678</v>
      </c>
      <c r="C592" s="467" t="s">
        <v>1470</v>
      </c>
      <c r="D592" s="467" t="s">
        <v>1471</v>
      </c>
      <c r="E592" s="467" t="s">
        <v>1472</v>
      </c>
    </row>
    <row r="593" customFormat="false" ht="15" hidden="false" customHeight="false" outlineLevel="0" collapsed="false">
      <c r="A593" s="468" t="s">
        <v>1473</v>
      </c>
      <c r="B593" s="470" t="n">
        <f aca="false">Multiples!B37</f>
        <v>4.63</v>
      </c>
      <c r="C593" s="470" t="n">
        <f aca="false">Multiples!C37</f>
        <v>7.6946292155</v>
      </c>
      <c r="D593" s="470" t="n">
        <f aca="false">Multiples!D37</f>
        <v>36.957015033265</v>
      </c>
      <c r="E593" s="470" t="n">
        <f aca="false">Multiples!E37</f>
        <v>25.8699105232855</v>
      </c>
    </row>
    <row r="594" customFormat="false" ht="15" hidden="false" customHeight="false" outlineLevel="0" collapsed="false">
      <c r="A594" s="468" t="s">
        <v>1474</v>
      </c>
      <c r="B594" s="470" t="n">
        <f aca="false">Multiples!B38</f>
        <v>7.99</v>
      </c>
      <c r="C594" s="470" t="n">
        <f aca="false">Multiples!C38</f>
        <v>7.6946292155</v>
      </c>
      <c r="D594" s="470" t="n">
        <f aca="false">Multiples!D38</f>
        <v>62.810969197345</v>
      </c>
      <c r="E594" s="470" t="n">
        <f aca="false">Multiples!E38</f>
        <v>43.9676784381415</v>
      </c>
    </row>
    <row r="595" customFormat="false" ht="15" hidden="false" customHeight="false" outlineLevel="0" collapsed="false">
      <c r="A595" s="468" t="s">
        <v>1475</v>
      </c>
      <c r="B595" s="470" t="n">
        <f aca="false">Multiples!B39</f>
        <v>7.135</v>
      </c>
      <c r="C595" s="470" t="n">
        <f aca="false">Multiples!C39</f>
        <v>3.5363961724</v>
      </c>
      <c r="D595" s="470" t="n">
        <f aca="false">Multiples!D39</f>
        <v>25.232186690074</v>
      </c>
      <c r="E595" s="470" t="n">
        <f aca="false">Multiples!E39</f>
        <v>17.6625306830518</v>
      </c>
    </row>
    <row r="596" customFormat="false" ht="15" hidden="false" customHeight="false" outlineLevel="0" collapsed="false">
      <c r="A596" s="468" t="s">
        <v>1476</v>
      </c>
      <c r="B596" s="470" t="n">
        <f aca="false">Multiples!B40</f>
        <v>9.43</v>
      </c>
      <c r="C596" s="470" t="n">
        <f aca="false">Multiples!C40</f>
        <v>3.5363961724</v>
      </c>
      <c r="D596" s="470" t="n">
        <f aca="false">Multiples!D40</f>
        <v>33.348215905732</v>
      </c>
      <c r="E596" s="470" t="n">
        <f aca="false">Multiples!E40</f>
        <v>23.3437511340124</v>
      </c>
    </row>
    <row r="597" customFormat="false" ht="15" hidden="false" customHeight="false" outlineLevel="0" collapsed="false">
      <c r="A597" s="468" t="s">
        <v>686</v>
      </c>
      <c r="E597" s="470" t="n">
        <f aca="false">Multiples!E41</f>
        <v>27.7109676946228</v>
      </c>
    </row>
    <row r="598" customFormat="false" ht="15" hidden="false" customHeight="false" outlineLevel="0" collapsed="false">
      <c r="A598" s="468" t="s">
        <v>1477</v>
      </c>
      <c r="C598" s="480" t="n">
        <f aca="false">Multiples!B31</f>
        <v>2.93348176549999</v>
      </c>
    </row>
    <row r="599" customFormat="false" ht="15" hidden="false" customHeight="false" outlineLevel="0" collapsed="false">
      <c r="A599" s="468" t="s">
        <v>1478</v>
      </c>
      <c r="C599" s="480" t="n">
        <f aca="false">Multiples!B32</f>
        <v>1.6026</v>
      </c>
    </row>
    <row r="600" customFormat="false" ht="15" hidden="false" customHeight="false" outlineLevel="0" collapsed="false">
      <c r="A600" s="468" t="s">
        <v>1479</v>
      </c>
      <c r="D600" s="470" t="n">
        <f aca="false">Multiples!D55</f>
        <v>54.0397464459139</v>
      </c>
    </row>
    <row r="601" customFormat="false" ht="15" hidden="false" customHeight="false" outlineLevel="0" collapsed="false">
      <c r="A601" s="222" t="s">
        <v>1480</v>
      </c>
    </row>
    <row r="603" customFormat="false" ht="15" hidden="false" customHeight="false" outlineLevel="0" collapsed="false">
      <c r="A603" s="469" t="s">
        <v>1481</v>
      </c>
    </row>
    <row r="604" customFormat="false" ht="15" hidden="false" customHeight="false" outlineLevel="0" collapsed="false">
      <c r="A604" s="467" t="s">
        <v>698</v>
      </c>
      <c r="B604" s="467" t="s">
        <v>699</v>
      </c>
    </row>
    <row r="605" customFormat="false" ht="15" hidden="false" customHeight="false" outlineLevel="0" collapsed="false">
      <c r="A605" s="468" t="s">
        <v>1482</v>
      </c>
      <c r="B605" s="470" t="n">
        <f aca="false">Summary!B5</f>
        <v>32.7937752037977</v>
      </c>
    </row>
    <row r="606" customFormat="false" ht="15" hidden="false" customHeight="false" outlineLevel="0" collapsed="false">
      <c r="A606" s="468" t="s">
        <v>722</v>
      </c>
      <c r="B606" s="470" t="n">
        <f aca="false">Summary!B6</f>
        <v>25.2989101339209</v>
      </c>
    </row>
    <row r="607" customFormat="false" ht="15" hidden="false" customHeight="false" outlineLevel="0" collapsed="false">
      <c r="A607" s="468" t="s">
        <v>1483</v>
      </c>
      <c r="B607" s="470" t="n">
        <f aca="false">Summary!B7</f>
        <v>27.7109676946228</v>
      </c>
    </row>
    <row r="608" customFormat="false" ht="15" hidden="false" customHeight="false" outlineLevel="0" collapsed="false">
      <c r="A608" s="468" t="s">
        <v>1066</v>
      </c>
      <c r="B608" s="470" t="n">
        <f aca="false">Summary!B8</f>
        <v>28.779267674012</v>
      </c>
    </row>
    <row r="609" customFormat="false" ht="15" hidden="false" customHeight="false" outlineLevel="0" collapsed="false">
      <c r="A609" s="468" t="s">
        <v>1484</v>
      </c>
      <c r="B609" s="470" t="n">
        <f aca="false">Summary!B10</f>
        <v>25.6707066753786</v>
      </c>
    </row>
    <row r="610" customFormat="false" ht="15" hidden="false" customHeight="false" outlineLevel="0" collapsed="false">
      <c r="A610" s="468" t="s">
        <v>1485</v>
      </c>
      <c r="B610" s="470" t="n">
        <f aca="false">'Balance Sheet'!G76/1000000</f>
        <v>29.9722077655</v>
      </c>
    </row>
    <row r="611" customFormat="false" ht="15" hidden="false" customHeight="false" outlineLevel="0" collapsed="false">
      <c r="A611" s="468" t="s">
        <v>1486</v>
      </c>
      <c r="B611" s="470" t="n">
        <f aca="false">Summary!B11</f>
        <v>14.98610388275</v>
      </c>
    </row>
    <row r="612" customFormat="false" ht="15" hidden="false" customHeight="false" outlineLevel="0" collapsed="false">
      <c r="A612" s="468" t="s">
        <v>1487</v>
      </c>
      <c r="B612" s="484" t="n">
        <f aca="false">Summary!F5</f>
        <v>0.4</v>
      </c>
    </row>
    <row r="613" customFormat="false" ht="15" hidden="false" customHeight="false" outlineLevel="0" collapsed="false">
      <c r="A613" s="468" t="s">
        <v>1488</v>
      </c>
      <c r="B613" s="484" t="n">
        <f aca="false">Summary!F6</f>
        <v>0.4</v>
      </c>
    </row>
    <row r="614" customFormat="false" ht="15" hidden="false" customHeight="false" outlineLevel="0" collapsed="false">
      <c r="A614" s="468" t="s">
        <v>1489</v>
      </c>
      <c r="B614" s="484" t="n">
        <f aca="false">Summary!F7</f>
        <v>0.2</v>
      </c>
    </row>
    <row r="615" customFormat="false" ht="15" hidden="false" customHeight="false" outlineLevel="0" collapsed="false">
      <c r="A615" s="222" t="s">
        <v>1490</v>
      </c>
    </row>
    <row r="617" customFormat="false" ht="15" hidden="false" customHeight="false" outlineLevel="0" collapsed="false">
      <c r="A617" s="469" t="s">
        <v>1491</v>
      </c>
    </row>
    <row r="618" customFormat="false" ht="22.35" hidden="false" customHeight="false" outlineLevel="0" collapsed="false">
      <c r="A618" s="467" t="s">
        <v>285</v>
      </c>
      <c r="B618" s="467" t="s">
        <v>462</v>
      </c>
      <c r="C618" s="467" t="s">
        <v>461</v>
      </c>
      <c r="D618" s="467" t="s">
        <v>463</v>
      </c>
      <c r="E618" s="467" t="s">
        <v>1492</v>
      </c>
    </row>
    <row r="619" customFormat="false" ht="15" hidden="false" customHeight="false" outlineLevel="0" collapsed="false">
      <c r="A619" s="468" t="s">
        <v>740</v>
      </c>
      <c r="B619" s="470" t="n">
        <f aca="false">Summary!B33</f>
        <v>170.317748046407</v>
      </c>
      <c r="C619" s="470" t="n">
        <f aca="false">Summary!C33</f>
        <v>116.89912442438</v>
      </c>
      <c r="D619" s="470" t="n">
        <f aca="false">Summary!D33</f>
        <v>214.755888215365</v>
      </c>
      <c r="E619" s="470" t="n">
        <f aca="false">Summary!E33</f>
        <v>174.741926152093</v>
      </c>
    </row>
    <row r="620" customFormat="false" ht="15" hidden="false" customHeight="false" outlineLevel="0" collapsed="false">
      <c r="A620" s="468" t="s">
        <v>741</v>
      </c>
      <c r="B620" s="471" t="n">
        <f aca="false">Summary!B34</f>
        <v>0.290708646106224</v>
      </c>
      <c r="C620" s="471" t="n">
        <f aca="false">Summary!C34</f>
        <v>0.19712221396895</v>
      </c>
      <c r="D620" s="471" t="n">
        <f aca="false">Summary!D34</f>
        <v>0.351964394403047</v>
      </c>
      <c r="E620" s="471" t="n">
        <f aca="false">Summary!E34</f>
        <v>0.297345535832646</v>
      </c>
    </row>
    <row r="621" customFormat="false" ht="15" hidden="false" customHeight="false" outlineLevel="0" collapsed="false">
      <c r="A621" s="468" t="s">
        <v>742</v>
      </c>
      <c r="B621" s="471" t="n">
        <f aca="false">Summary!B35</f>
        <v>0.202178779341621</v>
      </c>
      <c r="C621" s="471" t="n">
        <f aca="false">Summary!C35</f>
        <v>0.134680571987898</v>
      </c>
      <c r="D621" s="471" t="n">
        <f aca="false">Summary!D35</f>
        <v>0.236717269833196</v>
      </c>
      <c r="E621" s="471" t="n">
        <f aca="false">Summary!E35</f>
        <v>0.205576458474854</v>
      </c>
    </row>
    <row r="622" customFormat="false" ht="15" hidden="false" customHeight="false" outlineLevel="0" collapsed="false">
      <c r="A622" s="468" t="s">
        <v>743</v>
      </c>
      <c r="B622" s="470" t="n">
        <f aca="false">Summary!B36</f>
        <v>13.8547081054738</v>
      </c>
      <c r="C622" s="470" t="n">
        <f aca="false">Summary!C36</f>
        <v>0.741524451807477</v>
      </c>
      <c r="D622" s="470" t="n">
        <f aca="false">Summary!D36</f>
        <v>25.7551750415791</v>
      </c>
      <c r="E622" s="470" t="n">
        <f aca="false">Summary!E36</f>
        <v>12.0783670152248</v>
      </c>
    </row>
    <row r="623" customFormat="false" ht="15" hidden="false" customHeight="false" outlineLevel="0" collapsed="false">
      <c r="A623" s="468" t="s">
        <v>744</v>
      </c>
      <c r="B623" s="470" t="n">
        <f aca="false">Summary!B37</f>
        <v>-38.9101417044817</v>
      </c>
      <c r="C623" s="470" t="n">
        <f aca="false">Summary!C37</f>
        <v>-48.9284577387253</v>
      </c>
      <c r="D623" s="470" t="n">
        <f aca="false">Summary!D37</f>
        <v>-29.3028257591151</v>
      </c>
      <c r="E623" s="470" t="n">
        <f aca="false">Summary!E37</f>
        <v>-58.6164081489496</v>
      </c>
    </row>
    <row r="624" customFormat="false" ht="15" hidden="false" customHeight="false" outlineLevel="0" collapsed="false">
      <c r="A624" s="468" t="s">
        <v>745</v>
      </c>
      <c r="B624" s="470" t="n">
        <f aca="false">Summary!B38</f>
        <v>37.6107630979458</v>
      </c>
      <c r="C624" s="470" t="n">
        <f aca="false">Summary!C38</f>
        <v>48.2462503367326</v>
      </c>
      <c r="D624" s="470" t="n">
        <f aca="false">Summary!D38</f>
        <v>32.9869343761415</v>
      </c>
      <c r="E624" s="470" t="n">
        <f aca="false">Summary!E38</f>
        <v>45.1512100082203</v>
      </c>
    </row>
    <row r="625" customFormat="false" ht="15" hidden="false" customHeight="false" outlineLevel="0" collapsed="false">
      <c r="A625" s="468" t="s">
        <v>205</v>
      </c>
      <c r="B625" s="471" t="n">
        <f aca="false">Summary!B40</f>
        <v>0.136378331713872</v>
      </c>
      <c r="C625" s="471" t="n">
        <f aca="false">Summary!C40</f>
        <v>0.135470943003501</v>
      </c>
      <c r="D625" s="471" t="n">
        <f aca="false">Summary!D40</f>
        <v>0.136827765474958</v>
      </c>
      <c r="E625" s="471" t="n">
        <f aca="false">Summary!E40</f>
        <v>0.130197843148976</v>
      </c>
    </row>
    <row r="626" customFormat="false" ht="15" hidden="false" customHeight="false" outlineLevel="0" collapsed="false">
      <c r="A626" s="468" t="s">
        <v>747</v>
      </c>
      <c r="B626" s="470" t="n">
        <f aca="false">Summary!B41</f>
        <v>32.7937752037977</v>
      </c>
      <c r="C626" s="470" t="n">
        <f aca="false">Summary!C41</f>
        <v>-50.0071355842633</v>
      </c>
      <c r="D626" s="470" t="n">
        <f aca="false">Summary!D41</f>
        <v>107.847680494951</v>
      </c>
      <c r="E626" s="470" t="n">
        <f aca="false">Summary!E41</f>
        <v>17.3089966893427</v>
      </c>
    </row>
    <row r="627" customFormat="false" ht="15" hidden="false" customHeight="false" outlineLevel="0" collapsed="false">
      <c r="A627" s="468" t="s">
        <v>748</v>
      </c>
      <c r="B627" s="470" t="n">
        <f aca="false">Summary!B42</f>
        <v>25.2989101339209</v>
      </c>
      <c r="C627" s="470" t="n">
        <f aca="false">Summary!C42</f>
        <v>-28.2961982474944</v>
      </c>
      <c r="D627" s="470" t="n">
        <f aca="false">Summary!D42</f>
        <v>68.8725178769789</v>
      </c>
      <c r="E627" s="470" t="n">
        <f aca="false">Summary!E42</f>
        <v>16.7594211127137</v>
      </c>
    </row>
    <row r="628" customFormat="false" ht="15" hidden="false" customHeight="false" outlineLevel="0" collapsed="false">
      <c r="A628" s="468" t="s">
        <v>1493</v>
      </c>
      <c r="B628" s="470" t="n">
        <f aca="false">Summary!B43</f>
        <v>28.779267674012</v>
      </c>
      <c r="C628" s="470" t="n">
        <f aca="false">Summary!C43</f>
        <v>-25.7791399937785</v>
      </c>
      <c r="D628" s="470" t="n">
        <f aca="false">Summary!D43</f>
        <v>76.2302728876963</v>
      </c>
      <c r="E628" s="470" t="n">
        <f aca="false">Summary!E43</f>
        <v>19.1695606597471</v>
      </c>
    </row>
    <row r="629" customFormat="false" ht="15" hidden="false" customHeight="false" outlineLevel="0" collapsed="false">
      <c r="A629" s="222" t="s">
        <v>1494</v>
      </c>
    </row>
    <row r="631" customFormat="false" ht="15" hidden="false" customHeight="false" outlineLevel="0" collapsed="false">
      <c r="A631" s="469" t="s">
        <v>1495</v>
      </c>
    </row>
    <row r="632" customFormat="false" ht="32.8" hidden="false" customHeight="false" outlineLevel="0" collapsed="false">
      <c r="A632" s="467" t="s">
        <v>285</v>
      </c>
      <c r="B632" s="467" t="s">
        <v>1496</v>
      </c>
      <c r="C632" s="467" t="s">
        <v>1497</v>
      </c>
      <c r="D632" s="467" t="s">
        <v>1498</v>
      </c>
    </row>
    <row r="633" customFormat="false" ht="15" hidden="false" customHeight="false" outlineLevel="0" collapsed="false">
      <c r="A633" s="468" t="s">
        <v>1499</v>
      </c>
      <c r="B633" s="470" t="n">
        <f aca="false">VCM!E6/1000000</f>
        <v>198.692236988942</v>
      </c>
      <c r="C633" s="470" t="n">
        <f aca="false">VCM!E6/1000000</f>
        <v>198.692236988942</v>
      </c>
      <c r="D633" s="470" t="n">
        <f aca="false">VCM!E6/1000000</f>
        <v>198.692236988942</v>
      </c>
    </row>
    <row r="634" customFormat="false" ht="15" hidden="false" customHeight="false" outlineLevel="0" collapsed="false">
      <c r="A634" s="468" t="s">
        <v>1500</v>
      </c>
      <c r="B634" s="471" t="n">
        <f aca="false">VCM!D21</f>
        <v>0.575</v>
      </c>
      <c r="C634" s="471" t="n">
        <f aca="false">VCM!D20</f>
        <v>0.725</v>
      </c>
      <c r="D634" s="471" t="n">
        <f aca="false">VCM!B6</f>
        <v>0.4</v>
      </c>
    </row>
    <row r="635" customFormat="false" ht="15" hidden="false" customHeight="false" outlineLevel="0" collapsed="false">
      <c r="A635" s="468" t="s">
        <v>1501</v>
      </c>
      <c r="B635" s="496" t="n">
        <f aca="false">VCM!$E$6/1000000*(1-B634)/(1+VCM!$B$7)^VCM!$B$5</f>
        <v>44.561018539239</v>
      </c>
      <c r="C635" s="496" t="n">
        <f aca="false">VCM!$E$6/1000000*(1-C634)/(1+VCM!$B$7)^VCM!$B$5</f>
        <v>28.8336002312723</v>
      </c>
      <c r="D635" s="496" t="n">
        <f aca="false">VCM!$E$6/1000000*(1-D634)/(1+VCM!$B$7)^VCM!$B$5</f>
        <v>62.9096732318668</v>
      </c>
    </row>
    <row r="636" customFormat="false" ht="15" hidden="false" customHeight="false" outlineLevel="0" collapsed="false">
      <c r="A636" s="222" t="s">
        <v>1502</v>
      </c>
    </row>
    <row r="638" customFormat="false" ht="15" hidden="false" customHeight="false" outlineLevel="0" collapsed="false">
      <c r="A638" s="469" t="s">
        <v>1503</v>
      </c>
    </row>
    <row r="639" customFormat="false" ht="15" hidden="false" customHeight="false" outlineLevel="0" collapsed="false">
      <c r="A639" s="467" t="s">
        <v>1504</v>
      </c>
      <c r="B639" s="467" t="s">
        <v>1505</v>
      </c>
    </row>
    <row r="640" customFormat="false" ht="15" hidden="false" customHeight="false" outlineLevel="0" collapsed="false">
      <c r="A640" s="468" t="s">
        <v>1506</v>
      </c>
      <c r="B640" s="477" t="n">
        <v>0.39</v>
      </c>
    </row>
    <row r="641" customFormat="false" ht="15" hidden="false" customHeight="false" outlineLevel="0" collapsed="false">
      <c r="A641" s="468" t="s">
        <v>1507</v>
      </c>
      <c r="B641" s="477" t="n">
        <v>0.32</v>
      </c>
    </row>
    <row r="642" customFormat="false" ht="15" hidden="false" customHeight="false" outlineLevel="0" collapsed="false">
      <c r="A642" s="468" t="s">
        <v>1508</v>
      </c>
      <c r="B642" s="477" t="n">
        <v>0.14</v>
      </c>
    </row>
    <row r="643" customFormat="false" ht="15" hidden="false" customHeight="false" outlineLevel="0" collapsed="false">
      <c r="A643" s="468" t="s">
        <v>1509</v>
      </c>
      <c r="B643" s="477" t="n">
        <v>0.09</v>
      </c>
    </row>
    <row r="644" customFormat="false" ht="15" hidden="false" customHeight="false" outlineLevel="0" collapsed="false">
      <c r="A644" s="222" t="s">
        <v>1510</v>
      </c>
    </row>
    <row r="646" customFormat="false" ht="15" hidden="false" customHeight="false" outlineLevel="0" collapsed="false">
      <c r="A646" s="469" t="s">
        <v>1511</v>
      </c>
    </row>
    <row r="647" customFormat="false" ht="15" hidden="false" customHeight="false" outlineLevel="0" collapsed="false">
      <c r="A647" s="467" t="s">
        <v>1347</v>
      </c>
      <c r="B647" s="467" t="s">
        <v>287</v>
      </c>
      <c r="C647" s="467" t="s">
        <v>288</v>
      </c>
      <c r="D647" s="467" t="s">
        <v>289</v>
      </c>
      <c r="E647" s="467" t="s">
        <v>290</v>
      </c>
      <c r="F647" s="467" t="s">
        <v>291</v>
      </c>
      <c r="G647" s="467" t="s">
        <v>292</v>
      </c>
      <c r="H647" s="467" t="s">
        <v>293</v>
      </c>
      <c r="I647" s="467" t="s">
        <v>294</v>
      </c>
    </row>
    <row r="648" customFormat="false" ht="15" hidden="false" customHeight="false" outlineLevel="0" collapsed="false">
      <c r="A648" s="468" t="s">
        <v>43</v>
      </c>
      <c r="B648" s="470" t="n">
        <f aca="false">Drivers!C37/1000000</f>
        <v>19.595</v>
      </c>
      <c r="C648" s="470" t="n">
        <f aca="false">Drivers!D37/1000000</f>
        <v>31.162</v>
      </c>
      <c r="D648" s="470" t="n">
        <f aca="false">Drivers!E37/1000000</f>
        <v>47.8817</v>
      </c>
      <c r="E648" s="470" t="n">
        <f aca="false">Drivers!F37/1000000</f>
        <v>64.12267572</v>
      </c>
      <c r="F648" s="470" t="n">
        <f aca="false">Drivers!G37/1000000</f>
        <v>80.3027392577568</v>
      </c>
      <c r="G648" s="470" t="n">
        <f aca="false">Drivers!H37/1000000</f>
        <v>111.179924390085</v>
      </c>
      <c r="H648" s="470" t="n">
        <f aca="false">Drivers!I37/1000000</f>
        <v>142.602550441542</v>
      </c>
      <c r="I648" s="470" t="n">
        <f aca="false">Drivers!J37/1000000</f>
        <v>171.518376683189</v>
      </c>
    </row>
    <row r="649" customFormat="false" ht="15" hidden="false" customHeight="false" outlineLevel="0" collapsed="false">
      <c r="A649" s="468" t="s">
        <v>1512</v>
      </c>
      <c r="B649" s="470" t="n">
        <f aca="false">'Income Statement'!B11/1000000</f>
        <v>-0.15676</v>
      </c>
      <c r="C649" s="470" t="n">
        <f aca="false">'Income Statement'!C11/1000000</f>
        <v>-0.233715</v>
      </c>
      <c r="D649" s="470" t="n">
        <f aca="false">'Income Statement'!D11/1000000</f>
        <v>-0.3351719</v>
      </c>
      <c r="E649" s="470" t="n">
        <f aca="false">'Income Statement'!E11/1000000</f>
        <v>-0.44885873004</v>
      </c>
      <c r="F649" s="470" t="n">
        <f aca="false">'Income Statement'!F11/1000000</f>
        <v>-0.562119174804298</v>
      </c>
      <c r="G649" s="470" t="n">
        <f aca="false">'Income Statement'!G11/1000000</f>
        <v>-0.778259470730593</v>
      </c>
      <c r="H649" s="470" t="n">
        <f aca="false">'Income Statement'!H11/1000000</f>
        <v>-0.998217853090796</v>
      </c>
      <c r="I649" s="470" t="n">
        <f aca="false">'Income Statement'!I11/1000000</f>
        <v>-1.20062863678233</v>
      </c>
    </row>
    <row r="650" customFormat="false" ht="15" hidden="false" customHeight="false" outlineLevel="0" collapsed="false">
      <c r="A650" s="468" t="s">
        <v>49</v>
      </c>
      <c r="B650" s="470" t="n">
        <f aca="false">'Income Statement'!B13/1000000</f>
        <v>19.43824</v>
      </c>
      <c r="C650" s="470" t="n">
        <f aca="false">'Income Statement'!C13/1000000</f>
        <v>30.928285</v>
      </c>
      <c r="D650" s="470" t="n">
        <f aca="false">'Income Statement'!D13/1000000</f>
        <v>47.5465281</v>
      </c>
      <c r="E650" s="470" t="n">
        <f aca="false">'Income Statement'!E13/1000000</f>
        <v>63.67381698996</v>
      </c>
      <c r="F650" s="470" t="n">
        <f aca="false">'Income Statement'!F13/1000000</f>
        <v>79.7406200829525</v>
      </c>
      <c r="G650" s="470" t="n">
        <f aca="false">'Income Statement'!G13/1000000</f>
        <v>110.401664919354</v>
      </c>
      <c r="H650" s="470" t="n">
        <f aca="false">'Income Statement'!H13/1000000</f>
        <v>141.604332588451</v>
      </c>
      <c r="I650" s="470" t="n">
        <f aca="false">'Income Statement'!I13/1000000</f>
        <v>170.317748046407</v>
      </c>
    </row>
    <row r="651" customFormat="false" ht="15" hidden="false" customHeight="false" outlineLevel="0" collapsed="false">
      <c r="A651" s="468" t="s">
        <v>1513</v>
      </c>
      <c r="B651" s="470" t="n">
        <f aca="false">-'Income Statement'!B16/1000000</f>
        <v>-4.9567512</v>
      </c>
      <c r="C651" s="470" t="n">
        <f aca="false">-'Income Statement'!C16/1000000</f>
        <v>-7.73207125</v>
      </c>
      <c r="D651" s="470" t="n">
        <f aca="false">-'Income Statement'!D16/1000000</f>
        <v>-11.6488993845</v>
      </c>
      <c r="E651" s="470" t="n">
        <f aca="false">-'Income Statement'!E16/1000000</f>
        <v>-15.91845424749</v>
      </c>
      <c r="F651" s="470" t="n">
        <f aca="false">-'Income Statement'!F16/1000000</f>
        <v>-20.3338581211529</v>
      </c>
      <c r="G651" s="470" t="n">
        <f aca="false">-'Income Statement'!G16/1000000</f>
        <v>-29.8084495282256</v>
      </c>
      <c r="H651" s="470" t="n">
        <f aca="false">-'Income Statement'!H16/1000000</f>
        <v>-37.5251481359396</v>
      </c>
      <c r="I651" s="470" t="n">
        <f aca="false">-'Income Statement'!I16/1000000</f>
        <v>-45.9857919725299</v>
      </c>
    </row>
    <row r="652" customFormat="false" ht="15" hidden="false" customHeight="false" outlineLevel="0" collapsed="false">
      <c r="A652" s="468" t="s">
        <v>1514</v>
      </c>
      <c r="B652" s="470" t="n">
        <f aca="false">-'Income Statement'!B17/1000000</f>
        <v>-1.055</v>
      </c>
      <c r="C652" s="470" t="n">
        <f aca="false">-'Income Statement'!C17/1000000</f>
        <v>-1.1605</v>
      </c>
      <c r="D652" s="470" t="n">
        <f aca="false">-'Income Statement'!D17/1000000</f>
        <v>-1.27655</v>
      </c>
      <c r="E652" s="470" t="n">
        <f aca="false">-'Income Statement'!E17/1000000</f>
        <v>-1.404205</v>
      </c>
      <c r="F652" s="470" t="n">
        <f aca="false">-'Income Statement'!F17/1000000</f>
        <v>-1.5446255</v>
      </c>
      <c r="G652" s="470" t="n">
        <f aca="false">-'Income Statement'!G17/1000000</f>
        <v>-2.59908805</v>
      </c>
      <c r="H652" s="470" t="n">
        <f aca="false">-'Income Statement'!H17/1000000</f>
        <v>-2.858996855</v>
      </c>
      <c r="I652" s="470" t="n">
        <f aca="false">-'Income Statement'!I17/1000000</f>
        <v>-3.1448965405</v>
      </c>
    </row>
    <row r="653" customFormat="false" ht="15" hidden="false" customHeight="false" outlineLevel="0" collapsed="false">
      <c r="A653" s="468" t="s">
        <v>1515</v>
      </c>
      <c r="B653" s="470" t="n">
        <f aca="false">-'Income Statement'!B18/1000000</f>
        <v>-4.8944</v>
      </c>
      <c r="C653" s="470" t="n">
        <f aca="false">-'Income Statement'!C18/1000000</f>
        <v>-5.38384</v>
      </c>
      <c r="D653" s="470" t="n">
        <f aca="false">-'Income Statement'!D18/1000000</f>
        <v>-7.537376</v>
      </c>
      <c r="E653" s="470" t="n">
        <f aca="false">-'Income Statement'!E18/1000000</f>
        <v>-10.0286261759187</v>
      </c>
      <c r="F653" s="470" t="n">
        <f aca="false">-'Income Statement'!F18/1000000</f>
        <v>-12.8382398333554</v>
      </c>
      <c r="G653" s="470" t="n">
        <f aca="false">-'Income Statement'!G18/1000000</f>
        <v>-18.1610738792338</v>
      </c>
      <c r="H653" s="470" t="n">
        <f aca="false">-'Income Statement'!H18/1000000</f>
        <v>-22.7982975467407</v>
      </c>
      <c r="I653" s="470" t="n">
        <f aca="false">-'Income Statement'!I18/1000000</f>
        <v>-26.8250453173091</v>
      </c>
    </row>
    <row r="654" customFormat="false" ht="15" hidden="false" customHeight="false" outlineLevel="0" collapsed="false">
      <c r="A654" s="468" t="s">
        <v>1516</v>
      </c>
      <c r="B654" s="470" t="n">
        <f aca="false">-'Income Statement'!B19/1000000</f>
        <v>-1.28898</v>
      </c>
      <c r="C654" s="470" t="n">
        <f aca="false">-'Income Statement'!C19/1000000</f>
        <v>-2.137752</v>
      </c>
      <c r="D654" s="470" t="n">
        <f aca="false">-'Income Statement'!D19/1000000</f>
        <v>-2.8187568</v>
      </c>
      <c r="E654" s="470" t="n">
        <f aca="false">-'Income Statement'!E19/1000000</f>
        <v>-3.36788496</v>
      </c>
      <c r="F654" s="470" t="n">
        <f aca="false">-'Income Statement'!F19/1000000</f>
        <v>-4.74323940698314</v>
      </c>
      <c r="G654" s="470" t="n">
        <f aca="false">-'Income Statement'!G19/1000000</f>
        <v>-10.3410309368064</v>
      </c>
      <c r="H654" s="470" t="n">
        <f aca="false">-'Income Statement'!H19/1000000</f>
        <v>-11.7718365141612</v>
      </c>
      <c r="I654" s="470" t="n">
        <f aca="false">-'Income Statement'!I19/1000000</f>
        <v>-13.3011633061165</v>
      </c>
    </row>
    <row r="655" customFormat="false" ht="15" hidden="false" customHeight="false" outlineLevel="0" collapsed="false">
      <c r="A655" s="468" t="s">
        <v>50</v>
      </c>
      <c r="B655" s="470" t="n">
        <f aca="false">-'Income Statement'!B20/1000000</f>
        <v>-12.1951312</v>
      </c>
      <c r="C655" s="470" t="n">
        <f aca="false">-'Income Statement'!C20/1000000</f>
        <v>-16.41416325</v>
      </c>
      <c r="D655" s="470" t="n">
        <f aca="false">-'Income Statement'!D20/1000000</f>
        <v>-23.2815821845</v>
      </c>
      <c r="E655" s="470" t="n">
        <f aca="false">-'Income Statement'!E20/1000000</f>
        <v>-30.7191703834087</v>
      </c>
      <c r="F655" s="470" t="n">
        <f aca="false">-'Income Statement'!F20/1000000</f>
        <v>-39.4599628614914</v>
      </c>
      <c r="G655" s="470" t="n">
        <f aca="false">-'Income Statement'!G20/1000000</f>
        <v>-60.9096423942658</v>
      </c>
      <c r="H655" s="470" t="n">
        <f aca="false">-'Income Statement'!H20/1000000</f>
        <v>-74.9542790518415</v>
      </c>
      <c r="I655" s="470" t="n">
        <f aca="false">-'Income Statement'!I20/1000000</f>
        <v>-89.2568971364555</v>
      </c>
    </row>
    <row r="656" customFormat="false" ht="15" hidden="false" customHeight="false" outlineLevel="0" collapsed="false">
      <c r="A656" s="468" t="s">
        <v>56</v>
      </c>
      <c r="B656" s="470" t="n">
        <f aca="false">'Income Statement'!B21/1000000</f>
        <v>7.2431088</v>
      </c>
      <c r="C656" s="470" t="n">
        <f aca="false">'Income Statement'!C21/1000000</f>
        <v>14.51412175</v>
      </c>
      <c r="D656" s="470" t="n">
        <f aca="false">'Income Statement'!D21/1000000</f>
        <v>24.2649459155</v>
      </c>
      <c r="E656" s="470" t="n">
        <f aca="false">'Income Statement'!E21/1000000</f>
        <v>32.9546466065513</v>
      </c>
      <c r="F656" s="470" t="n">
        <f aca="false">'Income Statement'!F21/1000000</f>
        <v>40.2806572214611</v>
      </c>
      <c r="G656" s="470" t="n">
        <f aca="false">'Income Statement'!G21/1000000</f>
        <v>49.4920225250884</v>
      </c>
      <c r="H656" s="470" t="n">
        <f aca="false">'Income Statement'!H21/1000000</f>
        <v>66.6500535366099</v>
      </c>
      <c r="I656" s="470" t="n">
        <f aca="false">'Income Statement'!I21/1000000</f>
        <v>81.0608509099515</v>
      </c>
    </row>
    <row r="657" customFormat="false" ht="15" hidden="false" customHeight="false" outlineLevel="0" collapsed="false">
      <c r="A657" s="468" t="s">
        <v>57</v>
      </c>
      <c r="B657" s="471" t="n">
        <f aca="false">'Income Statement'!B22</f>
        <v>0.372621636526764</v>
      </c>
      <c r="C657" s="471" t="n">
        <f aca="false">'Income Statement'!C22</f>
        <v>0.469283109296232</v>
      </c>
      <c r="D657" s="471" t="n">
        <f aca="false">'Income Statement'!D22</f>
        <v>0.510341067689861</v>
      </c>
      <c r="E657" s="471" t="n">
        <f aca="false">'Income Statement'!E22</f>
        <v>0.517554124511611</v>
      </c>
      <c r="F657" s="471" t="n">
        <f aca="false">'Income Statement'!F22</f>
        <v>0.505146024442223</v>
      </c>
      <c r="G657" s="471" t="n">
        <f aca="false">'Income Statement'!G22</f>
        <v>0.448290544904745</v>
      </c>
      <c r="H657" s="471" t="n">
        <f aca="false">'Income Statement'!H22</f>
        <v>0.470678066965061</v>
      </c>
      <c r="I657" s="471" t="n">
        <f aca="false">'Income Statement'!I22</f>
        <v>0.475938954335309</v>
      </c>
    </row>
    <row r="658" customFormat="false" ht="15" hidden="false" customHeight="false" outlineLevel="0" collapsed="false">
      <c r="A658" s="468" t="s">
        <v>1517</v>
      </c>
      <c r="B658" s="470" t="n">
        <f aca="false">-'Income Statement'!B25/1000000</f>
        <v>-2.0976</v>
      </c>
      <c r="C658" s="470" t="n">
        <f aca="false">-'Income Statement'!C25/1000000</f>
        <v>-2.30736</v>
      </c>
      <c r="D658" s="470" t="n">
        <f aca="false">-'Income Statement'!D25/1000000</f>
        <v>-3.230304</v>
      </c>
      <c r="E658" s="470" t="n">
        <f aca="false">-'Income Statement'!E25/1000000</f>
        <v>-4.2979826468223</v>
      </c>
      <c r="F658" s="470" t="n">
        <f aca="false">-'Income Statement'!F25/1000000</f>
        <v>-5.50210278572372</v>
      </c>
      <c r="G658" s="470" t="n">
        <f aca="false">-'Income Statement'!G25/1000000</f>
        <v>-7.78331737681447</v>
      </c>
      <c r="H658" s="470" t="n">
        <f aca="false">-'Income Statement'!H25/1000000</f>
        <v>-9.77069894860315</v>
      </c>
      <c r="I658" s="470" t="n">
        <f aca="false">-'Income Statement'!I25/1000000</f>
        <v>-11.4964479931325</v>
      </c>
    </row>
    <row r="659" customFormat="false" ht="15" hidden="false" customHeight="false" outlineLevel="0" collapsed="false">
      <c r="A659" s="468" t="s">
        <v>61</v>
      </c>
      <c r="B659" s="470" t="n">
        <f aca="false">-'Income Statement'!B26/1000000</f>
        <v>-3.977</v>
      </c>
      <c r="C659" s="470" t="n">
        <f aca="false">-'Income Statement'!C26/1000000</f>
        <v>-5.36895</v>
      </c>
      <c r="D659" s="470" t="n">
        <f aca="false">-'Income Statement'!D26/1000000</f>
        <v>-7.5702195</v>
      </c>
      <c r="E659" s="470" t="n">
        <f aca="false">-'Income Statement'!E26/1000000</f>
        <v>-8.47864584</v>
      </c>
      <c r="F659" s="470" t="n">
        <f aca="false">-'Income Statement'!F26/1000000</f>
        <v>-9.750442716</v>
      </c>
      <c r="G659" s="470" t="n">
        <f aca="false">-'Income Statement'!G26/1000000</f>
        <v>-12.6755755308</v>
      </c>
      <c r="H659" s="470" t="n">
        <f aca="false">-'Income Statement'!H26/1000000</f>
        <v>-14.196644594496</v>
      </c>
      <c r="I659" s="470" t="n">
        <f aca="false">-'Income Statement'!I26/1000000</f>
        <v>-15.9002419458355</v>
      </c>
    </row>
    <row r="660" customFormat="false" ht="15" hidden="false" customHeight="false" outlineLevel="0" collapsed="false">
      <c r="A660" s="468" t="s">
        <v>1518</v>
      </c>
      <c r="B660" s="470" t="n">
        <f aca="false">-'Income Statement'!B27/1000000</f>
        <v>-0.14322</v>
      </c>
      <c r="C660" s="470" t="n">
        <f aca="false">-'Income Statement'!C27/1000000</f>
        <v>-0.237528</v>
      </c>
      <c r="D660" s="470" t="n">
        <f aca="false">-'Income Statement'!D27/1000000</f>
        <v>-0.3131952</v>
      </c>
      <c r="E660" s="470" t="n">
        <f aca="false">-'Income Statement'!E27/1000000</f>
        <v>-0.37420944</v>
      </c>
      <c r="F660" s="470" t="n">
        <f aca="false">-'Income Statement'!F27/1000000</f>
        <v>-0.527026600775904</v>
      </c>
      <c r="G660" s="470" t="n">
        <f aca="false">-'Income Statement'!G27/1000000</f>
        <v>-1.14900343742293</v>
      </c>
      <c r="H660" s="470" t="n">
        <f aca="false">-'Income Statement'!H27/1000000</f>
        <v>-1.3079818349068</v>
      </c>
      <c r="I660" s="470" t="n">
        <f aca="false">-'Income Statement'!I27/1000000</f>
        <v>-1.47790703401294</v>
      </c>
    </row>
    <row r="661" customFormat="false" ht="15" hidden="false" customHeight="false" outlineLevel="0" collapsed="false">
      <c r="A661" s="468" t="s">
        <v>63</v>
      </c>
      <c r="B661" s="470" t="n">
        <f aca="false">-'Income Statement'!B28/1000000</f>
        <v>-0.95</v>
      </c>
      <c r="C661" s="470" t="n">
        <f aca="false">-'Income Statement'!C28/1000000</f>
        <v>-1.615</v>
      </c>
      <c r="D661" s="470" t="n">
        <f aca="false">-'Income Statement'!D28/1000000</f>
        <v>-2.08335</v>
      </c>
      <c r="E661" s="470" t="n">
        <f aca="false">-'Income Statement'!E28/1000000</f>
        <v>-2.80164794755824</v>
      </c>
      <c r="F661" s="470" t="n">
        <f aca="false">-'Income Statement'!F28/1000000</f>
        <v>-3.50858728364991</v>
      </c>
      <c r="G661" s="470" t="n">
        <f aca="false">-'Income Statement'!G28/1000000</f>
        <v>-4.85767325645158</v>
      </c>
      <c r="H661" s="470" t="n">
        <f aca="false">-'Income Statement'!H28/1000000</f>
        <v>-6.23059063389186</v>
      </c>
      <c r="I661" s="470" t="n">
        <f aca="false">-'Income Statement'!I28/1000000</f>
        <v>-7.49398091404191</v>
      </c>
    </row>
    <row r="662" customFormat="false" ht="15" hidden="false" customHeight="false" outlineLevel="0" collapsed="false">
      <c r="A662" s="468" t="s">
        <v>380</v>
      </c>
      <c r="B662" s="470" t="n">
        <f aca="false">-'Income Statement'!B30/1000000</f>
        <v>-1.2</v>
      </c>
      <c r="C662" s="470" t="n">
        <f aca="false">-'Income Statement'!C30/1000000</f>
        <v>-1.8</v>
      </c>
      <c r="D662" s="470" t="n">
        <f aca="false">-'Income Statement'!D30/1000000</f>
        <v>-2.25</v>
      </c>
      <c r="E662" s="470" t="n">
        <f aca="false">-'Income Statement'!E30/1000000</f>
        <v>-3.183690849498</v>
      </c>
      <c r="F662" s="470" t="n">
        <f aca="false">-'Income Statement'!F30/1000000</f>
        <v>-3.98703100414762</v>
      </c>
      <c r="G662" s="470" t="n">
        <f aca="false">-'Income Statement'!G30/1000000</f>
        <v>-5.52008324596771</v>
      </c>
      <c r="H662" s="470" t="n">
        <f aca="false">-'Income Statement'!H30/1000000</f>
        <v>-7.08021662942257</v>
      </c>
      <c r="I662" s="470" t="n">
        <f aca="false">-'Income Statement'!I30/1000000</f>
        <v>-8.51588740232035</v>
      </c>
    </row>
    <row r="663" customFormat="false" ht="15" hidden="false" customHeight="false" outlineLevel="0" collapsed="false">
      <c r="A663" s="468" t="s">
        <v>1519</v>
      </c>
      <c r="B663" s="470" t="n">
        <f aca="false">-'Income Statement'!B42/1000000</f>
        <v>-2.15</v>
      </c>
      <c r="C663" s="470" t="n">
        <f aca="false">-'Income Statement'!C42/1000000</f>
        <v>-2.58</v>
      </c>
      <c r="D663" s="470" t="n">
        <f aca="false">-'Income Statement'!D42/1000000</f>
        <v>-3.096</v>
      </c>
      <c r="E663" s="470" t="n">
        <f aca="false">-'Income Statement'!E42/1000000</f>
        <v>-4.01145047036748</v>
      </c>
      <c r="F663" s="470" t="n">
        <f aca="false">-'Income Statement'!F42/1000000</f>
        <v>-5.13529593334214</v>
      </c>
      <c r="G663" s="470" t="n">
        <f aca="false">-'Income Statement'!G42/1000000</f>
        <v>-7.2644295516935</v>
      </c>
      <c r="H663" s="470" t="n">
        <f aca="false">-'Income Statement'!H42/1000000</f>
        <v>-9.11931901869627</v>
      </c>
      <c r="I663" s="470" t="n">
        <f aca="false">-'Income Statement'!I42/1000000</f>
        <v>-10.7300181269236</v>
      </c>
    </row>
    <row r="664" customFormat="false" ht="15" hidden="false" customHeight="false" outlineLevel="0" collapsed="false">
      <c r="A664" s="468" t="s">
        <v>386</v>
      </c>
      <c r="B664" s="470" t="n">
        <f aca="false">-'Income Statement'!B45/1000000</f>
        <v>-0</v>
      </c>
      <c r="C664" s="470" t="n">
        <f aca="false">-'Income Statement'!C45/1000000</f>
        <v>-0</v>
      </c>
      <c r="D664" s="470" t="n">
        <f aca="false">-'Income Statement'!D45/1000000</f>
        <v>-0</v>
      </c>
      <c r="E664" s="470" t="n">
        <f aca="false">-'Income Statement'!E45/1000000</f>
        <v>-0.38204290193976</v>
      </c>
      <c r="F664" s="470" t="n">
        <f aca="false">-'Income Statement'!F45/1000000</f>
        <v>-0.478443720497715</v>
      </c>
      <c r="G664" s="470" t="n">
        <f aca="false">-'Income Statement'!G45/1000000</f>
        <v>-0.662409989516125</v>
      </c>
      <c r="H664" s="470" t="n">
        <f aca="false">-'Income Statement'!H45/1000000</f>
        <v>-0.849625995530709</v>
      </c>
      <c r="I664" s="470" t="n">
        <f aca="false">-'Income Statement'!I45/1000000</f>
        <v>-1.02190648827844</v>
      </c>
    </row>
    <row r="665" customFormat="false" ht="15" hidden="false" customHeight="false" outlineLevel="0" collapsed="false">
      <c r="A665" s="468" t="s">
        <v>383</v>
      </c>
      <c r="B665" s="470" t="n">
        <f aca="false">-'Income Statement'!B50/1000000</f>
        <v>-0.92</v>
      </c>
      <c r="C665" s="470" t="n">
        <f aca="false">-'Income Statement'!C50/1000000</f>
        <v>-0.966</v>
      </c>
      <c r="D665" s="470" t="n">
        <f aca="false">-'Income Statement'!D50/1000000</f>
        <v>-1.1592</v>
      </c>
      <c r="E665" s="470" t="n">
        <f aca="false">-'Income Statement'!E50/1000000</f>
        <v>-1.78286687571888</v>
      </c>
      <c r="F665" s="470" t="n">
        <f aca="false">-'Income Statement'!F50/1000000</f>
        <v>-2.39221860248857</v>
      </c>
      <c r="G665" s="470" t="n">
        <f aca="false">-'Income Statement'!G50/1000000</f>
        <v>-3.31204994758062</v>
      </c>
      <c r="H665" s="470" t="n">
        <f aca="false">-'Income Statement'!H50/1000000</f>
        <v>-4.24812997765354</v>
      </c>
      <c r="I665" s="470" t="n">
        <f aca="false">-'Income Statement'!I50/1000000</f>
        <v>-4.76889694529939</v>
      </c>
    </row>
    <row r="666" customFormat="false" ht="15" hidden="false" customHeight="false" outlineLevel="0" collapsed="false">
      <c r="A666" s="468" t="s">
        <v>1348</v>
      </c>
      <c r="B666" s="470" t="n">
        <f aca="false">-'Income Statement'!B63/1000000</f>
        <v>-11.43782</v>
      </c>
      <c r="C666" s="470" t="n">
        <f aca="false">-'Income Statement'!C63/1000000</f>
        <v>-14.874838</v>
      </c>
      <c r="D666" s="470" t="n">
        <f aca="false">-'Income Statement'!D63/1000000</f>
        <v>-19.7022687</v>
      </c>
      <c r="E666" s="470" t="n">
        <f aca="false">-'Income Statement'!E63/1000000</f>
        <v>-25.3125369719047</v>
      </c>
      <c r="F666" s="470" t="n">
        <f aca="false">-'Income Statement'!F63/1000000</f>
        <v>-31.2811486466256</v>
      </c>
      <c r="G666" s="470" t="n">
        <f aca="false">-'Income Statement'!G63/1000000</f>
        <v>-43.2245423362469</v>
      </c>
      <c r="H666" s="470" t="n">
        <f aca="false">-'Income Statement'!H63/1000000</f>
        <v>-52.8032076332009</v>
      </c>
      <c r="I666" s="470" t="n">
        <f aca="false">-'Income Statement'!I63/1000000</f>
        <v>-61.4052868498447</v>
      </c>
    </row>
    <row r="667" customFormat="false" ht="15" hidden="false" customHeight="false" outlineLevel="0" collapsed="false">
      <c r="A667" s="468" t="s">
        <v>1520</v>
      </c>
      <c r="B667" s="470" t="n">
        <f aca="false">'Income Statement'!B65/1000000</f>
        <v>-4.1947112</v>
      </c>
      <c r="C667" s="470" t="n">
        <f aca="false">'Income Statement'!C65/1000000</f>
        <v>-0.36071625</v>
      </c>
      <c r="D667" s="470" t="n">
        <f aca="false">'Income Statement'!D65/1000000</f>
        <v>4.5626772155</v>
      </c>
      <c r="E667" s="470" t="n">
        <f aca="false">'Income Statement'!E65/1000000</f>
        <v>7.64210963464664</v>
      </c>
      <c r="F667" s="470" t="n">
        <f aca="false">'Income Statement'!F65/1000000</f>
        <v>8.99950857483553</v>
      </c>
      <c r="G667" s="470" t="n">
        <f aca="false">'Income Statement'!G65/1000000</f>
        <v>6.26748018884142</v>
      </c>
      <c r="H667" s="470" t="n">
        <f aca="false">'Income Statement'!H65/1000000</f>
        <v>13.846845903409</v>
      </c>
      <c r="I667" s="470" t="n">
        <f aca="false">'Income Statement'!I65/1000000</f>
        <v>19.6555640601068</v>
      </c>
    </row>
    <row r="668" customFormat="false" ht="15" hidden="false" customHeight="false" outlineLevel="0" collapsed="false">
      <c r="A668" s="468" t="s">
        <v>445</v>
      </c>
      <c r="B668" s="470" t="n">
        <f aca="false">-'Income Statement'!B74/1000000</f>
        <v>-0.1143</v>
      </c>
      <c r="C668" s="470" t="n">
        <f aca="false">-'Income Statement'!C74/1000000</f>
        <v>-0.14256</v>
      </c>
      <c r="D668" s="470" t="n">
        <f aca="false">-'Income Statement'!D74/1000000</f>
        <v>-0.142182</v>
      </c>
      <c r="E668" s="470" t="n">
        <f aca="false">-'Income Statement'!E74/1000000</f>
        <v>-0.16026</v>
      </c>
      <c r="F668" s="470" t="n">
        <f aca="false">-'Income Statement'!F74/1000000</f>
        <v>-1.71520209161757</v>
      </c>
      <c r="G668" s="470" t="n">
        <f aca="false">-'Income Statement'!G74/1000000</f>
        <v>-3.27014418323515</v>
      </c>
      <c r="H668" s="470" t="n">
        <f aca="false">-'Income Statement'!H74/1000000</f>
        <v>-2.95915576491163</v>
      </c>
      <c r="I668" s="470" t="n">
        <f aca="false">-'Income Statement'!I74/1000000</f>
        <v>-2.3371789282646</v>
      </c>
    </row>
    <row r="669" customFormat="false" ht="15" hidden="false" customHeight="false" outlineLevel="0" collapsed="false">
      <c r="A669" s="468" t="s">
        <v>106</v>
      </c>
      <c r="B669" s="470" t="n">
        <f aca="false">'Income Statement'!B76/1000000</f>
        <v>-4.3090112</v>
      </c>
      <c r="C669" s="470" t="n">
        <f aca="false">'Income Statement'!C76/1000000</f>
        <v>-0.50327625</v>
      </c>
      <c r="D669" s="470" t="n">
        <f aca="false">'Income Statement'!D76/1000000</f>
        <v>4.4204952155</v>
      </c>
      <c r="E669" s="470" t="n">
        <f aca="false">'Income Statement'!E76/1000000</f>
        <v>7.48184963464664</v>
      </c>
      <c r="F669" s="470" t="n">
        <f aca="false">'Income Statement'!F76/1000000</f>
        <v>7.28430648321796</v>
      </c>
      <c r="G669" s="470" t="n">
        <f aca="false">'Income Statement'!G76/1000000</f>
        <v>2.99733600560627</v>
      </c>
      <c r="H669" s="470" t="n">
        <f aca="false">'Income Statement'!H76/1000000</f>
        <v>10.8876901384973</v>
      </c>
      <c r="I669" s="470" t="n">
        <f aca="false">'Income Statement'!I76/1000000</f>
        <v>17.3183851318422</v>
      </c>
    </row>
    <row r="670" customFormat="false" ht="15" hidden="false" customHeight="false" outlineLevel="0" collapsed="false">
      <c r="A670" s="468" t="s">
        <v>457</v>
      </c>
      <c r="B670" s="470" t="n">
        <f aca="false">-'Income Statement'!B78/1000000</f>
        <v>-0</v>
      </c>
      <c r="C670" s="470" t="n">
        <f aca="false">-'Income Statement'!C78/1000000</f>
        <v>-0</v>
      </c>
      <c r="D670" s="470" t="n">
        <f aca="false">-'Income Statement'!D78/1000000</f>
        <v>-0</v>
      </c>
      <c r="E670" s="470" t="n">
        <f aca="false">-'Income Statement'!E78/1000000</f>
        <v>-0.902709758024928</v>
      </c>
      <c r="F670" s="470" t="n">
        <f aca="false">-'Income Statement'!F78/1000000</f>
        <v>-1.45686129664359</v>
      </c>
      <c r="G670" s="470" t="n">
        <f aca="false">-'Income Statement'!G78/1000000</f>
        <v>-0.599467201121254</v>
      </c>
      <c r="H670" s="470" t="n">
        <f aca="false">-'Income Statement'!H78/1000000</f>
        <v>-2.17753802769947</v>
      </c>
      <c r="I670" s="470" t="n">
        <f aca="false">-'Income Statement'!I78/1000000</f>
        <v>-3.46367702636844</v>
      </c>
    </row>
    <row r="671" customFormat="false" ht="15" hidden="false" customHeight="false" outlineLevel="0" collapsed="false">
      <c r="A671" s="468" t="s">
        <v>109</v>
      </c>
      <c r="B671" s="470" t="n">
        <f aca="false">'Income Statement'!B80/1000000</f>
        <v>-4.3090112</v>
      </c>
      <c r="C671" s="470" t="n">
        <f aca="false">'Income Statement'!C80/1000000</f>
        <v>-0.50327625</v>
      </c>
      <c r="D671" s="470" t="n">
        <f aca="false">'Income Statement'!D80/1000000</f>
        <v>4.4204952155</v>
      </c>
      <c r="E671" s="470" t="n">
        <f aca="false">'Income Statement'!E80/1000000</f>
        <v>6.57913987662171</v>
      </c>
      <c r="F671" s="470" t="n">
        <f aca="false">'Income Statement'!F80/1000000</f>
        <v>5.82744518657437</v>
      </c>
      <c r="G671" s="470" t="n">
        <f aca="false">'Income Statement'!G80/1000000</f>
        <v>2.39786880448502</v>
      </c>
      <c r="H671" s="470" t="n">
        <f aca="false">'Income Statement'!H80/1000000</f>
        <v>8.71015211079786</v>
      </c>
      <c r="I671" s="470" t="n">
        <f aca="false">'Income Statement'!I80/1000000</f>
        <v>13.8547081054738</v>
      </c>
    </row>
    <row r="672" customFormat="false" ht="15" hidden="false" customHeight="false" outlineLevel="0" collapsed="false">
      <c r="A672" s="468" t="s">
        <v>1349</v>
      </c>
      <c r="B672" s="470" t="n">
        <f aca="false">'Income Statement'!B71/1000000</f>
        <v>1.4322</v>
      </c>
      <c r="C672" s="470" t="n">
        <f aca="false">'Income Statement'!C71/1000000</f>
        <v>2.37528</v>
      </c>
      <c r="D672" s="470" t="n">
        <f aca="false">'Income Statement'!D71/1000000</f>
        <v>3.131952</v>
      </c>
      <c r="E672" s="470" t="n">
        <f aca="false">'Income Statement'!E71/1000000</f>
        <v>3.7420944</v>
      </c>
      <c r="F672" s="470" t="n">
        <f aca="false">'Income Statement'!F71/1000000</f>
        <v>5.27026600775904</v>
      </c>
      <c r="G672" s="470" t="n">
        <f aca="false">'Income Statement'!G71/1000000</f>
        <v>11.4900343742293</v>
      </c>
      <c r="H672" s="470" t="n">
        <f aca="false">'Income Statement'!H71/1000000</f>
        <v>13.079818349068</v>
      </c>
      <c r="I672" s="470" t="n">
        <f aca="false">'Income Statement'!I71/1000000</f>
        <v>14.7790703401295</v>
      </c>
    </row>
    <row r="673" customFormat="false" ht="15" hidden="false" customHeight="false" outlineLevel="0" collapsed="false">
      <c r="A673" s="468" t="s">
        <v>1521</v>
      </c>
      <c r="B673" s="470" t="n">
        <f aca="false">'Income Statement'!B82/1000000</f>
        <v>-2.7625112</v>
      </c>
      <c r="C673" s="470" t="n">
        <f aca="false">'Income Statement'!C82/1000000</f>
        <v>2.01456375</v>
      </c>
      <c r="D673" s="470" t="n">
        <f aca="false">'Income Statement'!D82/1000000</f>
        <v>7.6946292155</v>
      </c>
      <c r="E673" s="470" t="n">
        <f aca="false">'Income Statement'!E82/1000000</f>
        <v>11.3842040346466</v>
      </c>
      <c r="F673" s="470" t="n">
        <f aca="false">'Income Statement'!F82/1000000</f>
        <v>14.2697745825946</v>
      </c>
      <c r="G673" s="470" t="n">
        <f aca="false">'Income Statement'!G82/1000000</f>
        <v>17.7575145630708</v>
      </c>
      <c r="H673" s="470" t="n">
        <f aca="false">'Income Statement'!H82/1000000</f>
        <v>26.926664252477</v>
      </c>
      <c r="I673" s="470" t="n">
        <f aca="false">'Income Statement'!I82/1000000</f>
        <v>34.4346344002363</v>
      </c>
    </row>
    <row r="674" customFormat="false" ht="15" hidden="false" customHeight="false" outlineLevel="0" collapsed="false">
      <c r="A674" s="468" t="s">
        <v>111</v>
      </c>
      <c r="B674" s="471" t="n">
        <f aca="false">'Income Statement'!B83</f>
        <v>-0.142117352188264</v>
      </c>
      <c r="C674" s="471" t="n">
        <f aca="false">'Income Statement'!C83</f>
        <v>0.0651366136208328</v>
      </c>
      <c r="D674" s="471" t="n">
        <f aca="false">'Income Statement'!D83</f>
        <v>0.161833671626173</v>
      </c>
      <c r="E674" s="471" t="n">
        <f aca="false">'Income Statement'!E83</f>
        <v>0.178789407841557</v>
      </c>
      <c r="F674" s="471" t="n">
        <f aca="false">'Income Statement'!F83</f>
        <v>0.178952390484925</v>
      </c>
      <c r="G674" s="471" t="n">
        <f aca="false">'Income Statement'!G83</f>
        <v>0.160844626537491</v>
      </c>
      <c r="H674" s="471" t="n">
        <f aca="false">'Income Statement'!H83</f>
        <v>0.19015424005941</v>
      </c>
      <c r="I674" s="471" t="n">
        <f aca="false">'Income Statement'!I83</f>
        <v>0.202178779341621</v>
      </c>
    </row>
    <row r="675" customFormat="false" ht="15" hidden="false" customHeight="false" outlineLevel="0" collapsed="false">
      <c r="A675" s="222" t="s">
        <v>1522</v>
      </c>
    </row>
    <row r="677" customFormat="false" ht="15" hidden="false" customHeight="false" outlineLevel="0" collapsed="false">
      <c r="A677" s="469" t="s">
        <v>1523</v>
      </c>
    </row>
    <row r="678" customFormat="false" ht="15" hidden="false" customHeight="false" outlineLevel="0" collapsed="false">
      <c r="A678" s="467" t="s">
        <v>1347</v>
      </c>
      <c r="B678" s="467" t="s">
        <v>287</v>
      </c>
      <c r="C678" s="467" t="s">
        <v>288</v>
      </c>
      <c r="D678" s="467" t="s">
        <v>289</v>
      </c>
      <c r="E678" s="467" t="s">
        <v>290</v>
      </c>
      <c r="F678" s="467" t="s">
        <v>291</v>
      </c>
      <c r="G678" s="467" t="s">
        <v>292</v>
      </c>
      <c r="H678" s="467" t="s">
        <v>293</v>
      </c>
      <c r="I678" s="467" t="s">
        <v>294</v>
      </c>
    </row>
    <row r="679" customFormat="false" ht="15" hidden="false" customHeight="false" outlineLevel="0" collapsed="false">
      <c r="A679" s="468" t="s">
        <v>1384</v>
      </c>
      <c r="B679" s="470" t="n">
        <f aca="false">'Balance Sheet'!E7/1000000</f>
        <v>0.0439888000000008</v>
      </c>
      <c r="C679" s="470" t="n">
        <f aca="false">'Balance Sheet'!F7/1000000</f>
        <v>1.73553255</v>
      </c>
      <c r="D679" s="470" t="n">
        <f aca="false">'Balance Sheet'!G7/1000000</f>
        <v>2.93348176549999</v>
      </c>
      <c r="E679" s="470" t="n">
        <f aca="false">'Balance Sheet'!H7/1000000</f>
        <v>35.5463294140094</v>
      </c>
      <c r="F679" s="470" t="n">
        <f aca="false">'Balance Sheet'!I7/1000000</f>
        <v>22.6312637120003</v>
      </c>
      <c r="G679" s="470" t="n">
        <f aca="false">'Balance Sheet'!J7/1000000</f>
        <v>16.3318159734387</v>
      </c>
      <c r="H679" s="470" t="n">
        <f aca="false">'Balance Sheet'!K7/1000000</f>
        <v>11.3677721161802</v>
      </c>
      <c r="I679" s="470" t="n">
        <f aca="false">'Balance Sheet'!L7/1000000</f>
        <v>11.9350476839518</v>
      </c>
    </row>
    <row r="680" customFormat="false" ht="15" hidden="false" customHeight="false" outlineLevel="0" collapsed="false">
      <c r="A680" s="468" t="s">
        <v>123</v>
      </c>
      <c r="B680" s="470" t="n">
        <f aca="false">'Balance Sheet'!E12/1000000</f>
        <v>1.26</v>
      </c>
      <c r="C680" s="470" t="n">
        <f aca="false">'Balance Sheet'!F12/1000000</f>
        <v>1.5372</v>
      </c>
      <c r="D680" s="470" t="n">
        <f aca="false">'Balance Sheet'!G12/1000000</f>
        <v>1.76778</v>
      </c>
      <c r="E680" s="470" t="n">
        <f aca="false">'Balance Sheet'!H12/1000000</f>
        <v>3.14007864608022</v>
      </c>
      <c r="F680" s="470" t="n">
        <f aca="false">'Balance Sheet'!I12/1000000</f>
        <v>4.80628395020536</v>
      </c>
      <c r="G680" s="470" t="n">
        <f aca="false">'Balance Sheet'!J12/1000000</f>
        <v>7.86422818603618</v>
      </c>
      <c r="H680" s="470" t="n">
        <f aca="false">'Balance Sheet'!K12/1000000</f>
        <v>11.638712267544</v>
      </c>
      <c r="I680" s="470" t="n">
        <f aca="false">'Balance Sheet'!L12/1000000</f>
        <v>13.9987190175129</v>
      </c>
    </row>
    <row r="681" customFormat="false" ht="15" hidden="false" customHeight="false" outlineLevel="0" collapsed="false">
      <c r="A681" s="468" t="s">
        <v>120</v>
      </c>
      <c r="B681" s="470" t="n">
        <f aca="false">'Balance Sheet'!E9/1000000</f>
        <v>2.499</v>
      </c>
      <c r="C681" s="470" t="n">
        <f aca="false">'Balance Sheet'!F9/1000000</f>
        <v>2.9988</v>
      </c>
      <c r="D681" s="470" t="n">
        <f aca="false">'Balance Sheet'!G9/1000000</f>
        <v>3.7485</v>
      </c>
      <c r="E681" s="470" t="n">
        <f aca="false">'Balance Sheet'!H9/1000000</f>
        <v>4.74593404040822</v>
      </c>
      <c r="F681" s="470" t="n">
        <f aca="false">'Balance Sheet'!I9/1000000</f>
        <v>5.99410510168572</v>
      </c>
      <c r="G681" s="470" t="n">
        <f aca="false">'Balance Sheet'!J9/1000000</f>
        <v>9.32271628962655</v>
      </c>
      <c r="H681" s="470" t="n">
        <f aca="false">'Balance Sheet'!K9/1000000</f>
        <v>11.0641493125862</v>
      </c>
      <c r="I681" s="470" t="n">
        <f aca="false">'Balance Sheet'!L9/1000000</f>
        <v>12.7874394759941</v>
      </c>
    </row>
    <row r="682" customFormat="false" ht="15" hidden="false" customHeight="false" outlineLevel="0" collapsed="false">
      <c r="A682" s="468" t="s">
        <v>125</v>
      </c>
      <c r="B682" s="470" t="n">
        <f aca="false">'Balance Sheet'!E20/1000000</f>
        <v>1.233</v>
      </c>
      <c r="C682" s="470" t="n">
        <f aca="false">'Balance Sheet'!F20/1000000</f>
        <v>1.7097</v>
      </c>
      <c r="D682" s="470" t="n">
        <f aca="false">'Balance Sheet'!G20/1000000</f>
        <v>2.07309</v>
      </c>
      <c r="E682" s="470" t="n">
        <f aca="false">'Balance Sheet'!H20/1000000</f>
        <v>2.5469526795984</v>
      </c>
      <c r="F682" s="470" t="n">
        <f aca="false">'Balance Sheet'!I20/1000000</f>
        <v>3.1896248033181</v>
      </c>
      <c r="G682" s="470" t="n">
        <f aca="false">'Balance Sheet'!J20/1000000</f>
        <v>4.41606659677417</v>
      </c>
      <c r="H682" s="470" t="n">
        <f aca="false">'Balance Sheet'!K20/1000000</f>
        <v>5.66417330353806</v>
      </c>
      <c r="I682" s="470" t="n">
        <f aca="false">'Balance Sheet'!L20/1000000</f>
        <v>6.81270992185628</v>
      </c>
    </row>
    <row r="683" customFormat="false" ht="15" hidden="false" customHeight="false" outlineLevel="0" collapsed="false">
      <c r="A683" s="468" t="s">
        <v>132</v>
      </c>
      <c r="B683" s="470" t="n">
        <f aca="false">'Balance Sheet'!E22/1000000</f>
        <v>5.0359888</v>
      </c>
      <c r="C683" s="470" t="n">
        <f aca="false">'Balance Sheet'!F22/1000000</f>
        <v>7.98123255</v>
      </c>
      <c r="D683" s="470" t="n">
        <f aca="false">'Balance Sheet'!G22/1000000</f>
        <v>10.5228517655</v>
      </c>
      <c r="E683" s="470" t="n">
        <f aca="false">'Balance Sheet'!H22/1000000</f>
        <v>45.9792947800963</v>
      </c>
      <c r="F683" s="470" t="n">
        <f aca="false">'Balance Sheet'!I22/1000000</f>
        <v>36.6212775672095</v>
      </c>
      <c r="G683" s="470" t="n">
        <f aca="false">'Balance Sheet'!J22/1000000</f>
        <v>37.9348270458756</v>
      </c>
      <c r="H683" s="470" t="n">
        <f aca="false">'Balance Sheet'!K22/1000000</f>
        <v>39.7348069998484</v>
      </c>
      <c r="I683" s="470" t="n">
        <f aca="false">'Balance Sheet'!L22/1000000</f>
        <v>45.5339160993151</v>
      </c>
    </row>
    <row r="684" customFormat="false" ht="15" hidden="false" customHeight="false" outlineLevel="0" collapsed="false">
      <c r="A684" s="468" t="s">
        <v>1524</v>
      </c>
      <c r="B684" s="472" t="n">
        <f aca="false">('Balance Sheet'!E29+'Balance Sheet'!E30+'Balance Sheet'!E31)/1000000</f>
        <v>19.794</v>
      </c>
      <c r="C684" s="472" t="n">
        <f aca="false">('Balance Sheet'!F29+'Balance Sheet'!F30+'Balance Sheet'!F31)/1000000</f>
        <v>26.0996</v>
      </c>
      <c r="D684" s="472" t="n">
        <f aca="false">('Balance Sheet'!G29+'Balance Sheet'!G30+'Balance Sheet'!G31)/1000000</f>
        <v>31.18412</v>
      </c>
      <c r="E684" s="472" t="n">
        <f aca="false">('Balance Sheet'!H29+'Balance Sheet'!H30+'Balance Sheet'!H31)/1000000</f>
        <v>43.918883397992</v>
      </c>
      <c r="F684" s="472" t="n">
        <f aca="false">('Balance Sheet'!I29+'Balance Sheet'!I30+'Balance Sheet'!I31)/1000000</f>
        <v>95.7502864519111</v>
      </c>
      <c r="G684" s="472" t="n">
        <f aca="false">('Balance Sheet'!J29+'Balance Sheet'!J30+'Balance Sheet'!J31)/1000000</f>
        <v>108.998486242234</v>
      </c>
      <c r="H684" s="472" t="n">
        <f aca="false">('Balance Sheet'!K29+'Balance Sheet'!K30+'Balance Sheet'!K31)/1000000</f>
        <v>123.158919501079</v>
      </c>
      <c r="I684" s="472" t="n">
        <f aca="false">('Balance Sheet'!L29+'Balance Sheet'!L30+'Balance Sheet'!L31)/1000000</f>
        <v>140.190694305719</v>
      </c>
    </row>
    <row r="685" customFormat="false" ht="15" hidden="false" customHeight="false" outlineLevel="0" collapsed="false">
      <c r="A685" s="468" t="s">
        <v>135</v>
      </c>
      <c r="B685" s="470" t="n">
        <f aca="false">-'Balance Sheet'!E26/1000000</f>
        <v>-4.2822</v>
      </c>
      <c r="C685" s="470" t="n">
        <f aca="false">-'Balance Sheet'!F26/1000000</f>
        <v>-6.65748</v>
      </c>
      <c r="D685" s="470" t="n">
        <f aca="false">-'Balance Sheet'!G26/1000000</f>
        <v>-9.789432</v>
      </c>
      <c r="E685" s="470" t="n">
        <f aca="false">-'Balance Sheet'!H26/1000000</f>
        <v>-13.5315264</v>
      </c>
      <c r="F685" s="470" t="n">
        <f aca="false">-'Balance Sheet'!I26/1000000</f>
        <v>-18.801792407759</v>
      </c>
      <c r="G685" s="470" t="n">
        <f aca="false">-'Balance Sheet'!J26/1000000</f>
        <v>-30.2918267819884</v>
      </c>
      <c r="H685" s="470" t="n">
        <f aca="false">-'Balance Sheet'!K26/1000000</f>
        <v>-43.3716451310564</v>
      </c>
      <c r="I685" s="470" t="n">
        <f aca="false">-'Balance Sheet'!L26/1000000</f>
        <v>-58.1507154711859</v>
      </c>
    </row>
    <row r="686" customFormat="false" ht="15" hidden="false" customHeight="false" outlineLevel="0" collapsed="false">
      <c r="A686" s="468" t="s">
        <v>1385</v>
      </c>
      <c r="B686" s="470" t="n">
        <f aca="false">'Balance Sheet'!E32/1000000</f>
        <v>15.5118</v>
      </c>
      <c r="C686" s="470" t="n">
        <f aca="false">'Balance Sheet'!F32/1000000</f>
        <v>19.44212</v>
      </c>
      <c r="D686" s="470" t="n">
        <f aca="false">'Balance Sheet'!G32/1000000</f>
        <v>21.394688</v>
      </c>
      <c r="E686" s="470" t="n">
        <f aca="false">'Balance Sheet'!H32/1000000</f>
        <v>30.387356997992</v>
      </c>
      <c r="F686" s="470" t="n">
        <f aca="false">'Balance Sheet'!I32/1000000</f>
        <v>76.9484940441521</v>
      </c>
      <c r="G686" s="470" t="n">
        <f aca="false">'Balance Sheet'!J32/1000000</f>
        <v>78.7066594602453</v>
      </c>
      <c r="H686" s="470" t="n">
        <f aca="false">'Balance Sheet'!K32/1000000</f>
        <v>79.7872743700224</v>
      </c>
      <c r="I686" s="470" t="n">
        <f aca="false">'Balance Sheet'!L32/1000000</f>
        <v>82.0399788345336</v>
      </c>
    </row>
    <row r="687" customFormat="false" ht="15" hidden="false" customHeight="false" outlineLevel="0" collapsed="false">
      <c r="A687" s="468" t="s">
        <v>141</v>
      </c>
      <c r="B687" s="470" t="n">
        <f aca="false">'Balance Sheet'!E34/1000000</f>
        <v>20.5477888</v>
      </c>
      <c r="C687" s="470" t="n">
        <f aca="false">'Balance Sheet'!F34/1000000</f>
        <v>27.42335255</v>
      </c>
      <c r="D687" s="470" t="n">
        <f aca="false">'Balance Sheet'!G34/1000000</f>
        <v>31.9175397655</v>
      </c>
      <c r="E687" s="470" t="n">
        <f aca="false">'Balance Sheet'!H34/1000000</f>
        <v>76.3666517780883</v>
      </c>
      <c r="F687" s="470" t="n">
        <f aca="false">'Balance Sheet'!I34/1000000</f>
        <v>113.569771611362</v>
      </c>
      <c r="G687" s="470" t="n">
        <f aca="false">'Balance Sheet'!J34/1000000</f>
        <v>116.641486506121</v>
      </c>
      <c r="H687" s="470" t="n">
        <f aca="false">'Balance Sheet'!K34/1000000</f>
        <v>119.522081369871</v>
      </c>
      <c r="I687" s="470" t="n">
        <f aca="false">'Balance Sheet'!L34/1000000</f>
        <v>127.573894933849</v>
      </c>
    </row>
    <row r="688" customFormat="false" ht="15" hidden="false" customHeight="false" outlineLevel="0" collapsed="false">
      <c r="A688" s="468" t="s">
        <v>145</v>
      </c>
      <c r="B688" s="470" t="n">
        <f aca="false">'Balance Sheet'!E40/1000000</f>
        <v>0.156</v>
      </c>
      <c r="C688" s="470" t="n">
        <f aca="false">'Balance Sheet'!F40/1000000</f>
        <v>0.2028</v>
      </c>
      <c r="D688" s="470" t="n">
        <f aca="false">'Balance Sheet'!G40/1000000</f>
        <v>0.26364</v>
      </c>
      <c r="E688" s="470" t="n">
        <f aca="false">'Balance Sheet'!H40/1000000</f>
        <v>0.474593404040822</v>
      </c>
      <c r="F688" s="470" t="n">
        <f aca="false">'Balance Sheet'!I40/1000000</f>
        <v>0.719292612202287</v>
      </c>
      <c r="G688" s="470" t="n">
        <f aca="false">'Balance Sheet'!J40/1000000</f>
        <v>1.33181661280379</v>
      </c>
      <c r="H688" s="470" t="n">
        <f aca="false">'Balance Sheet'!K40/1000000</f>
        <v>1.65962239688793</v>
      </c>
      <c r="I688" s="470" t="n">
        <f aca="false">'Balance Sheet'!L40/1000000</f>
        <v>2.01906939094643</v>
      </c>
    </row>
    <row r="689" customFormat="false" ht="15" hidden="false" customHeight="false" outlineLevel="0" collapsed="false">
      <c r="A689" s="468" t="s">
        <v>432</v>
      </c>
      <c r="B689" s="470" t="n">
        <f aca="false">'Balance Sheet'!E48/1000000</f>
        <v>0.09</v>
      </c>
      <c r="C689" s="470" t="n">
        <f aca="false">'Balance Sheet'!F48/1000000</f>
        <v>0.108</v>
      </c>
      <c r="D689" s="470" t="n">
        <f aca="false">'Balance Sheet'!G48/1000000</f>
        <v>0.1026</v>
      </c>
      <c r="E689" s="470" t="n">
        <f aca="false">'Balance Sheet'!H48/1000000</f>
        <v>0.1026</v>
      </c>
      <c r="F689" s="470" t="n">
        <f aca="false">'Balance Sheet'!I48/1000000</f>
        <v>0.1026</v>
      </c>
      <c r="G689" s="470" t="n">
        <f aca="false">'Balance Sheet'!J48/1000000</f>
        <v>0.1026</v>
      </c>
      <c r="H689" s="470" t="n">
        <f aca="false">'Balance Sheet'!K48/1000000</f>
        <v>0.1026</v>
      </c>
      <c r="I689" s="470" t="n">
        <f aca="false">'Balance Sheet'!L48/1000000</f>
        <v>0.1026</v>
      </c>
    </row>
    <row r="690" customFormat="false" ht="15" hidden="false" customHeight="false" outlineLevel="0" collapsed="false">
      <c r="A690" s="468" t="s">
        <v>183</v>
      </c>
      <c r="B690" s="470" t="n">
        <f aca="false">'Balance Sheet'!E55/1000000</f>
        <v>0.0468</v>
      </c>
      <c r="C690" s="470" t="n">
        <f aca="false">'Balance Sheet'!F55/1000000</f>
        <v>0.06084</v>
      </c>
      <c r="D690" s="470" t="n">
        <f aca="false">'Balance Sheet'!G55/1000000</f>
        <v>0.079092</v>
      </c>
      <c r="E690" s="470" t="n">
        <f aca="false">'Balance Sheet'!H55/1000000</f>
        <v>0.12734763397992</v>
      </c>
      <c r="F690" s="470" t="n">
        <f aca="false">'Balance Sheet'!I55/1000000</f>
        <v>0.159481240165905</v>
      </c>
      <c r="G690" s="470" t="n">
        <f aca="false">'Balance Sheet'!J55/1000000</f>
        <v>0.220803329838708</v>
      </c>
      <c r="H690" s="470" t="n">
        <f aca="false">'Balance Sheet'!K55/1000000</f>
        <v>0.283208665176903</v>
      </c>
      <c r="I690" s="470" t="n">
        <f aca="false">'Balance Sheet'!L55/1000000</f>
        <v>0.340635496092814</v>
      </c>
    </row>
    <row r="691" customFormat="false" ht="15" hidden="false" customHeight="false" outlineLevel="0" collapsed="false">
      <c r="A691" s="468" t="s">
        <v>1525</v>
      </c>
      <c r="B691" s="470" t="n">
        <f aca="false">'Balance Sheet'!E61/1000000</f>
        <v>1.2</v>
      </c>
      <c r="C691" s="470" t="n">
        <f aca="false">'Balance Sheet'!F61/1000000</f>
        <v>1.5</v>
      </c>
      <c r="D691" s="470" t="n">
        <f aca="false">'Balance Sheet'!G61/1000000</f>
        <v>1.5</v>
      </c>
      <c r="E691" s="470" t="n">
        <f aca="false">'Balance Sheet'!H61/1000000</f>
        <v>1.5</v>
      </c>
      <c r="F691" s="470" t="n">
        <f aca="false">'Balance Sheet'!I61/1000000</f>
        <v>32.5988418323515</v>
      </c>
      <c r="G691" s="470" t="n">
        <f aca="false">'Balance Sheet'!J61/1000000</f>
        <v>32.5988418323515</v>
      </c>
      <c r="H691" s="470" t="n">
        <f aca="false">'Balance Sheet'!K61/1000000</f>
        <v>26.3790734658812</v>
      </c>
      <c r="I691" s="470" t="n">
        <f aca="false">'Balance Sheet'!L61/1000000</f>
        <v>20.1593050994109</v>
      </c>
    </row>
    <row r="692" customFormat="false" ht="15" hidden="false" customHeight="false" outlineLevel="0" collapsed="false">
      <c r="A692" s="468" t="s">
        <v>167</v>
      </c>
      <c r="B692" s="470" t="n">
        <f aca="false">'Balance Sheet'!E66/1000000</f>
        <v>1.4928</v>
      </c>
      <c r="C692" s="470" t="n">
        <f aca="false">'Balance Sheet'!F66/1000000</f>
        <v>1.87164</v>
      </c>
      <c r="D692" s="470" t="n">
        <f aca="false">'Balance Sheet'!G66/1000000</f>
        <v>1.945332</v>
      </c>
      <c r="E692" s="470" t="n">
        <f aca="false">'Balance Sheet'!H66/1000000</f>
        <v>2.20454103802074</v>
      </c>
      <c r="F692" s="470" t="n">
        <f aca="false">'Balance Sheet'!I66/1000000</f>
        <v>33.5802156847197</v>
      </c>
      <c r="G692" s="470" t="n">
        <f aca="false">'Balance Sheet'!J66/1000000</f>
        <v>34.254061774994</v>
      </c>
      <c r="H692" s="470" t="n">
        <f aca="false">'Balance Sheet'!K66/1000000</f>
        <v>28.424504527946</v>
      </c>
      <c r="I692" s="470" t="n">
        <f aca="false">'Balance Sheet'!L66/1000000</f>
        <v>22.6216099864501</v>
      </c>
    </row>
    <row r="693" customFormat="false" ht="15" hidden="false" customHeight="false" outlineLevel="0" collapsed="false">
      <c r="A693" s="468" t="s">
        <v>1526</v>
      </c>
      <c r="B693" s="472" t="n">
        <f aca="false">('Balance Sheet'!E70+'Balance Sheet'!E72)/1000000</f>
        <v>25.144</v>
      </c>
      <c r="C693" s="472" t="n">
        <f aca="false">('Balance Sheet'!F70+'Balance Sheet'!F72)/1000000</f>
        <v>32.144</v>
      </c>
      <c r="D693" s="472" t="n">
        <f aca="false">('Balance Sheet'!G70+'Balance Sheet'!G72)/1000000</f>
        <v>32.144</v>
      </c>
      <c r="E693" s="472" t="n">
        <f aca="false">('Balance Sheet'!H70+'Balance Sheet'!H72)/1000000</f>
        <v>69.7547630979458</v>
      </c>
      <c r="F693" s="472" t="n">
        <f aca="false">('Balance Sheet'!I70+'Balance Sheet'!I72)/1000000</f>
        <v>69.7547630979458</v>
      </c>
      <c r="G693" s="472" t="n">
        <f aca="false">('Balance Sheet'!J70+'Balance Sheet'!J72)/1000000</f>
        <v>69.7547630979458</v>
      </c>
      <c r="H693" s="472" t="n">
        <f aca="false">('Balance Sheet'!K70+'Balance Sheet'!K72)/1000000</f>
        <v>69.7547630979458</v>
      </c>
      <c r="I693" s="472" t="n">
        <f aca="false">('Balance Sheet'!L70+'Balance Sheet'!L72)/1000000</f>
        <v>69.7547630979458</v>
      </c>
    </row>
    <row r="694" customFormat="false" ht="15" hidden="false" customHeight="false" outlineLevel="0" collapsed="false">
      <c r="A694" s="468" t="s">
        <v>175</v>
      </c>
      <c r="B694" s="470" t="n">
        <f aca="false">'Balance Sheet'!E75/1000000</f>
        <v>-6.0890112</v>
      </c>
      <c r="C694" s="470" t="n">
        <f aca="false">'Balance Sheet'!F75/1000000</f>
        <v>-6.59228745</v>
      </c>
      <c r="D694" s="470" t="n">
        <f aca="false">'Balance Sheet'!G75/1000000</f>
        <v>-2.1717922345</v>
      </c>
      <c r="E694" s="470" t="n">
        <f aca="false">'Balance Sheet'!H75/1000000</f>
        <v>4.40734764212171</v>
      </c>
      <c r="F694" s="470" t="n">
        <f aca="false">'Balance Sheet'!I75/1000000</f>
        <v>10.2347928286961</v>
      </c>
      <c r="G694" s="470" t="n">
        <f aca="false">'Balance Sheet'!J75/1000000</f>
        <v>12.6326616331811</v>
      </c>
      <c r="H694" s="470" t="n">
        <f aca="false">'Balance Sheet'!K75/1000000</f>
        <v>21.342813743979</v>
      </c>
      <c r="I694" s="470" t="n">
        <f aca="false">'Balance Sheet'!L75/1000000</f>
        <v>35.1975218494527</v>
      </c>
    </row>
    <row r="695" customFormat="false" ht="15" hidden="false" customHeight="false" outlineLevel="0" collapsed="false">
      <c r="A695" s="468" t="s">
        <v>168</v>
      </c>
      <c r="B695" s="470" t="n">
        <f aca="false">'Balance Sheet'!E76/1000000</f>
        <v>19.0549888</v>
      </c>
      <c r="C695" s="470" t="n">
        <f aca="false">'Balance Sheet'!F76/1000000</f>
        <v>25.55171255</v>
      </c>
      <c r="D695" s="470" t="n">
        <f aca="false">'Balance Sheet'!G76/1000000</f>
        <v>29.9722077655</v>
      </c>
      <c r="E695" s="470" t="n">
        <f aca="false">'Balance Sheet'!H76/1000000</f>
        <v>74.1621107400675</v>
      </c>
      <c r="F695" s="470" t="n">
        <f aca="false">'Balance Sheet'!I76/1000000</f>
        <v>79.9895559266419</v>
      </c>
      <c r="G695" s="470" t="n">
        <f aca="false">'Balance Sheet'!J76/1000000</f>
        <v>82.3874247311269</v>
      </c>
      <c r="H695" s="470" t="n">
        <f aca="false">'Balance Sheet'!K76/1000000</f>
        <v>91.0975768419248</v>
      </c>
      <c r="I695" s="470" t="n">
        <f aca="false">'Balance Sheet'!L76/1000000</f>
        <v>104.952284947399</v>
      </c>
    </row>
    <row r="696" customFormat="false" ht="15" hidden="false" customHeight="false" outlineLevel="0" collapsed="false">
      <c r="A696" s="468" t="s">
        <v>1527</v>
      </c>
      <c r="B696" s="470" t="n">
        <f aca="false">'Balance Sheet'!E78/1000000</f>
        <v>20.5477888</v>
      </c>
      <c r="C696" s="470" t="n">
        <f aca="false">'Balance Sheet'!F78/1000000</f>
        <v>27.42335255</v>
      </c>
      <c r="D696" s="470" t="n">
        <f aca="false">'Balance Sheet'!G78/1000000</f>
        <v>31.9175397655</v>
      </c>
      <c r="E696" s="470" t="n">
        <f aca="false">'Balance Sheet'!H78/1000000</f>
        <v>76.3666517780883</v>
      </c>
      <c r="F696" s="470" t="n">
        <f aca="false">'Balance Sheet'!I78/1000000</f>
        <v>113.569771611362</v>
      </c>
      <c r="G696" s="470" t="n">
        <f aca="false">'Balance Sheet'!J78/1000000</f>
        <v>116.641486506121</v>
      </c>
      <c r="H696" s="470" t="n">
        <f aca="false">'Balance Sheet'!K78/1000000</f>
        <v>119.522081369871</v>
      </c>
      <c r="I696" s="470" t="n">
        <f aca="false">'Balance Sheet'!L78/1000000</f>
        <v>127.573894933849</v>
      </c>
    </row>
    <row r="697" customFormat="false" ht="15" hidden="false" customHeight="false" outlineLevel="0" collapsed="false">
      <c r="A697" s="222" t="s">
        <v>1528</v>
      </c>
    </row>
    <row r="699" customFormat="false" ht="15" hidden="false" customHeight="false" outlineLevel="0" collapsed="false">
      <c r="A699" s="469" t="s">
        <v>1529</v>
      </c>
    </row>
    <row r="700" customFormat="false" ht="15" hidden="false" customHeight="false" outlineLevel="0" collapsed="false">
      <c r="A700" s="467" t="s">
        <v>1347</v>
      </c>
      <c r="B700" s="467" t="s">
        <v>287</v>
      </c>
      <c r="C700" s="467" t="s">
        <v>288</v>
      </c>
      <c r="D700" s="467" t="s">
        <v>289</v>
      </c>
      <c r="E700" s="467" t="s">
        <v>290</v>
      </c>
      <c r="F700" s="467" t="s">
        <v>291</v>
      </c>
      <c r="G700" s="467" t="s">
        <v>292</v>
      </c>
      <c r="H700" s="467" t="s">
        <v>293</v>
      </c>
      <c r="I700" s="467" t="s">
        <v>294</v>
      </c>
    </row>
    <row r="701" customFormat="false" ht="15" hidden="false" customHeight="false" outlineLevel="0" collapsed="false">
      <c r="A701" s="468" t="s">
        <v>109</v>
      </c>
      <c r="B701" s="470" t="n">
        <f aca="false">'Cash Flow Statement'!C6/1000000</f>
        <v>-4.3090112</v>
      </c>
      <c r="C701" s="470" t="n">
        <f aca="false">'Cash Flow Statement'!D6/1000000</f>
        <v>-0.50327625</v>
      </c>
      <c r="D701" s="470" t="n">
        <f aca="false">'Cash Flow Statement'!E6/1000000</f>
        <v>4.4204952155</v>
      </c>
      <c r="E701" s="470" t="n">
        <f aca="false">'Cash Flow Statement'!F6/1000000</f>
        <v>6.57913987662171</v>
      </c>
      <c r="F701" s="470" t="n">
        <f aca="false">'Cash Flow Statement'!G6/1000000</f>
        <v>5.82744518657437</v>
      </c>
      <c r="G701" s="470" t="n">
        <f aca="false">'Cash Flow Statement'!H6/1000000</f>
        <v>2.39786880448502</v>
      </c>
      <c r="H701" s="470" t="n">
        <f aca="false">'Cash Flow Statement'!I6/1000000</f>
        <v>8.71015211079786</v>
      </c>
      <c r="I701" s="470" t="n">
        <f aca="false">'Cash Flow Statement'!J6/1000000</f>
        <v>13.8547081054738</v>
      </c>
    </row>
    <row r="702" customFormat="false" ht="15" hidden="false" customHeight="false" outlineLevel="0" collapsed="false">
      <c r="A702" s="468" t="s">
        <v>180</v>
      </c>
      <c r="B702" s="470" t="n">
        <f aca="false">'Cash Flow Statement'!C8/1000000</f>
        <v>1.4322</v>
      </c>
      <c r="C702" s="470" t="n">
        <f aca="false">'Cash Flow Statement'!D8/1000000</f>
        <v>2.37528</v>
      </c>
      <c r="D702" s="470" t="n">
        <f aca="false">'Cash Flow Statement'!E8/1000000</f>
        <v>3.131952</v>
      </c>
      <c r="E702" s="470" t="n">
        <f aca="false">'Cash Flow Statement'!F8/1000000</f>
        <v>3.7420944</v>
      </c>
      <c r="F702" s="470" t="n">
        <f aca="false">'Cash Flow Statement'!G8/1000000</f>
        <v>5.27026600775904</v>
      </c>
      <c r="G702" s="470" t="n">
        <f aca="false">'Cash Flow Statement'!H8/1000000</f>
        <v>11.4900343742293</v>
      </c>
      <c r="H702" s="470" t="n">
        <f aca="false">'Cash Flow Statement'!I8/1000000</f>
        <v>13.079818349068</v>
      </c>
      <c r="I702" s="470" t="n">
        <f aca="false">'Cash Flow Statement'!J8/1000000</f>
        <v>14.7790703401295</v>
      </c>
    </row>
    <row r="703" customFormat="false" ht="15" hidden="false" customHeight="false" outlineLevel="0" collapsed="false">
      <c r="A703" s="468" t="s">
        <v>1530</v>
      </c>
      <c r="B703" s="472" t="n">
        <f aca="false">('Cash Flow Statement'!C19-'Cash Flow Statement'!C6-'Cash Flow Statement'!C8)/1000000</f>
        <v>-1.0802</v>
      </c>
      <c r="C703" s="472" t="n">
        <f aca="false">('Cash Flow Statement'!D19-'Cash Flow Statement'!D6-'Cash Flow Statement'!D8)/1000000</f>
        <v>-1.17486</v>
      </c>
      <c r="D703" s="472" t="n">
        <f aca="false">('Cash Flow Statement'!E19-'Cash Flow Statement'!E6-'Cash Flow Statement'!E8)/1000000</f>
        <v>-1.269978</v>
      </c>
      <c r="E703" s="472" t="n">
        <f aca="false">('Cash Flow Statement'!F19-'Cash Flow Statement'!F6-'Cash Flow Statement'!F8)/1000000</f>
        <v>-2.5843863280661</v>
      </c>
      <c r="F703" s="472" t="n">
        <f aca="false">('Cash Flow Statement'!G19-'Cash Flow Statement'!G6-'Cash Flow Statement'!G8)/1000000</f>
        <v>-3.28021567477489</v>
      </c>
      <c r="G703" s="472" t="n">
        <f aca="false">('Cash Flow Statement'!H19-'Cash Flow Statement'!H6-'Cash Flow Statement'!H8)/1000000</f>
        <v>-6.93915112695341</v>
      </c>
      <c r="H703" s="472" t="n">
        <f aca="false">('Cash Flow Statement'!I19-'Cash Flow Statement'!I6-'Cash Flow Statement'!I8)/1000000</f>
        <v>-6.37381269180898</v>
      </c>
      <c r="I703" s="472" t="n">
        <f aca="false">('Cash Flow Statement'!J19-'Cash Flow Statement'!J6-'Cash Flow Statement'!J8)/1000000</f>
        <v>-4.81495970672064</v>
      </c>
    </row>
    <row r="704" customFormat="false" ht="15" hidden="false" customHeight="false" outlineLevel="0" collapsed="false">
      <c r="A704" s="468" t="s">
        <v>1388</v>
      </c>
      <c r="B704" s="470" t="n">
        <f aca="false">'Cash Flow Statement'!C19/1000000</f>
        <v>-3.9570112</v>
      </c>
      <c r="C704" s="470" t="n">
        <f aca="false">'Cash Flow Statement'!D19/1000000</f>
        <v>0.69714375</v>
      </c>
      <c r="D704" s="470" t="n">
        <f aca="false">'Cash Flow Statement'!E19/1000000</f>
        <v>6.2824692155</v>
      </c>
      <c r="E704" s="470" t="n">
        <f aca="false">'Cash Flow Statement'!F19/1000000</f>
        <v>7.73684794855561</v>
      </c>
      <c r="F704" s="470" t="n">
        <f aca="false">'Cash Flow Statement'!G19/1000000</f>
        <v>7.81749551955852</v>
      </c>
      <c r="G704" s="470" t="n">
        <f aca="false">'Cash Flow Statement'!H19/1000000</f>
        <v>6.94875205176094</v>
      </c>
      <c r="H704" s="470" t="n">
        <f aca="false">'Cash Flow Statement'!I19/1000000</f>
        <v>15.4161577680569</v>
      </c>
      <c r="I704" s="470" t="n">
        <f aca="false">'Cash Flow Statement'!J19/1000000</f>
        <v>23.8188187388826</v>
      </c>
    </row>
    <row r="705" customFormat="false" ht="15" hidden="false" customHeight="false" outlineLevel="0" collapsed="false">
      <c r="A705" s="468" t="s">
        <v>1531</v>
      </c>
      <c r="B705" s="470" t="n">
        <f aca="false">'Cash Flow Statement'!C24/1000000</f>
        <v>-5.009</v>
      </c>
      <c r="C705" s="470" t="n">
        <f aca="false">'Cash Flow Statement'!D24/1000000</f>
        <v>-6.3056</v>
      </c>
      <c r="D705" s="470" t="n">
        <f aca="false">'Cash Flow Statement'!E24/1000000</f>
        <v>-5.08452</v>
      </c>
      <c r="E705" s="470" t="n">
        <f aca="false">'Cash Flow Statement'!F24/1000000</f>
        <v>-12.734763397992</v>
      </c>
      <c r="F705" s="470" t="n">
        <f aca="false">'Cash Flow Statement'!G24/1000000</f>
        <v>-51.8314030539191</v>
      </c>
      <c r="G705" s="470" t="n">
        <f aca="false">'Cash Flow Statement'!H24/1000000</f>
        <v>-13.2481997903225</v>
      </c>
      <c r="H705" s="470" t="n">
        <f aca="false">'Cash Flow Statement'!I24/1000000</f>
        <v>-14.1604332588451</v>
      </c>
      <c r="I705" s="470" t="n">
        <f aca="false">'Cash Flow Statement'!J24/1000000</f>
        <v>-17.0317748046407</v>
      </c>
    </row>
    <row r="706" customFormat="false" ht="15" hidden="false" customHeight="false" outlineLevel="0" collapsed="false">
      <c r="A706" s="468" t="s">
        <v>1389</v>
      </c>
      <c r="B706" s="470" t="n">
        <f aca="false">'Cash Flow Statement'!C27/1000000</f>
        <v>8.1</v>
      </c>
      <c r="C706" s="470" t="n">
        <f aca="false">'Cash Flow Statement'!D27/1000000</f>
        <v>7</v>
      </c>
      <c r="D706" s="470" t="n">
        <f aca="false">'Cash Flow Statement'!E27/1000000</f>
        <v>0</v>
      </c>
      <c r="E706" s="470" t="n">
        <f aca="false">'Cash Flow Statement'!F27/1000000</f>
        <v>37.6107630979458</v>
      </c>
      <c r="F706" s="470" t="n">
        <f aca="false">'Cash Flow Statement'!G27/1000000</f>
        <v>0</v>
      </c>
      <c r="G706" s="470" t="n">
        <f aca="false">'Cash Flow Statement'!H27/1000000</f>
        <v>0</v>
      </c>
      <c r="H706" s="470" t="n">
        <f aca="false">'Cash Flow Statement'!I27/1000000</f>
        <v>0</v>
      </c>
      <c r="I706" s="470" t="n">
        <f aca="false">'Cash Flow Statement'!J27/1000000</f>
        <v>0</v>
      </c>
    </row>
    <row r="707" customFormat="false" ht="15" hidden="false" customHeight="false" outlineLevel="0" collapsed="false">
      <c r="A707" s="468" t="s">
        <v>190</v>
      </c>
      <c r="B707" s="470" t="n">
        <f aca="false">'Cash Flow Statement'!C28/1000000</f>
        <v>0</v>
      </c>
      <c r="C707" s="470" t="n">
        <f aca="false">'Cash Flow Statement'!D28/1000000</f>
        <v>0.3</v>
      </c>
      <c r="D707" s="470" t="n">
        <f aca="false">'Cash Flow Statement'!E28/1000000</f>
        <v>0</v>
      </c>
      <c r="E707" s="470" t="n">
        <f aca="false">'Cash Flow Statement'!F28/1000000</f>
        <v>0</v>
      </c>
      <c r="F707" s="470" t="n">
        <f aca="false">'Cash Flow Statement'!G28/1000000</f>
        <v>31.0988418323515</v>
      </c>
      <c r="G707" s="470" t="n">
        <f aca="false">'Cash Flow Statement'!H28/1000000</f>
        <v>0</v>
      </c>
      <c r="H707" s="470" t="n">
        <f aca="false">'Cash Flow Statement'!I28/1000000</f>
        <v>-6.21976836647029</v>
      </c>
      <c r="I707" s="470" t="n">
        <f aca="false">'Cash Flow Statement'!J28/1000000</f>
        <v>-6.21976836647029</v>
      </c>
    </row>
    <row r="708" customFormat="false" ht="15" hidden="false" customHeight="false" outlineLevel="0" collapsed="false">
      <c r="A708" s="468" t="s">
        <v>1532</v>
      </c>
      <c r="B708" s="470" t="n">
        <f aca="false">'Cash Flow Statement'!C30/1000000</f>
        <v>8.1</v>
      </c>
      <c r="C708" s="470" t="n">
        <f aca="false">'Cash Flow Statement'!D30/1000000</f>
        <v>7.3</v>
      </c>
      <c r="D708" s="470" t="n">
        <f aca="false">'Cash Flow Statement'!E30/1000000</f>
        <v>0</v>
      </c>
      <c r="E708" s="470" t="n">
        <f aca="false">'Cash Flow Statement'!F30/1000000</f>
        <v>37.6107630979458</v>
      </c>
      <c r="F708" s="470" t="n">
        <f aca="false">'Cash Flow Statement'!G30/1000000</f>
        <v>31.0988418323515</v>
      </c>
      <c r="G708" s="470" t="n">
        <f aca="false">'Cash Flow Statement'!H30/1000000</f>
        <v>0</v>
      </c>
      <c r="H708" s="470" t="n">
        <f aca="false">'Cash Flow Statement'!I30/1000000</f>
        <v>-6.21976836647029</v>
      </c>
      <c r="I708" s="470" t="n">
        <f aca="false">'Cash Flow Statement'!J30/1000000</f>
        <v>-6.21976836647029</v>
      </c>
    </row>
    <row r="709" customFormat="false" ht="15" hidden="false" customHeight="false" outlineLevel="0" collapsed="false">
      <c r="A709" s="468" t="s">
        <v>1533</v>
      </c>
      <c r="B709" s="470" t="n">
        <f aca="false">'Cash Flow Statement'!C36/1000000</f>
        <v>0.0439888000000008</v>
      </c>
      <c r="C709" s="470" t="n">
        <f aca="false">'Cash Flow Statement'!D36/1000000</f>
        <v>1.73553255</v>
      </c>
      <c r="D709" s="470" t="n">
        <f aca="false">'Cash Flow Statement'!E36/1000000</f>
        <v>2.93348176549999</v>
      </c>
      <c r="E709" s="470" t="n">
        <f aca="false">'Cash Flow Statement'!F36/1000000</f>
        <v>35.5463294140094</v>
      </c>
      <c r="F709" s="470" t="n">
        <f aca="false">'Cash Flow Statement'!G36/1000000</f>
        <v>22.6312637120003</v>
      </c>
      <c r="G709" s="470" t="n">
        <f aca="false">'Cash Flow Statement'!H36/1000000</f>
        <v>16.3318159734387</v>
      </c>
      <c r="H709" s="470" t="n">
        <f aca="false">'Cash Flow Statement'!I36/1000000</f>
        <v>11.3677721161802</v>
      </c>
      <c r="I709" s="470" t="n">
        <f aca="false">'Cash Flow Statement'!J36/1000000</f>
        <v>11.9350476839518</v>
      </c>
    </row>
    <row r="710" customFormat="false" ht="15" hidden="false" customHeight="false" outlineLevel="0" collapsed="false">
      <c r="A710" s="468" t="s">
        <v>1534</v>
      </c>
      <c r="B710" s="472" t="n">
        <f aca="false">('Cash Flow Statement'!C19+'Cash Flow Statement'!C22)/1000000</f>
        <v>-8.9660112</v>
      </c>
      <c r="C710" s="472" t="n">
        <f aca="false">('Cash Flow Statement'!D19+'Cash Flow Statement'!D22)/1000000</f>
        <v>-5.60845625</v>
      </c>
      <c r="D710" s="472" t="n">
        <f aca="false">('Cash Flow Statement'!E19+'Cash Flow Statement'!E22)/1000000</f>
        <v>1.1979492155</v>
      </c>
      <c r="E710" s="472" t="n">
        <f aca="false">DCF!C10/1000000</f>
        <v>-4.86489964943638</v>
      </c>
      <c r="F710" s="472" t="n">
        <f aca="false">DCF!D10/1000000</f>
        <v>-42.6417458610666</v>
      </c>
      <c r="G710" s="472" t="n">
        <f aca="false">DCF!E10/1000000</f>
        <v>-3.68333239197344</v>
      </c>
      <c r="H710" s="472" t="n">
        <f aca="false">DCF!F10/1000000</f>
        <v>3.62304912114107</v>
      </c>
      <c r="I710" s="472" t="n">
        <f aca="false">DCF!G10/1000000</f>
        <v>8.65678707685355</v>
      </c>
    </row>
    <row r="711" customFormat="false" ht="15" hidden="false" customHeight="false" outlineLevel="0" collapsed="false">
      <c r="A711" s="222" t="s">
        <v>1535</v>
      </c>
    </row>
    <row r="713" customFormat="false" ht="15" hidden="false" customHeight="false" outlineLevel="0" collapsed="false">
      <c r="A713" s="469" t="s">
        <v>1536</v>
      </c>
    </row>
    <row r="714" customFormat="false" ht="53.7" hidden="false" customHeight="false" outlineLevel="0" collapsed="false">
      <c r="A714" s="467" t="s">
        <v>1335</v>
      </c>
      <c r="B714" s="467" t="s">
        <v>290</v>
      </c>
      <c r="C714" s="467" t="s">
        <v>291</v>
      </c>
      <c r="D714" s="467" t="s">
        <v>292</v>
      </c>
      <c r="E714" s="467" t="s">
        <v>293</v>
      </c>
      <c r="F714" s="467" t="s">
        <v>294</v>
      </c>
      <c r="G714" s="467" t="s">
        <v>1537</v>
      </c>
    </row>
    <row r="715" customFormat="false" ht="15" hidden="false" customHeight="false" outlineLevel="0" collapsed="false">
      <c r="A715" s="468" t="s">
        <v>1285</v>
      </c>
      <c r="B715" s="484" t="n">
        <f aca="false">Drivers!F13</f>
        <v>0.32</v>
      </c>
      <c r="C715" s="484" t="n">
        <f aca="false">Drivers!G13</f>
        <v>0.22</v>
      </c>
      <c r="D715" s="484" t="n">
        <f aca="false">Drivers!H13</f>
        <v>0.35</v>
      </c>
      <c r="E715" s="484" t="n">
        <f aca="false">Drivers!I13</f>
        <v>0.25</v>
      </c>
      <c r="F715" s="484" t="n">
        <f aca="false">Drivers!J13</f>
        <v>0.17</v>
      </c>
      <c r="G715" s="484" t="str">
        <f aca="false">Drivers!K13</f>
        <v>Lý do: sản lượng bị giới hạn bởi công suất: 2026 +32% nhờ máy ép bổ sung (CAPEX 20% DT); 2027 +22% do nhà máy mới đang xây; 2028 +35% khi 2 nhà máy mới chạy; giảm dần về +17% năm 2030. Lịch sử +60% (2024), +58% (2025). Đối chiếu: thị phần SAM tăng từ 4,3% lên ~11% năm 2030. Nguồn: BCTC 2023–2025 (đề bài); IMARC Group (2025); giả định của nhóm.</v>
      </c>
    </row>
    <row r="716" customFormat="false" ht="15" hidden="false" customHeight="false" outlineLevel="0" collapsed="false">
      <c r="A716" s="468" t="s">
        <v>1538</v>
      </c>
      <c r="B716" s="486" t="n">
        <f aca="false">Drivers!F10</f>
        <v>2.55</v>
      </c>
      <c r="C716" s="486" t="n">
        <f aca="false">Drivers!G10</f>
        <v>2.601</v>
      </c>
      <c r="D716" s="486" t="n">
        <f aca="false">Drivers!H10</f>
        <v>2.65302</v>
      </c>
      <c r="E716" s="486" t="n">
        <f aca="false">Drivers!I10</f>
        <v>2.7060804</v>
      </c>
      <c r="F716" s="486" t="n">
        <f aca="false">Drivers!J10</f>
        <v>2.760202008</v>
      </c>
      <c r="G716" s="486" t="str">
        <f aca="false">Drivers!K10</f>
        <v>Lý do: giá 2025 lấy cận dưới khung giá hộp/khay 2.500–4.000đ/cái của nhóm vì doanh thu gồm cả khay nhỏ và đơn hàng sỉ; cao hơn hộp bã mía 500 ml bán lẻ 1.900–2.700đ nhờ ép khuôn theo mẫu. Nguồn: bảng chiến lược giá (Mục 1.2.2; ecoeshop.com), bảng giá hộp 500 ml (Mục 1.1.1; QueenPack.com, baobixanh.com).</v>
      </c>
    </row>
    <row r="717" customFormat="false" ht="15" hidden="false" customHeight="false" outlineLevel="0" collapsed="false">
      <c r="A717" s="468" t="s">
        <v>1288</v>
      </c>
      <c r="B717" s="471" t="n">
        <f aca="false">Drivers!F11</f>
        <v>0.02</v>
      </c>
      <c r="C717" s="471" t="n">
        <f aca="false">Drivers!G11</f>
        <v>0.02</v>
      </c>
      <c r="D717" s="471" t="n">
        <f aca="false">Drivers!H11</f>
        <v>0.02</v>
      </c>
      <c r="E717" s="471" t="n">
        <f aca="false">Drivers!I11</f>
        <v>0.02</v>
      </c>
      <c r="F717" s="471" t="n">
        <f aca="false">Drivers!J11</f>
        <v>0.02</v>
      </c>
      <c r="G717" s="471" t="str">
        <f aca="false">Drivers!K11</f>
        <v>Lý do: Base +2%/năm, thấp hơn CPI 8T/2026 (+4,45%) vì khách hàng B2B có sức mạnh đàm phán rất cao và bao bì nhựa rẻ hơn nhiều lần (Mục 3.1.2, 3.2.3); Bear +1%, Bull +2,5%. Nguồn: Cục Thống kê (2026); phân tích ngành của nhóm.</v>
      </c>
    </row>
    <row r="718" customFormat="false" ht="15" hidden="false" customHeight="false" outlineLevel="0" collapsed="false">
      <c r="A718" s="468" t="s">
        <v>319</v>
      </c>
      <c r="B718" s="484" t="n">
        <f aca="false">Drivers!F20</f>
        <v>0.22</v>
      </c>
      <c r="C718" s="484" t="n">
        <f aca="false">Drivers!G20</f>
        <v>0.18</v>
      </c>
      <c r="D718" s="484" t="n">
        <f aca="false">Drivers!H20</f>
        <v>0.28</v>
      </c>
      <c r="E718" s="484" t="n">
        <f aca="false">Drivers!I20</f>
        <v>0.2</v>
      </c>
      <c r="F718" s="484" t="n">
        <f aca="false">Drivers!J20</f>
        <v>0.15</v>
      </c>
      <c r="G718" s="484" t="str">
        <f aca="false">Drivers!K20</f>
        <v>Lý do: số bộ khuôn gắn với số SKU/khách hàng mới; tăng nhanh năm 2028 khi mở thị trường miền Bắc, sau đó chậm dần. Lịch sử +40% (2024), +39,5% (2025). Nguồn: BCTC 2023–2025; giả định của nhóm.</v>
      </c>
    </row>
    <row r="719" customFormat="false" ht="15" hidden="false" customHeight="false" outlineLevel="0" collapsed="false">
      <c r="A719" s="468" t="s">
        <v>1539</v>
      </c>
      <c r="B719" s="481" t="n">
        <f aca="false">Drivers!F17</f>
        <v>20400</v>
      </c>
      <c r="C719" s="481" t="n">
        <f aca="false">Drivers!G17</f>
        <v>20808</v>
      </c>
      <c r="D719" s="481" t="n">
        <f aca="false">Drivers!H17</f>
        <v>21224.16</v>
      </c>
      <c r="E719" s="481" t="n">
        <f aca="false">Drivers!I17</f>
        <v>21648.6432</v>
      </c>
      <c r="F719" s="481" t="n">
        <f aca="false">Drivers!J17</f>
        <v>22081.616064</v>
      </c>
      <c r="G719" s="481" t="str">
        <f aca="false">Drivers!K17</f>
        <v>Lý do: ~20 triệu đồng/bộ khuôn, bằng giá tham chiếu khuôn ép bã mía/tre. Nguồn: bảng chiến lược giá (Mục 1.2.2; HTAECO.com).</v>
      </c>
    </row>
    <row r="720" customFormat="false" ht="15" hidden="false" customHeight="false" outlineLevel="0" collapsed="false">
      <c r="A720" s="468" t="s">
        <v>480</v>
      </c>
      <c r="B720" s="484" t="n">
        <f aca="false">Drivers!F27</f>
        <v>0.3</v>
      </c>
      <c r="C720" s="484" t="n">
        <f aca="false">Drivers!G27</f>
        <v>0.3</v>
      </c>
      <c r="D720" s="484" t="n">
        <f aca="false">Drivers!H27</f>
        <v>0.4</v>
      </c>
      <c r="E720" s="484" t="n">
        <f aca="false">Drivers!I27</f>
        <v>0.32</v>
      </c>
      <c r="F720" s="484" t="n">
        <f aca="false">Drivers!J27</f>
        <v>0.25</v>
      </c>
      <c r="G720" s="484" t="str">
        <f aca="false">Drivers!K27</f>
        <v>Lý do: bám theo tăng trưởng TMĐT 18–25%/năm và khách hàng nội thất xuất khẩu; năm 2028 +40% nhờ công suất mới. Nguồn: Mục 3.2.2 (VECOM; Bộ Công Thương); BCTC 2023–2025.</v>
      </c>
    </row>
    <row r="721" customFormat="false" ht="15" hidden="false" customHeight="false" outlineLevel="0" collapsed="false">
      <c r="A721" s="468" t="s">
        <v>1540</v>
      </c>
      <c r="B721" s="490" t="n">
        <f aca="false">Drivers!F24</f>
        <v>22.8375</v>
      </c>
      <c r="C721" s="490" t="n">
        <f aca="false">Drivers!G24</f>
        <v>23.1800625</v>
      </c>
      <c r="D721" s="490" t="n">
        <f aca="false">Drivers!H24</f>
        <v>23.5277634375</v>
      </c>
      <c r="E721" s="490" t="n">
        <f aca="false">Drivers!I24</f>
        <v>23.8806798890625</v>
      </c>
      <c r="F721" s="490" t="n">
        <f aca="false">Drivers!J24</f>
        <v>24.2388900873984</v>
      </c>
      <c r="G721" s="490" t="str">
        <f aca="false">Drivers!K24</f>
        <v>Lý do: trung điểm khung 15.000–30.000đ/m² của vật liệu đệm định hình (PE foam) mà sản phẩm thay thế. Nguồn: báo giá PE foam định hình trên thị trường (2026); Mục 3.2.6.</v>
      </c>
    </row>
    <row r="722" customFormat="false" ht="15" hidden="false" customHeight="false" outlineLevel="0" collapsed="false">
      <c r="A722" s="468" t="s">
        <v>482</v>
      </c>
      <c r="B722" s="484" t="n">
        <f aca="false">Drivers!F34</f>
        <v>0.6</v>
      </c>
      <c r="C722" s="484" t="n">
        <f aca="false">Drivers!G34</f>
        <v>0.5</v>
      </c>
      <c r="D722" s="484" t="n">
        <f aca="false">Drivers!H34</f>
        <v>0.7</v>
      </c>
      <c r="E722" s="484" t="n">
        <f aca="false">Drivers!I34</f>
        <v>0.45</v>
      </c>
      <c r="F722" s="484" t="n">
        <f aca="false">Drivers!J34</f>
        <v>0.3</v>
      </c>
      <c r="G722" s="484" t="str">
        <f aca="false">Drivers!K34</f>
        <v>Lý do: nền nhỏ (1,2 tỷ đồng năm 2025); thay thế khay EPS/EPE cho khách hàng FDI điện tử khi chuỗi cung ứng xuất khẩu yêu cầu xanh hóa. Nguồn: Mục 3.2.2 (xuất khẩu 475 tỷ USD năm 2025, FDI chiếm 80%); BCTC 2024–2025.</v>
      </c>
    </row>
    <row r="723" customFormat="false" ht="15" hidden="false" customHeight="false" outlineLevel="0" collapsed="false">
      <c r="A723" s="468" t="s">
        <v>1541</v>
      </c>
      <c r="B723" s="490" t="n">
        <f aca="false">Drivers!F31</f>
        <v>40.6</v>
      </c>
      <c r="C723" s="490" t="n">
        <f aca="false">Drivers!G31</f>
        <v>41.209</v>
      </c>
      <c r="D723" s="490" t="n">
        <f aca="false">Drivers!H31</f>
        <v>41.827135</v>
      </c>
      <c r="E723" s="490" t="n">
        <f aca="false">Drivers!I31</f>
        <v>42.454542025</v>
      </c>
      <c r="F723" s="490" t="n">
        <f aca="false">Drivers!J31</f>
        <v>43.091360155375</v>
      </c>
      <c r="G723" s="490" t="str">
        <f aca="false">Drivers!K31</f>
        <v>Lý do: trung điểm khung 25.000–55.000đ/m² của khay EPE/EPE chống tĩnh điện mà sản phẩm thay thế. Nguồn: báo giá khay EPE trên thị trường (2026); Mục 3.2.6.</v>
      </c>
    </row>
    <row r="724" customFormat="false" ht="15" hidden="false" customHeight="false" outlineLevel="0" collapsed="false">
      <c r="A724" s="468" t="s">
        <v>1338</v>
      </c>
      <c r="B724" s="471" t="n">
        <f aca="false">Drivers!F25</f>
        <v>0.015</v>
      </c>
      <c r="C724" s="471" t="n">
        <f aca="false">Drivers!G25</f>
        <v>0.015</v>
      </c>
      <c r="D724" s="471" t="n">
        <f aca="false">Drivers!H25</f>
        <v>0.015</v>
      </c>
      <c r="E724" s="471" t="n">
        <f aca="false">Drivers!I25</f>
        <v>0.015</v>
      </c>
      <c r="F724" s="471" t="n">
        <f aca="false">Drivers!J25</f>
        <v>0.015</v>
      </c>
      <c r="G724" s="471" t="str">
        <f aca="false">Drivers!K25</f>
        <v>Lý do: đệm bảo vệ cạnh tranh trực tiếp với EPE/PE foam giá rẻ (áp lực thay thế cao, Mục 3.2.6) nên chỉ tăng 1,5%/năm (Base); Bear 0,5%, Bull 2%. Nguồn: phân tích ngành của nhóm.</v>
      </c>
    </row>
    <row r="725" customFormat="false" ht="15" hidden="false" customHeight="false" outlineLevel="0" collapsed="false">
      <c r="A725" s="468" t="s">
        <v>337</v>
      </c>
      <c r="B725" s="493" t="n">
        <f aca="false">Drivers!F38</f>
        <v>0.007</v>
      </c>
      <c r="C725" s="493" t="n">
        <f aca="false">Drivers!G38</f>
        <v>0.007</v>
      </c>
      <c r="D725" s="493" t="n">
        <f aca="false">Drivers!H38</f>
        <v>0.007</v>
      </c>
      <c r="E725" s="493" t="n">
        <f aca="false">Drivers!I38</f>
        <v>0.007</v>
      </c>
      <c r="F725" s="493" t="n">
        <f aca="false">Drivers!J38</f>
        <v>0.007</v>
      </c>
      <c r="G725" s="493" t="str">
        <f aca="false">Drivers!K38</f>
        <v>Lý do: giữ mức 2025 (0,70% doanh thu gộp), xu hướng giảm từ 0,80% (2023). Nguồn: BCTC 2023–2025 (đề bài).</v>
      </c>
    </row>
    <row r="726" customFormat="false" ht="15" hidden="false" customHeight="false" outlineLevel="0" collapsed="false">
      <c r="A726" s="468" t="s">
        <v>1290</v>
      </c>
      <c r="B726" s="471" t="n">
        <f aca="false">Drivers!F54</f>
        <v>0.25</v>
      </c>
      <c r="C726" s="471" t="n">
        <f aca="false">Drivers!G54</f>
        <v>0.255</v>
      </c>
      <c r="D726" s="471" t="n">
        <f aca="false">Drivers!H54</f>
        <v>0.27</v>
      </c>
      <c r="E726" s="471" t="n">
        <f aca="false">Drivers!I54</f>
        <v>0.265</v>
      </c>
      <c r="F726" s="471" t="n">
        <f aca="false">Drivers!J54</f>
        <v>0.27</v>
      </c>
      <c r="G726" s="471" t="str">
        <f aca="false">Drivers!K54</f>
        <v>Lý do: 25,5% → 25,0% → 24,5% (2023–25). Tăng lên 25,0–27,0% vì lạm phát tác động chủ yếu vào chi phí thu gom, vận chuyển, sấy và năng lượng (Mục 3.1.2), bã mía bị cạnh tranh bởi lò hơi nhà máy đường và các nhà sản xuất bao bì sợi trước mốc dừng nhựa dùng một lần 2030; năm đầu chạy nhà máy mới hao hụt cao. Nguồn: BCTC 2023–2025; Cục Thống kê (CPI 8T/2026 +4,45%, nhóm nhà ở-điện-nước +6,71%).</v>
      </c>
    </row>
    <row r="727" customFormat="false" ht="15" hidden="false" customHeight="false" outlineLevel="0" collapsed="false">
      <c r="A727" s="468" t="s">
        <v>1542</v>
      </c>
      <c r="B727" s="484" t="n">
        <f aca="false">Drivers!F57</f>
        <v>0.1</v>
      </c>
      <c r="C727" s="484" t="n">
        <f aca="false">Drivers!G57</f>
        <v>0.1</v>
      </c>
      <c r="D727" s="484" t="n">
        <f aca="false">Drivers!H57</f>
        <v>0.1</v>
      </c>
      <c r="E727" s="484" t="n">
        <f aca="false">Drivers!I57</f>
        <v>0.1</v>
      </c>
      <c r="F727" s="484" t="n">
        <f aca="false">Drivers!J57</f>
        <v>0.1</v>
      </c>
      <c r="G727" s="484" t="str">
        <f aca="false">Drivers!K57</f>
        <v>Lý do: giữ mức tăng 10%/năm như 2024–2025. Nguồn: BCTC 2023–2025 (đề bài).</v>
      </c>
    </row>
    <row r="728" customFormat="false" ht="15" hidden="false" customHeight="false" outlineLevel="0" collapsed="false">
      <c r="A728" s="468" t="s">
        <v>1543</v>
      </c>
      <c r="B728" s="490" t="n">
        <f aca="false">Drivers!F58/1000000</f>
        <v>0</v>
      </c>
      <c r="C728" s="490" t="n">
        <f aca="false">Drivers!G58/1000000</f>
        <v>0</v>
      </c>
      <c r="D728" s="490" t="n">
        <f aca="false">Drivers!H58/1000000</f>
        <v>0.9</v>
      </c>
      <c r="E728" s="490" t="n">
        <f aca="false">Drivers!I58/1000000</f>
        <v>0</v>
      </c>
      <c r="F728" s="490" t="n">
        <f aca="false">Drivers!J58/1000000</f>
        <v>0</v>
      </c>
      <c r="G728" s="490" t="str">
        <f aca="false">Drivers!K58</f>
        <v>Lý do: bước nhảy chi phí cố định (phòng QC, bảo trì, quản đốc) 0,9 tỷ đồng/năm khi 2 nhà máy mới vận hành. Nguồn: giả định của nhóm.</v>
      </c>
    </row>
    <row r="729" customFormat="false" ht="15" hidden="false" customHeight="false" outlineLevel="0" collapsed="false">
      <c r="A729" s="468" t="s">
        <v>1294</v>
      </c>
      <c r="B729" s="471" t="n">
        <f aca="false">Drivers!F61</f>
        <v>0.225</v>
      </c>
      <c r="C729" s="471" t="n">
        <f aca="false">Drivers!G61</f>
        <v>0.23</v>
      </c>
      <c r="D729" s="471" t="n">
        <f aca="false">Drivers!H61</f>
        <v>0.235</v>
      </c>
      <c r="E729" s="471" t="n">
        <f aca="false">Drivers!I61</f>
        <v>0.23</v>
      </c>
      <c r="F729" s="471" t="n">
        <f aca="false">Drivers!J61</f>
        <v>0.225</v>
      </c>
      <c r="G729" s="471" t="str">
        <f aca="false">Drivers!K61</f>
        <v>Lý do: 36,0% → 24,9% → 22,6% (2023–25). Giảm chậm lại (22,5–23,5%) vì lương tối thiểu vùng tăng 7,2% từ 01/01/2026 và nhà máy mới phải tuyển trước khi đạt công suất. Nguồn: BCTC 2023–2025; Nghị định 293/2025/NĐ-CP.</v>
      </c>
    </row>
    <row r="730" customFormat="false" ht="15" hidden="false" customHeight="false" outlineLevel="0" collapsed="false">
      <c r="A730" s="468" t="s">
        <v>1544</v>
      </c>
      <c r="B730" s="484" t="n">
        <f aca="false">Drivers!$C$167</f>
        <v>0.7</v>
      </c>
      <c r="C730" s="484" t="n">
        <f aca="false">Drivers!$C$167</f>
        <v>0.7</v>
      </c>
      <c r="D730" s="484" t="n">
        <f aca="false">Drivers!$C$167</f>
        <v>0.7</v>
      </c>
      <c r="E730" s="484" t="n">
        <f aca="false">Drivers!$C$167</f>
        <v>0.7</v>
      </c>
      <c r="F730" s="484" t="n">
        <f aca="false">Drivers!$C$167</f>
        <v>0.7</v>
      </c>
      <c r="G730" s="484" t="str">
        <f aca="false">Drivers!K167</f>
        <v>Lý do: 70% quỹ lương là lao động trực tiếp và quản lý phân xưởng (công nhân ép, sấy, QC, quản đốc) → giá vốn; 30% là bán hàng và quản lý DN → CPBH &amp; QLDN. Nguồn: giả định phân bổ của nhóm theo đặc thù DN sản xuất (BCTC gốc hạch toán tiền lương ngoài giá vốn).</v>
      </c>
    </row>
    <row r="731" customFormat="false" ht="15" hidden="false" customHeight="false" outlineLevel="0" collapsed="false">
      <c r="A731" s="468" t="s">
        <v>1545</v>
      </c>
      <c r="B731" s="484" t="n">
        <f aca="false">Drivers!$C$168</f>
        <v>0.9</v>
      </c>
      <c r="C731" s="484" t="n">
        <f aca="false">Drivers!$C$168</f>
        <v>0.9</v>
      </c>
      <c r="D731" s="484" t="n">
        <f aca="false">Drivers!$C$168</f>
        <v>0.9</v>
      </c>
      <c r="E731" s="484" t="n">
        <f aca="false">Drivers!$C$168</f>
        <v>0.9</v>
      </c>
      <c r="F731" s="484" t="n">
        <f aca="false">Drivers!$C$168</f>
        <v>0.9</v>
      </c>
      <c r="G731" s="484" t="str">
        <f aca="false">Drivers!K168</f>
        <v>Lý do: ~90% nguyên giá TSCĐ là máy ép khuôn, hệ thống sấy, nhà xưởng, kho nguyên liệu → giá vốn; ~10% là văn phòng, xe giao hàng, thiết bị quản lý → CPBH &amp; QLDN. Nguồn: giả định phân bổ của nhóm theo cơ cấu tài sản (Mục 2: TS dài hạn là nhà máy, dây chuyền ép, xe, kho).</v>
      </c>
    </row>
    <row r="732" customFormat="false" ht="15" hidden="false" customHeight="false" outlineLevel="0" collapsed="false">
      <c r="A732" s="468" t="s">
        <v>371</v>
      </c>
      <c r="B732" s="471" t="n">
        <f aca="false">Drivers!F63</f>
        <v>0.28</v>
      </c>
      <c r="C732" s="471" t="n">
        <f aca="false">Drivers!G63</f>
        <v>0.28</v>
      </c>
      <c r="D732" s="471" t="n">
        <f aca="false">Drivers!H63</f>
        <v>0.28</v>
      </c>
      <c r="E732" s="471" t="n">
        <f aca="false">Drivers!I63</f>
        <v>0.28</v>
      </c>
      <c r="F732" s="471" t="n">
        <f aca="false">Drivers!J63</f>
        <v>0.28</v>
      </c>
      <c r="G732" s="471" t="str">
        <f aca="false">Drivers!K63</f>
        <v>Lý do: giữ ~mức 2025 (28,8% quỹ lương). Nguồn: BCTC 2023–2025.</v>
      </c>
    </row>
    <row r="733" customFormat="false" ht="15" hidden="false" customHeight="false" outlineLevel="0" collapsed="false">
      <c r="A733" s="468" t="s">
        <v>1546</v>
      </c>
      <c r="B733" s="484" t="n">
        <f aca="false">Drivers!F65</f>
        <v>0.12</v>
      </c>
      <c r="C733" s="484" t="n">
        <f aca="false">Drivers!G65</f>
        <v>0.15</v>
      </c>
      <c r="D733" s="484" t="n">
        <f aca="false">Drivers!H65</f>
        <v>0.3</v>
      </c>
      <c r="E733" s="484" t="n">
        <f aca="false">Drivers!I65</f>
        <v>0.12</v>
      </c>
      <c r="F733" s="484" t="n">
        <f aca="false">Drivers!J65</f>
        <v>0.12</v>
      </c>
      <c r="G733" s="484" t="str">
        <f aca="false">Drivers!K65</f>
        <v>Lý do: tiền thuê tăng 35%, 41% (2024–25) khi thuê thêm kho, xưởng. Sau đó tăng chậm (12%/năm) vì nhà máy mới là tài sản tự đầu tư; năm sau đầu tư lớn +30% do thuê kho vệ tinh gần khách hàng. Nguồn: BCTC 2023–2025; giả định của nhóm.</v>
      </c>
    </row>
    <row r="734" customFormat="false" ht="15" hidden="false" customHeight="false" outlineLevel="0" collapsed="false">
      <c r="A734" s="468" t="s">
        <v>1547</v>
      </c>
      <c r="B734" s="471" t="n">
        <f aca="false">Drivers!F67</f>
        <v>0.044</v>
      </c>
      <c r="C734" s="471" t="n">
        <f aca="false">Drivers!G67</f>
        <v>0.044</v>
      </c>
      <c r="D734" s="471" t="n">
        <f aca="false">Drivers!H67</f>
        <v>0.044</v>
      </c>
      <c r="E734" s="471" t="n">
        <f aca="false">Drivers!I67</f>
        <v>0.044</v>
      </c>
      <c r="F734" s="471" t="n">
        <f aca="false">Drivers!J67</f>
        <v>0.044</v>
      </c>
      <c r="G734" s="471" t="str">
        <f aca="false">Drivers!K67</f>
        <v>Lý do: giữ ~mức 2025 (4,4% DT; 2023–24: 4,9%, 5,2%). Nguồn: BCTC 2023–2025.</v>
      </c>
    </row>
    <row r="735" customFormat="false" ht="15" hidden="false" customHeight="false" outlineLevel="0" collapsed="false">
      <c r="A735" s="468" t="s">
        <v>1292</v>
      </c>
      <c r="B735" s="471" t="n">
        <f aca="false">Drivers!F69</f>
        <v>0.05</v>
      </c>
      <c r="C735" s="471" t="n">
        <f aca="false">Drivers!G69</f>
        <v>0.05</v>
      </c>
      <c r="D735" s="471" t="n">
        <f aca="false">Drivers!H69</f>
        <v>0.05</v>
      </c>
      <c r="E735" s="471" t="n">
        <f aca="false">Drivers!I69</f>
        <v>0.05</v>
      </c>
      <c r="F735" s="471" t="n">
        <f aca="false">Drivers!J69</f>
        <v>0.05</v>
      </c>
      <c r="G735" s="471" t="str">
        <f aca="false">Drivers!K69</f>
        <v>Lý do: 6,2% → 5,8% → 4,7% (2023–25). Nâng lên 5,0% vì sấy, ép nhiệt tốn điện và giá bán lẻ điện bình quân tăng 4,8% ngày 11/10/2024 và 4,8% ngày 10/5/2025 (2.204,07 đ/kWh). Nguồn: BCTC 2023–2025; Quyết định 1279/QĐ-BCT (2025); Mục 3.1.2.</v>
      </c>
    </row>
    <row r="736" customFormat="false" ht="15" hidden="false" customHeight="false" outlineLevel="0" collapsed="false">
      <c r="A736" s="468" t="s">
        <v>1548</v>
      </c>
      <c r="B736" s="471" t="n">
        <f aca="false">Drivers!F71</f>
        <v>0.028</v>
      </c>
      <c r="C736" s="471" t="n">
        <f aca="false">Drivers!G71</f>
        <v>0.03</v>
      </c>
      <c r="D736" s="471" t="n">
        <f aca="false">Drivers!H71</f>
        <v>0.03</v>
      </c>
      <c r="E736" s="471" t="n">
        <f aca="false">Drivers!I71</f>
        <v>0.03</v>
      </c>
      <c r="F736" s="471" t="n">
        <f aca="false">Drivers!J71</f>
        <v>0.028</v>
      </c>
      <c r="G736" s="471" t="str">
        <f aca="false">Drivers!K71</f>
        <v>Lý do: 4,7% → 3,1% → 2,4% (2023–25). Tăng lại 2,8–3,0% khi mở rộng ra miền Bắc và khách hàng FDI (hội chợ, mẫu thử). Nguồn: BCTC 2023–2025; Mục 1.2.1.</v>
      </c>
    </row>
    <row r="737" customFormat="false" ht="15" hidden="false" customHeight="false" outlineLevel="0" collapsed="false">
      <c r="A737" s="468" t="s">
        <v>1549</v>
      </c>
      <c r="B737" s="471" t="n">
        <f aca="false">Drivers!F73</f>
        <v>0.006</v>
      </c>
      <c r="C737" s="471" t="n">
        <f aca="false">Drivers!G73</f>
        <v>0.006</v>
      </c>
      <c r="D737" s="471" t="n">
        <f aca="false">Drivers!H73</f>
        <v>0.006</v>
      </c>
      <c r="E737" s="471" t="n">
        <f aca="false">Drivers!I73</f>
        <v>0.006</v>
      </c>
      <c r="F737" s="471" t="n">
        <f aca="false">Drivers!J73</f>
        <v>0.006</v>
      </c>
      <c r="G737" s="471" t="str">
        <f aca="false">Drivers!K73</f>
        <v>Lý do: dòng chi phí mới 0,6% DT cho kiểm nghiệm bao bì tiếp xúc trực tiếp với thực phẩm, chứng nhận phân hủy (BPI, OK compost) và R&amp;D lớp chống thấm không PFAS. Nguồn: Thông tư 27/2026/TT-BYT (hiệu lực 01/7/2026); Mục 3.1.6.1, 3.2.5.</v>
      </c>
    </row>
    <row r="738" customFormat="false" ht="15" hidden="false" customHeight="false" outlineLevel="0" collapsed="false">
      <c r="A738" s="468" t="s">
        <v>1074</v>
      </c>
      <c r="B738" s="484" t="n">
        <f aca="false">Drivers!F93</f>
        <v>0.2</v>
      </c>
      <c r="C738" s="484" t="n">
        <f aca="false">Drivers!G93</f>
        <v>0.65</v>
      </c>
      <c r="D738" s="484" t="n">
        <f aca="false">Drivers!H93</f>
        <v>0.12</v>
      </c>
      <c r="E738" s="484" t="n">
        <f aca="false">Drivers!I93</f>
        <v>0.1</v>
      </c>
      <c r="F738" s="484" t="n">
        <f aca="false">Drivers!J93</f>
        <v>0.1</v>
      </c>
      <c r="G738" s="484" t="str">
        <f aca="false">Drivers!K93</f>
        <v>Lý do: tỷ lệ tái đầu tư = CAPEX/DT từng năm: 2026 20%, 2027 65% (đầu tư lớn theo đề bài), 2028 12% (hoàn thiện, chạy thử), 2029–30 10%. Ngành: trung vị CAPEX/DT của 16 DN bao bì niêm yết 2023–25 là 3,1%, tứ phân vị trên 8,3%, DN đang mở rộng 13–30% (Fig. A10); AgriPack cao hơn vì còn tăng trưởng 17–35%/năm và khấu hao chiếm 9–10% DT. Nguồn: đề bài (Mục III.2); FiinX (2026); BCTC 2023–2025.</v>
      </c>
    </row>
    <row r="739" customFormat="false" ht="15" hidden="false" customHeight="false" outlineLevel="0" collapsed="false">
      <c r="A739" s="468" t="s">
        <v>408</v>
      </c>
      <c r="B739" s="484" t="n">
        <f aca="false">Drivers!F97</f>
        <v>0.12</v>
      </c>
      <c r="C739" s="484" t="n">
        <f aca="false">Drivers!G97</f>
        <v>0.12</v>
      </c>
      <c r="D739" s="484" t="n">
        <f aca="false">Drivers!H97</f>
        <v>0.12</v>
      </c>
      <c r="E739" s="484" t="n">
        <f aca="false">Drivers!I97</f>
        <v>0.12</v>
      </c>
      <c r="F739" s="484" t="n">
        <f aca="false">Drivers!J97</f>
        <v>0.12</v>
      </c>
      <c r="G739" s="484" t="str">
        <f aca="false">Drivers!K97</f>
        <v>Lý do: 12% nguyên giá đầu kỳ, khớp số liệu 2024–2025. Nguồn: file Excel mẫu (Assumption!D17); BCTC 2024–2025.</v>
      </c>
    </row>
    <row r="740" customFormat="false" ht="15" hidden="false" customHeight="false" outlineLevel="0" collapsed="false">
      <c r="A740" s="468" t="s">
        <v>1550</v>
      </c>
      <c r="B740" s="495" t="n">
        <f aca="false">Drivers!F104</f>
        <v>100</v>
      </c>
      <c r="C740" s="495" t="n">
        <f aca="false">Drivers!G104</f>
        <v>100</v>
      </c>
      <c r="D740" s="495" t="n">
        <f aca="false">Drivers!H104</f>
        <v>105</v>
      </c>
      <c r="E740" s="495" t="n">
        <f aca="false">Drivers!I104</f>
        <v>100</v>
      </c>
      <c r="F740" s="495" t="n">
        <f aca="false">Drivers!J104</f>
        <v>95</v>
      </c>
      <c r="G740" s="495" t="str">
        <f aca="false">Drivers!K104</f>
        <v>Lý do: 152 → 123 → 106 ngày (2023–25), cao do tích trữ bã mía theo vụ ép (khoảng tháng 11–4). Giữ ~100 ngày; 2028 tăng lên 105 ngày để tích trữ cho 2 nhà máy mới. Nguồn: BCTC 2023–2025; lịch vụ ép mía.</v>
      </c>
    </row>
    <row r="741" customFormat="false" ht="15" hidden="false" customHeight="false" outlineLevel="0" collapsed="false">
      <c r="A741" s="468" t="s">
        <v>1551</v>
      </c>
      <c r="B741" s="495" t="n">
        <f aca="false">Drivers!F106</f>
        <v>18</v>
      </c>
      <c r="C741" s="495" t="n">
        <f aca="false">Drivers!G106</f>
        <v>22</v>
      </c>
      <c r="D741" s="495" t="n">
        <f aca="false">Drivers!H106</f>
        <v>26</v>
      </c>
      <c r="E741" s="495" t="n">
        <f aca="false">Drivers!I106</f>
        <v>30</v>
      </c>
      <c r="F741" s="495" t="n">
        <f aca="false">Drivers!J106</f>
        <v>30</v>
      </c>
      <c r="G741" s="495" t="str">
        <f aca="false">Drivers!K106</f>
        <v>Lý do: 24 → 18 → 14 ngày (2023–25), rất ngắn cho B2B vì nhiều khách F&amp;B nhỏ trả ngay. Khi phục vụ chuỗi F&amp;B, FMCG, FDI điện tử (điều khoản 30–45 ngày), DSO tăng dần lên 30 ngày. Nguồn: BCTC 2023–2025; Mục 3.2.7 (khách hàng B2B có sức mạnh cao).</v>
      </c>
    </row>
    <row r="742" customFormat="false" ht="15" hidden="false" customHeight="false" outlineLevel="0" collapsed="false">
      <c r="A742" s="468" t="s">
        <v>1552</v>
      </c>
      <c r="B742" s="495" t="n">
        <f aca="false">Drivers!F110</f>
        <v>10</v>
      </c>
      <c r="C742" s="495" t="n">
        <f aca="false">Drivers!G110</f>
        <v>12</v>
      </c>
      <c r="D742" s="495" t="n">
        <f aca="false">Drivers!H110</f>
        <v>15</v>
      </c>
      <c r="E742" s="495" t="n">
        <f aca="false">Drivers!I110</f>
        <v>15</v>
      </c>
      <c r="F742" s="495" t="n">
        <f aca="false">Drivers!J110</f>
        <v>15</v>
      </c>
      <c r="G742" s="495" t="str">
        <f aca="false">Drivers!K110</f>
        <v>Lý do: 9 → 8 → 7 ngày (2023–25). Quy mô lớn hơn giúp đàm phán kỳ hạn 15 ngày với nhà máy đường và đơn vị thu gom. Nguồn: BCTC 2023–2025.</v>
      </c>
    </row>
    <row r="743" customFormat="false" ht="15" hidden="false" customHeight="false" outlineLevel="0" collapsed="false">
      <c r="A743" s="468" t="s">
        <v>1553</v>
      </c>
      <c r="B743" s="471" t="n">
        <f aca="false">Drivers!F108</f>
        <v>0.04</v>
      </c>
      <c r="C743" s="471" t="n">
        <f aca="false">Drivers!G108</f>
        <v>0.04</v>
      </c>
      <c r="D743" s="471" t="n">
        <f aca="false">Drivers!H108</f>
        <v>0.04</v>
      </c>
      <c r="E743" s="471" t="n">
        <f aca="false">Drivers!I108</f>
        <v>0.04</v>
      </c>
      <c r="F743" s="471" t="n">
        <f aca="false">Drivers!J108</f>
        <v>0.04</v>
      </c>
      <c r="G743" s="471" t="str">
        <f aca="false">Drivers!K108</f>
        <v>Lý do: 6,3% → 5,5% → 4,4% (2023–25); giữ 4,0%. Nguồn: BCTC 2023–2025.</v>
      </c>
    </row>
    <row r="744" customFormat="false" ht="15" hidden="false" customHeight="false" outlineLevel="0" collapsed="false">
      <c r="A744" s="468" t="s">
        <v>1554</v>
      </c>
      <c r="B744" s="471" t="n">
        <f aca="false">Drivers!F112</f>
        <v>0.002</v>
      </c>
      <c r="C744" s="471" t="n">
        <f aca="false">Drivers!G112</f>
        <v>0.002</v>
      </c>
      <c r="D744" s="471" t="n">
        <f aca="false">Drivers!H112</f>
        <v>0.002</v>
      </c>
      <c r="E744" s="471" t="n">
        <f aca="false">Drivers!I112</f>
        <v>0.002</v>
      </c>
      <c r="F744" s="471" t="n">
        <f aca="false">Drivers!J112</f>
        <v>0.002</v>
      </c>
      <c r="G744" s="471" t="str">
        <f aca="false">Drivers!K112</f>
        <v>Lý do: giữ ~mức 2023–2025 (0,17–0,24% DT). Nguồn: BCTC 2023–2025.</v>
      </c>
    </row>
    <row r="745" customFormat="false" ht="15" hidden="false" customHeight="false" outlineLevel="0" collapsed="false">
      <c r="A745" s="468" t="s">
        <v>1555</v>
      </c>
      <c r="B745" s="484" t="n">
        <f aca="false">Drivers!F119</f>
        <v>0.05</v>
      </c>
      <c r="C745" s="484" t="n">
        <f aca="false">Drivers!G119</f>
        <v>0.05</v>
      </c>
      <c r="D745" s="484" t="n">
        <f aca="false">Drivers!H119</f>
        <v>0.05</v>
      </c>
      <c r="E745" s="484" t="n">
        <f aca="false">Drivers!I119</f>
        <v>0.05</v>
      </c>
      <c r="F745" s="484" t="n">
        <f aca="false">Drivers!J119</f>
        <v>0.05</v>
      </c>
      <c r="G745" s="484" t="str">
        <f aca="false">Drivers!K119</f>
        <v>Lý do: 5% DT ≈ 18 ngày chi phí tiền mặt, đệm cho vụ ép bã mía và kỳ thu tiền dài hơn. Nguồn: giả định của nhóm.</v>
      </c>
    </row>
    <row r="746" customFormat="false" ht="15" hidden="false" customHeight="false" outlineLevel="0" collapsed="false">
      <c r="A746" s="468" t="s">
        <v>1556</v>
      </c>
      <c r="B746" s="484" t="n">
        <f aca="false">Drivers!E123</f>
        <v>0.6</v>
      </c>
      <c r="C746" s="484" t="n">
        <f aca="false">Drivers!E123</f>
        <v>0.6</v>
      </c>
      <c r="D746" s="484" t="n">
        <f aca="false">Drivers!E123</f>
        <v>0.6</v>
      </c>
      <c r="E746" s="484" t="n">
        <f aca="false">Drivers!E123</f>
        <v>0.6</v>
      </c>
      <c r="F746" s="484" t="n">
        <f aca="false">Drivers!E123</f>
        <v>0.6</v>
      </c>
      <c r="G746" s="484" t="str">
        <f aca="false">Drivers!K123</f>
        <v>Lý do: 60% CAPEX nhà máy mới vay trung hạn có tài sản bảo đảm (nhà xưởng, máy); lãi suất cho vay 8,1–10,5% (Mục 3.1.3), có thể xin hỗ trợ lãi suất NATIF (Mục 3.1.5). Nguồn: NHNN (2026); NATIF (2026); giả định của nhóm.</v>
      </c>
    </row>
    <row r="747" customFormat="false" ht="15" hidden="false" customHeight="false" outlineLevel="0" collapsed="false">
      <c r="A747" s="468" t="s">
        <v>1557</v>
      </c>
      <c r="B747" s="471" t="n">
        <f aca="false">Drivers!F128</f>
        <v>0.1</v>
      </c>
      <c r="C747" s="471" t="n">
        <f aca="false">Drivers!G128</f>
        <v>0.1</v>
      </c>
      <c r="D747" s="471" t="n">
        <f aca="false">Drivers!H128</f>
        <v>0.1</v>
      </c>
      <c r="E747" s="471" t="n">
        <f aca="false">Drivers!I128</f>
        <v>0.1</v>
      </c>
      <c r="F747" s="471" t="n">
        <f aca="false">Drivers!J128</f>
        <v>0.1</v>
      </c>
      <c r="G747" s="471" t="str">
        <f aca="false">Drivers!K128</f>
        <v>Lý do: lãi suất cho vay VND 8,1–10,5%/năm (6/2026); DN nhỏ vay ở nửa trên khung → 10%. Nguồn: NHNN (2026), Mục 3.1.3.</v>
      </c>
    </row>
    <row r="748" customFormat="false" ht="15" hidden="false" customHeight="false" outlineLevel="0" collapsed="false">
      <c r="A748" s="468" t="s">
        <v>1302</v>
      </c>
      <c r="B748" s="484" t="n">
        <f aca="false">Drivers!F135</f>
        <v>0.17</v>
      </c>
      <c r="C748" s="484" t="n">
        <f aca="false">Drivers!G135</f>
        <v>0.2</v>
      </c>
      <c r="D748" s="484" t="n">
        <f aca="false">Drivers!H135</f>
        <v>0.2</v>
      </c>
      <c r="E748" s="484" t="n">
        <f aca="false">Drivers!I135</f>
        <v>0.2</v>
      </c>
      <c r="F748" s="484" t="n">
        <f aca="false">Drivers!J135</f>
        <v>0.2</v>
      </c>
      <c r="G748" s="484" t="str">
        <f aca="false">Drivers!K135</f>
        <v>Lý do: 17% nếu tổng DT năm trước ≤ 50 tỷ đồng (2026: DT 2025 = 47,5 tỷ), 20% từ 2027. Không giả định miễn, giảm thuế khởi nghiệp sáng tạo (NQ 198/2025/QH15) vì chưa chứng minh đủ điều kiện. Nguồn: Luật Thuế TNDN 67/2025/QH15; Mục 3.1.6.3.</v>
      </c>
    </row>
    <row r="749" customFormat="false" ht="15" hidden="false" customHeight="false" outlineLevel="0" collapsed="false">
      <c r="A749" s="468" t="s">
        <v>346</v>
      </c>
      <c r="B749" s="481" t="n">
        <f aca="false">Drivers!F46</f>
        <v>26300</v>
      </c>
      <c r="C749" s="481" t="n">
        <f aca="false">Drivers!G46</f>
        <v>26826</v>
      </c>
      <c r="D749" s="481" t="n">
        <f aca="false">Drivers!H46</f>
        <v>27362.52</v>
      </c>
      <c r="E749" s="481" t="n">
        <f aca="false">Drivers!I46</f>
        <v>27909.7704</v>
      </c>
      <c r="F749" s="481" t="n">
        <f aca="false">Drivers!J46</f>
        <v>28467.965808</v>
      </c>
      <c r="G749" s="481" t="str">
        <f aca="false">Drivers!K46</f>
        <v>Lý do: dùng để quy đổi doanh thu sang USD khi so với TAM/SAM của IMARC. 2025: 26.000; 2026: 26.300; sau đó VND mất giá 2%/năm. Nguồn: Vietcombank (tỷ giá bán ra); MBS Research dự báo 26.800–27.000 cuối 2026 (Mục 3.1.4).</v>
      </c>
    </row>
    <row r="750" customFormat="false" ht="15" hidden="false" customHeight="false" outlineLevel="0" collapsed="false">
      <c r="A750" s="222" t="s">
        <v>1558</v>
      </c>
    </row>
    <row r="752" customFormat="false" ht="15" hidden="false" customHeight="false" outlineLevel="0" collapsed="false">
      <c r="A752" s="469" t="s">
        <v>1559</v>
      </c>
    </row>
    <row r="753" customFormat="false" ht="43.25" hidden="false" customHeight="false" outlineLevel="0" collapsed="false">
      <c r="A753" s="467" t="s">
        <v>1560</v>
      </c>
      <c r="B753" s="467" t="s">
        <v>1208</v>
      </c>
      <c r="C753" s="467" t="s">
        <v>1561</v>
      </c>
    </row>
    <row r="754" customFormat="false" ht="15" hidden="false" customHeight="false" outlineLevel="0" collapsed="false">
      <c r="A754" s="468" t="s">
        <v>1308</v>
      </c>
      <c r="B754" s="493" t="n">
        <f aca="false">'Discount rate'!B13</f>
        <v>0.039207</v>
      </c>
      <c r="C754" s="493" t="str">
        <f aca="false">'Discount rate'!C13</f>
        <v>Lý do: bình quân lợi suất TPCP kỳ hạn 10 năm của 10 năm 2016–2025 (bảng A28:D40) để không đưa đỉnh/đáy chu kỳ lãi suất vào chi phí vốn dài hạn</v>
      </c>
    </row>
    <row r="755" customFormat="false" ht="15" hidden="false" customHeight="false" outlineLevel="0" collapsed="false">
      <c r="A755" s="468" t="s">
        <v>213</v>
      </c>
      <c r="B755" s="493" t="n">
        <f aca="false">'Discount rate'!B14</f>
        <v>0.0423</v>
      </c>
      <c r="C755" s="493" t="str">
        <f aca="false">'Discount rate'!C14</f>
        <v>Nguồn: Damodaran (01/2026) – ERP thị trường trưởng thành (Aaa) 4,23%; bản 07/2026: 4,20%.</v>
      </c>
    </row>
    <row r="756" customFormat="false" ht="15" hidden="false" customHeight="false" outlineLevel="0" collapsed="false">
      <c r="A756" s="468" t="s">
        <v>1398</v>
      </c>
      <c r="B756" s="493" t="n">
        <f aca="false">'Discount rate'!B16</f>
        <v>0.039</v>
      </c>
      <c r="C756" s="493" t="str">
        <f aca="false">'Discount rate'!C16</f>
        <v>ƯỚC TÍNH: Moody's Ba2 (triển vọng tích cực từ 5/2026); chênh lệch vỡ nợ Ba2 ~2,9% × hệ số biến động cổ phiếu/trái phiếu ~1,35 (phương pháp Damodaran). Nguồn: Moody's (2026); Damodaran (2026).</v>
      </c>
    </row>
    <row r="757" customFormat="false" ht="15" hidden="false" customHeight="false" outlineLevel="0" collapsed="false">
      <c r="A757" s="468" t="s">
        <v>1562</v>
      </c>
      <c r="B757" s="486" t="n">
        <f aca="false">'Discount rate'!B18</f>
        <v>0.78</v>
      </c>
      <c r="C757" s="486" t="str">
        <f aca="false">'Discount rate'!C18</f>
        <v>Nguồn: Damodaran (01/2026) – beta không đòn bẩy ngành Packaging &amp; Container 0,78 (hiệu chỉnh tiền mặt 0,81). Beta 2 năm của DN bao bì niêm yết VN thấp (~0,6) do thanh khoản mỏng nên không dùng.</v>
      </c>
    </row>
    <row r="758" customFormat="false" ht="15" hidden="false" customHeight="false" outlineLevel="0" collapsed="false">
      <c r="A758" s="468" t="s">
        <v>1408</v>
      </c>
      <c r="B758" s="486" t="n">
        <f aca="false">'Discount rate'!B22</f>
        <v>0.7</v>
      </c>
      <c r="C758" s="486" t="str">
        <f aca="false">'Discount rate'!C22</f>
        <v>Công thức: beta tổng = beta có đòn bẩy / ρ (B23 = B21/B22), trong đó ρ là hệ số tương quan giữa danh mục của nhà đầu tư VC và thị trường. ρ = 0,7 vì quỹ VC nắm 20–30 khoản đầu tư nên chỉ đa dạng hóa một phần. Nguồn: Damodaran (2009), Valuing Young, Start-up and Growth Companies.</v>
      </c>
    </row>
    <row r="759" customFormat="false" ht="15" hidden="false" customHeight="false" outlineLevel="0" collapsed="false">
      <c r="A759" s="468" t="s">
        <v>1563</v>
      </c>
      <c r="B759" s="471" t="n">
        <f aca="false">'Discount rate'!B15</f>
        <v>0.1</v>
      </c>
      <c r="C759" s="471" t="str">
        <f aca="false">'Discount rate'!C15</f>
        <v>Lý do: lãi suất cho vay VND 8,1–10,5%/năm (6/2026); DN nhỏ vay ở nửa trên khung → 10%. Nguồn: NHNN (2026), Mục 3.1.3.</v>
      </c>
    </row>
    <row r="760" customFormat="false" ht="15" hidden="false" customHeight="false" outlineLevel="0" collapsed="false">
      <c r="A760" s="468" t="s">
        <v>1404</v>
      </c>
      <c r="B760" s="471" t="n">
        <f aca="false">'Discount rate'!B19</f>
        <v>0.408821394912379</v>
      </c>
      <c r="C760" s="471" t="str">
        <f aca="false">'Discount rate'!C19</f>
        <v>Công thức: D/E theo BCĐKT dự phóng cuối 2027 (sau huy động vốn cổ phần và khoản vay trung hạn).</v>
      </c>
    </row>
    <row r="761" customFormat="false" ht="15" hidden="false" customHeight="false" outlineLevel="0" collapsed="false">
      <c r="A761" s="468" t="s">
        <v>1564</v>
      </c>
      <c r="B761" s="484" t="n">
        <f aca="false">Assumption!D15</f>
        <v>0.2</v>
      </c>
      <c r="C761" s="484" t="str">
        <f aca="false">Assumption!E15</f>
        <v>Nguồn: Luật Thuế TNDN 67/2025/QH15 – thuế suất phổ thông 20% (dùng cho NOPAT dài hạn và P/E chuẩn hóa).</v>
      </c>
    </row>
    <row r="762" customFormat="false" ht="15" hidden="false" customHeight="false" outlineLevel="0" collapsed="false">
      <c r="A762" s="468" t="s">
        <v>1565</v>
      </c>
      <c r="B762" s="471" t="n">
        <f aca="false">Assumption!D16</f>
        <v>0.05</v>
      </c>
      <c r="C762" s="471" t="str">
        <f aca="false">Assumption!E16</f>
        <v>Lý do: tăng trưởng dài hạn danh nghĩa VND 5%: lạm phát mục tiêu ~4–4,5% cộng tăng trưởng thực thấp; thấp hơn GDP danh nghĩa VN (~10–12%) và thấp hơn Rf + tăng trưởng thực. Nguồn: NHNN, Quốc hội (mục tiêu CPI 2026 ~4,5%); Damodaran (2026).</v>
      </c>
    </row>
    <row r="763" customFormat="false" ht="15" hidden="false" customHeight="false" outlineLevel="0" collapsed="false">
      <c r="A763" s="468" t="s">
        <v>1566</v>
      </c>
      <c r="B763" s="471" t="n">
        <f aca="false">Assumption!D19</f>
        <v>0.138811531585547</v>
      </c>
      <c r="C763" s="471" t="str">
        <f aca="false">Assumption!E19</f>
        <v>Công thức: RONIC = ROIC 2030E của chính mô hình (DCF!B39 = NOPAT 2030/(tài sản dài hạn ròng + VLĐ)). Lý do: file mẫu tính giá trị cuối kỳ = FCFF 2031/(WACC − g); FCFF 2031 được chuẩn hóa = NOPAT 2031 × (1 − g/RONIC) để phần tái đầu tư chỉ vừa đủ cho tăng trưởng 5%/năm, vì FCFF 2030 còn chứa CAPEX của giai đoạn tăng ~20%. Lấy RONIC bằng ROIC 2030 nghĩa là vốn mới sinh lời như năm cuối dự phóng, không giả định thêm lợi thế; ROIC 2030 xấp xỉ WACC nên tăng trưởng sau 2030 gần như không tạo thêm giá trị (thận trọng). Nguồn: tính toán từ mô hình; Damodaran (2026).</v>
      </c>
    </row>
    <row r="764" customFormat="false" ht="15" hidden="false" customHeight="false" outlineLevel="0" collapsed="false">
      <c r="A764" s="468" t="s">
        <v>1567</v>
      </c>
      <c r="B764" s="484" t="n">
        <f aca="false">VCM!B6</f>
        <v>0.4</v>
      </c>
      <c r="C764" s="484" t="str">
        <f aca="false">VCM!C6</f>
        <v>Giả định: theo hướng dẫn của BTL, DN giai đoạn đầu tăng trưởng có z = 35–45%; lấy 40% (trung điểm).</v>
      </c>
    </row>
    <row r="765" customFormat="false" ht="15" hidden="false" customHeight="false" outlineLevel="0" collapsed="false">
      <c r="A765" s="468" t="s">
        <v>1568</v>
      </c>
      <c r="B765" s="471" t="n">
        <f aca="false">VCM!B9</f>
        <v>0.258614393402926</v>
      </c>
      <c r="C765" s="471" t="str">
        <f aca="false">VCM!C9</f>
        <v>Công thức giáo trình: (1 + p)^n = (1 + r)^n/(1 − z), với r = WACC (B7), z = B6, n = 5 năm.</v>
      </c>
    </row>
    <row r="766" customFormat="false" ht="15" hidden="false" customHeight="false" outlineLevel="0" collapsed="false">
      <c r="A766" s="468" t="s">
        <v>1569</v>
      </c>
      <c r="B766" s="497" t="str">
        <f aca="false">VCM!B25</f>
        <v>Đầu tăng trưởng</v>
      </c>
      <c r="C766" s="497" t="str">
        <f aca="false">VCM!C25</f>
        <v>Lý do: doanh thu 47,5 tỷ, tăng 54–59%/năm, LNST và FCF vừa dương năm 2025, D/E 6,5%. Nguồn: kết luận Mục 2.</v>
      </c>
    </row>
    <row r="767" customFormat="false" ht="15" hidden="false" customHeight="false" outlineLevel="0" collapsed="false">
      <c r="A767" s="468" t="s">
        <v>1570</v>
      </c>
      <c r="B767" s="490" t="n">
        <f aca="false">VCM!B29</f>
        <v>9.4</v>
      </c>
      <c r="C767" s="490" t="str">
        <f aca="false">VCM!C29</f>
        <v>Lý do: P/E ngành Containers &amp; Packaging (ICB cấp 4) năm 2026: 9,43x; trung vị mẫu 14 DN: xem Multiples!G22. Nguồn: FiinX (giá đóng cửa 28/9/2026).</v>
      </c>
    </row>
    <row r="768" customFormat="false" ht="15" hidden="false" customHeight="false" outlineLevel="0" collapsed="false">
      <c r="A768" s="468" t="s">
        <v>1571</v>
      </c>
      <c r="B768" s="490" t="n">
        <f aca="false">VCM!B32</f>
        <v>8</v>
      </c>
      <c r="C768" s="490" t="str">
        <f aca="false">VCM!C32</f>
        <v>Lý do: EV/EBITDA ngành Containers &amp; Packaging 2026: 7,99x (2025: 7,5x). Nguồn: FiinX (giá đóng cửa 28/9/2026).</v>
      </c>
    </row>
    <row r="769" customFormat="false" ht="15" hidden="false" customHeight="false" outlineLevel="0" collapsed="false">
      <c r="A769" s="468" t="s">
        <v>1572</v>
      </c>
      <c r="B769" s="484" t="n">
        <f aca="false">Multiples!B33</f>
        <v>0.3</v>
      </c>
      <c r="C769" s="484" t="str">
        <f aca="false">Multiples!C33</f>
        <v>Lý do: DN tư nhân, cổ phần không giao dịch, doanh thu 47,5 tỷ (trung vị mẫu ~1.400 tỷ), phụ thuộc đội ngũ sáng lập → 30% (khoảng 20–35% theo nghiên cứu chiết khấu DN tư nhân). Nguồn: Damodaran (2026); Koeplin, Sarin &amp; Shapiro (2000).</v>
      </c>
    </row>
    <row r="770" customFormat="false" ht="15" hidden="false" customHeight="false" outlineLevel="0" collapsed="false">
      <c r="A770" s="468" t="s">
        <v>1487</v>
      </c>
      <c r="B770" s="484" t="n">
        <f aca="false">Summary!F5</f>
        <v>0.4</v>
      </c>
      <c r="C770" s="484" t="str">
        <f aca="false">Summary!G5</f>
        <v>Lý do: DCF 40% – phản ánh dự phóng dòng tiền và công suất; chưa trừ rủi ro thất bại. Nguồn: lựa chọn của nhóm.</v>
      </c>
    </row>
    <row r="771" customFormat="false" ht="15" hidden="false" customHeight="false" outlineLevel="0" collapsed="false">
      <c r="A771" s="468" t="s">
        <v>1488</v>
      </c>
      <c r="B771" s="484" t="n">
        <f aca="false">Summary!F6</f>
        <v>0.4</v>
      </c>
      <c r="C771" s="484" t="str">
        <f aca="false">Summary!G6</f>
        <v>Lý do: VCM 40% – góc nhìn NĐT, có tỷ lệ thất bại 40% của giai đoạn đầu tăng trưởng (đề bài). Nguồn: lựa chọn của nhóm.</v>
      </c>
    </row>
    <row r="772" customFormat="false" ht="15" hidden="false" customHeight="false" outlineLevel="0" collapsed="false">
      <c r="A772" s="468" t="s">
        <v>1489</v>
      </c>
      <c r="B772" s="484" t="n">
        <f aca="false">Summary!F7</f>
        <v>0.2</v>
      </c>
      <c r="C772" s="484" t="str">
        <f aca="false">Summary!G7</f>
        <v>Lý do: Multiples 20% – mẫu so sánh là DN niêm yết lớn, trưởng thành; chỉ phản ánh bộ máy 2025A nên chỉ dùng làm neo thị trường. Nguồn: lựa chọn của nhóm.</v>
      </c>
    </row>
    <row r="773" customFormat="false" ht="15" hidden="false" customHeight="false" outlineLevel="0" collapsed="false">
      <c r="A773" s="222" t="s">
        <v>1573</v>
      </c>
    </row>
    <row r="775" customFormat="false" ht="15" hidden="false" customHeight="false" outlineLevel="0" collapsed="false">
      <c r="A775" s="469" t="s">
        <v>1574</v>
      </c>
    </row>
    <row r="776" customFormat="false" ht="22.35" hidden="false" customHeight="false" outlineLevel="0" collapsed="false">
      <c r="A776" s="467" t="s">
        <v>30</v>
      </c>
      <c r="B776" s="467" t="s">
        <v>233</v>
      </c>
      <c r="C776" s="467" t="s">
        <v>234</v>
      </c>
      <c r="D776" s="467" t="s">
        <v>235</v>
      </c>
    </row>
    <row r="777" customFormat="false" ht="15" hidden="false" customHeight="false" outlineLevel="0" collapsed="false">
      <c r="A777" s="489" t="n">
        <f aca="false">'Discount rate'!A30</f>
        <v>2016</v>
      </c>
      <c r="B777" s="493" t="n">
        <f aca="false">'Discount rate'!B30</f>
        <v>0.0695</v>
      </c>
      <c r="C777" s="493" t="str">
        <f aca="false">'Discount rate'!C30</f>
        <v>Q1/2016 – lãi suất phát hành kỳ hạn 10 năm</v>
      </c>
      <c r="D777" s="493" t="str">
        <f aca="false">'Discount rate'!D30</f>
        <v>Oxford Business Group (2017). The Report: Vietnam 2017 – Attractive yields (bonds)</v>
      </c>
    </row>
    <row r="778" customFormat="false" ht="15" hidden="false" customHeight="false" outlineLevel="0" collapsed="false">
      <c r="A778" s="489" t="n">
        <f aca="false">'Discount rate'!A31</f>
        <v>2017</v>
      </c>
      <c r="B778" s="493" t="n">
        <f aca="false">'Discount rate'!B31</f>
        <v>0.0542</v>
      </c>
      <c r="C778" s="493" t="str">
        <f aca="false">'Discount rate'!C31</f>
        <v>10/2017 – lãi suất trúng thầu kỳ hạn 10 năm</v>
      </c>
      <c r="D778" s="493" t="str">
        <f aca="false">'Discount rate'!D31</f>
        <v>Vietnam News (2017), tin đấu thầu TPCP tháng 10/2017; tháng 11/2017: 5,41–5,91%</v>
      </c>
    </row>
    <row r="779" customFormat="false" ht="15" hidden="false" customHeight="false" outlineLevel="0" collapsed="false">
      <c r="A779" s="489" t="n">
        <f aca="false">'Discount rate'!A32</f>
        <v>2018</v>
      </c>
      <c r="B779" s="493" t="n">
        <f aca="false">'Discount rate'!B32</f>
        <v>0.04997</v>
      </c>
      <c r="C779" s="493" t="str">
        <f aca="false">'Discount rate'!C32</f>
        <v>03/12/2018 – lợi suất spot kỳ hạn 10 năm</v>
      </c>
      <c r="D779" s="493" t="str">
        <f aca="false">'Discount rate'!D32</f>
        <v>CEIC Data (dữ liệu HNX), Vietnam Government Bond Yield: Spot</v>
      </c>
    </row>
    <row r="780" customFormat="false" ht="15" hidden="false" customHeight="false" outlineLevel="0" collapsed="false">
      <c r="A780" s="489" t="n">
        <f aca="false">'Discount rate'!A33</f>
        <v>2019</v>
      </c>
      <c r="B780" s="493" t="n">
        <f aca="false">'Discount rate'!B33</f>
        <v>0.0342</v>
      </c>
      <c r="C780" s="493" t="str">
        <f aca="false">'Discount rate'!C33</f>
        <v>12/2019 – thị trường thứ cấp (mức thấp kỷ lục)</v>
      </c>
      <c r="D780" s="493" t="str">
        <f aca="false">'Discount rate'!D33</f>
        <v>Vietnam News (2020). Gov't bond yields hit record low</v>
      </c>
    </row>
    <row r="781" customFormat="false" ht="15" hidden="false" customHeight="false" outlineLevel="0" collapsed="false">
      <c r="A781" s="489" t="n">
        <f aca="false">'Discount rate'!A34</f>
        <v>2020</v>
      </c>
      <c r="B781" s="493" t="n">
        <f aca="false">'Discount rate'!B34</f>
        <v>0.0224</v>
      </c>
      <c r="C781" s="493" t="str">
        <f aca="false">'Discount rate'!C34</f>
        <v>12/2020 – thị trường thứ cấp (−34 bps so với 11/2020)</v>
      </c>
      <c r="D781" s="493" t="str">
        <f aca="false">'Discount rate'!D34</f>
        <v>VBMA (2021). Bond Market Report 12/2020; MBS Fixed Income 01/2021</v>
      </c>
    </row>
    <row r="782" customFormat="false" ht="15" hidden="false" customHeight="false" outlineLevel="0" collapsed="false">
      <c r="A782" s="489" t="n">
        <f aca="false">'Discount rate'!A35</f>
        <v>2021</v>
      </c>
      <c r="B782" s="493" t="n">
        <f aca="false">'Discount rate'!B35</f>
        <v>0.0209</v>
      </c>
      <c r="C782" s="493" t="str">
        <f aca="false">'Discount rate'!C35</f>
        <v>12/2021 – thị trường thứ cấp</v>
      </c>
      <c r="D782" s="493" t="str">
        <f aca="false">'Discount rate'!D35</f>
        <v>VBMA (2022). Bond Market Monthly Highlights 12/2021</v>
      </c>
    </row>
    <row r="783" customFormat="false" ht="15" hidden="false" customHeight="false" outlineLevel="0" collapsed="false">
      <c r="A783" s="489" t="n">
        <f aca="false">'Discount rate'!A36</f>
        <v>2022</v>
      </c>
      <c r="B783" s="493" t="n">
        <f aca="false">'Discount rate'!B36</f>
        <v>0.048</v>
      </c>
      <c r="C783" s="493" t="str">
        <f aca="false">'Discount rate'!C36</f>
        <v>31/12/2022 – thị trường thứ cấp</v>
      </c>
      <c r="D783" s="493" t="str">
        <f aca="false">'Discount rate'!D36</f>
        <v>ADB AsianBondsOnline (2023); VBMA Monthly Bond Market Report 12/2022</v>
      </c>
    </row>
    <row r="784" customFormat="false" ht="15" hidden="false" customHeight="false" outlineLevel="0" collapsed="false">
      <c r="A784" s="489" t="n">
        <f aca="false">'Discount rate'!A37</f>
        <v>2023</v>
      </c>
      <c r="B784" s="493" t="n">
        <f aca="false">'Discount rate'!B37</f>
        <v>0.0228</v>
      </c>
      <c r="C784" s="493" t="str">
        <f aca="false">'Discount rate'!C37</f>
        <v>29/11/2023 – lãi suất trúng thầu kỳ hạn 10 năm</v>
      </c>
      <c r="D784" s="493" t="str">
        <f aca="false">'Discount rate'!D37</f>
        <v>VBMA (2023). Kết quả đấu thầu TPCP ngày 29/11/2023</v>
      </c>
    </row>
    <row r="785" customFormat="false" ht="15" hidden="false" customHeight="false" outlineLevel="0" collapsed="false">
      <c r="A785" s="489" t="n">
        <f aca="false">'Discount rate'!A38</f>
        <v>2024</v>
      </c>
      <c r="B785" s="493" t="n">
        <f aca="false">'Discount rate'!B38</f>
        <v>0.0297</v>
      </c>
      <c r="C785" s="493" t="str">
        <f aca="false">'Discount rate'!C38</f>
        <v>Cuối năm 2024 – lợi suất kỳ hạn 10 năm</v>
      </c>
      <c r="D785" s="493" t="str">
        <f aca="false">'Discount rate'!D38</f>
        <v>Thị trường Tài chính Tiền tệ (2025). Thị trường TPCP: kỳ hạn 10 năm tiếp tục chi phối nhu cầu</v>
      </c>
    </row>
    <row r="786" customFormat="false" ht="15" hidden="false" customHeight="false" outlineLevel="0" collapsed="false">
      <c r="A786" s="489" t="n">
        <f aca="false">'Discount rate'!A39</f>
        <v>2025</v>
      </c>
      <c r="B786" s="493" t="n">
        <f aca="false">'Discount rate'!B39</f>
        <v>0.0404</v>
      </c>
      <c r="C786" s="493" t="str">
        <f aca="false">'Discount rate'!C39</f>
        <v>Cuối năm 2025 – lợi suất kỳ hạn 10 năm</v>
      </c>
      <c r="D786" s="493" t="str">
        <f aca="false">'Discount rate'!D39</f>
        <v>VNDirect (2025). La bàn thị trường; Thị trường Tài chính Tiền tệ (2026)</v>
      </c>
    </row>
    <row r="787" customFormat="false" ht="15" hidden="false" customHeight="false" outlineLevel="0" collapsed="false">
      <c r="A787" s="468" t="s">
        <v>1575</v>
      </c>
      <c r="B787" s="493" t="n">
        <f aca="false">'Discount rate'!B40</f>
        <v>0.039207</v>
      </c>
    </row>
    <row r="788" customFormat="false" ht="15" hidden="false" customHeight="false" outlineLevel="0" collapsed="false">
      <c r="A788" s="222" t="s">
        <v>1576</v>
      </c>
    </row>
    <row r="790" customFormat="false" ht="15" hidden="false" customHeight="false" outlineLevel="0" collapsed="false">
      <c r="A790" s="469" t="s">
        <v>1577</v>
      </c>
    </row>
    <row r="791" customFormat="false" ht="22.35" hidden="false" customHeight="false" outlineLevel="0" collapsed="false">
      <c r="A791" s="467" t="s">
        <v>618</v>
      </c>
      <c r="B791" s="467" t="s">
        <v>619</v>
      </c>
      <c r="C791" s="467" t="s">
        <v>620</v>
      </c>
      <c r="D791" s="467" t="s">
        <v>621</v>
      </c>
      <c r="E791" s="467" t="s">
        <v>622</v>
      </c>
      <c r="F791" s="467" t="s">
        <v>623</v>
      </c>
      <c r="G791" s="467" t="s">
        <v>624</v>
      </c>
      <c r="H791" s="467" t="s">
        <v>1578</v>
      </c>
    </row>
    <row r="792" customFormat="false" ht="15" hidden="false" customHeight="false" outlineLevel="0" collapsed="false">
      <c r="A792" s="468" t="str">
        <f aca="false">Multiples!A5</f>
        <v>DHC</v>
      </c>
      <c r="B792" s="480" t="str">
        <f aca="false">Multiples!B5</f>
        <v>HOSE</v>
      </c>
      <c r="C792" s="480" t="str">
        <f aca="false">Multiples!C5</f>
        <v>Giấy, bao bì carton</v>
      </c>
      <c r="D792" s="480" t="n">
        <f aca="false">Multiples!D5</f>
        <v>3938</v>
      </c>
      <c r="E792" s="480" t="n">
        <f aca="false">Multiples!E5</f>
        <v>18.9</v>
      </c>
      <c r="F792" s="480" t="n">
        <f aca="false">Multiples!F5</f>
        <v>6.35</v>
      </c>
      <c r="G792" s="480" t="n">
        <f aca="false">Multiples!G5</f>
        <v>7.48</v>
      </c>
      <c r="H792" s="480" t="n">
        <f aca="false">Multiples!H5</f>
        <v>1</v>
      </c>
    </row>
    <row r="793" customFormat="false" ht="15" hidden="false" customHeight="false" outlineLevel="0" collapsed="false">
      <c r="A793" s="468" t="str">
        <f aca="false">Multiples!A6</f>
        <v>TDP</v>
      </c>
      <c r="B793" s="480" t="str">
        <f aca="false">Multiples!B6</f>
        <v>HOSE</v>
      </c>
      <c r="C793" s="480" t="str">
        <f aca="false">Multiples!C6</f>
        <v>Bao bì nhựa</v>
      </c>
      <c r="D793" s="480" t="n">
        <f aca="false">Multiples!D6</f>
        <v>5488</v>
      </c>
      <c r="E793" s="480" t="n">
        <f aca="false">Multiples!E6</f>
        <v>8.3</v>
      </c>
      <c r="F793" s="480" t="n">
        <f aca="false">Multiples!F6</f>
        <v>8.98</v>
      </c>
      <c r="G793" s="480" t="n">
        <f aca="false">Multiples!G6</f>
        <v>20.51</v>
      </c>
      <c r="H793" s="480" t="n">
        <f aca="false">Multiples!H6</f>
        <v>1</v>
      </c>
    </row>
    <row r="794" customFormat="false" ht="15" hidden="false" customHeight="false" outlineLevel="0" collapsed="false">
      <c r="A794" s="468" t="str">
        <f aca="false">Multiples!A7</f>
        <v>AAA</v>
      </c>
      <c r="B794" s="480" t="str">
        <f aca="false">Multiples!B7</f>
        <v>HOSE</v>
      </c>
      <c r="C794" s="480" t="str">
        <f aca="false">Multiples!C7</f>
        <v>Nhựa, nhựa sinh học</v>
      </c>
      <c r="D794" s="480" t="n">
        <f aca="false">Multiples!D7</f>
        <v>9243</v>
      </c>
      <c r="E794" s="480" t="n">
        <f aca="false">Multiples!E7</f>
        <v>14.2</v>
      </c>
      <c r="F794" s="480" t="n">
        <f aca="false">Multiples!F7</f>
        <v>3.85</v>
      </c>
      <c r="G794" s="480" t="n">
        <f aca="false">Multiples!G7</f>
        <v>5.16</v>
      </c>
      <c r="H794" s="480" t="n">
        <f aca="false">Multiples!H7</f>
        <v>1</v>
      </c>
    </row>
    <row r="795" customFormat="false" ht="15" hidden="false" customHeight="false" outlineLevel="0" collapsed="false">
      <c r="A795" s="468" t="str">
        <f aca="false">Multiples!A8</f>
        <v>APH</v>
      </c>
      <c r="B795" s="480" t="str">
        <f aca="false">Multiples!B8</f>
        <v>HOSE</v>
      </c>
      <c r="C795" s="480" t="str">
        <f aca="false">Multiples!C8</f>
        <v>Bao bì nhựa (holding)</v>
      </c>
      <c r="D795" s="480" t="n">
        <f aca="false">Multiples!D8</f>
        <v>9252</v>
      </c>
      <c r="E795" s="480" t="n">
        <f aca="false">Multiples!E8</f>
        <v>14</v>
      </c>
      <c r="F795" s="480" t="n">
        <f aca="false">Multiples!F8</f>
        <v>5.05</v>
      </c>
      <c r="G795" s="480" t="n">
        <f aca="false">Multiples!G8</f>
        <v>6.98</v>
      </c>
      <c r="H795" s="480" t="n">
        <f aca="false">Multiples!H8</f>
        <v>1</v>
      </c>
    </row>
    <row r="796" customFormat="false" ht="15" hidden="false" customHeight="false" outlineLevel="0" collapsed="false">
      <c r="A796" s="468" t="str">
        <f aca="false">Multiples!A9</f>
        <v>HHP</v>
      </c>
      <c r="B796" s="480" t="str">
        <f aca="false">Multiples!B9</f>
        <v>HOSE</v>
      </c>
      <c r="C796" s="480" t="str">
        <f aca="false">Multiples!C9</f>
        <v>Giấy bao bì</v>
      </c>
      <c r="D796" s="480" t="n">
        <f aca="false">Multiples!D9</f>
        <v>3112</v>
      </c>
      <c r="E796" s="480" t="n">
        <f aca="false">Multiples!E9</f>
        <v>9.3</v>
      </c>
      <c r="F796" s="480" t="n">
        <f aca="false">Multiples!F9</f>
        <v>13.71</v>
      </c>
      <c r="G796" s="480" t="n">
        <f aca="false">Multiples!G9</f>
        <v>32.9</v>
      </c>
      <c r="H796" s="480" t="n">
        <f aca="false">Multiples!H9</f>
        <v>1</v>
      </c>
    </row>
    <row r="797" customFormat="false" ht="15" hidden="false" customHeight="false" outlineLevel="0" collapsed="false">
      <c r="A797" s="468" t="str">
        <f aca="false">Multiples!A10</f>
        <v>INN</v>
      </c>
      <c r="B797" s="480" t="str">
        <f aca="false">Multiples!B10</f>
        <v>HNX</v>
      </c>
      <c r="C797" s="480" t="str">
        <f aca="false">Multiples!C10</f>
        <v>Bao bì giấy, in</v>
      </c>
      <c r="D797" s="480" t="n">
        <f aca="false">Multiples!D10</f>
        <v>1921</v>
      </c>
      <c r="E797" s="480" t="n">
        <f aca="false">Multiples!E10</f>
        <v>14.9</v>
      </c>
      <c r="F797" s="480" t="n">
        <f aca="false">Multiples!F10</f>
        <v>2.66</v>
      </c>
      <c r="G797" s="480" t="n">
        <f aca="false">Multiples!G10</f>
        <v>7.29</v>
      </c>
      <c r="H797" s="480" t="n">
        <f aca="false">Multiples!H10</f>
        <v>1</v>
      </c>
    </row>
    <row r="798" customFormat="false" ht="15" hidden="false" customHeight="false" outlineLevel="0" collapsed="false">
      <c r="A798" s="468" t="str">
        <f aca="false">Multiples!A11</f>
        <v>ILS</v>
      </c>
      <c r="B798" s="480" t="str">
        <f aca="false">Multiples!B11</f>
        <v>UPCoM</v>
      </c>
      <c r="C798" s="480" t="str">
        <f aca="false">Multiples!C11</f>
        <v>Bao bì khác</v>
      </c>
      <c r="D798" s="480" t="n">
        <f aca="false">Multiples!D11</f>
        <v>319</v>
      </c>
      <c r="E798" s="480" t="n">
        <f aca="false">Multiples!E11</f>
        <v>16.4</v>
      </c>
      <c r="F798" s="480" t="n">
        <f aca="false">Multiples!F11</f>
        <v>13.33</v>
      </c>
      <c r="G798" s="480" t="n">
        <f aca="false">Multiples!G11</f>
        <v>16.64</v>
      </c>
      <c r="H798" s="480" t="n">
        <f aca="false">Multiples!H11</f>
        <v>1</v>
      </c>
    </row>
    <row r="799" customFormat="false" ht="15" hidden="false" customHeight="false" outlineLevel="0" collapsed="false">
      <c r="A799" s="468" t="str">
        <f aca="false">Multiples!A12</f>
        <v>TPP</v>
      </c>
      <c r="B799" s="480" t="str">
        <f aca="false">Multiples!B12</f>
        <v>HNX</v>
      </c>
      <c r="C799" s="480" t="str">
        <f aca="false">Multiples!C12</f>
        <v>Bao bì nhựa</v>
      </c>
      <c r="D799" s="480" t="n">
        <f aca="false">Multiples!D12</f>
        <v>3179</v>
      </c>
      <c r="E799" s="480" t="n">
        <f aca="false">Multiples!E12</f>
        <v>15.9</v>
      </c>
      <c r="F799" s="480" t="n">
        <f aca="false">Multiples!F12</f>
        <v>3.28</v>
      </c>
      <c r="G799" s="480" t="n">
        <f aca="false">Multiples!G12</f>
        <v>2.54</v>
      </c>
      <c r="H799" s="480" t="n">
        <f aca="false">Multiples!H12</f>
        <v>1</v>
      </c>
    </row>
    <row r="800" customFormat="false" ht="15" hidden="false" customHeight="false" outlineLevel="0" collapsed="false">
      <c r="A800" s="468" t="str">
        <f aca="false">Multiples!A13</f>
        <v>MCP</v>
      </c>
      <c r="B800" s="480" t="str">
        <f aca="false">Multiples!B13</f>
        <v>HOSE</v>
      </c>
      <c r="C800" s="480" t="str">
        <f aca="false">Multiples!C13</f>
        <v>Bao bì kim loại, in</v>
      </c>
      <c r="D800" s="480" t="n">
        <f aca="false">Multiples!D13</f>
        <v>431</v>
      </c>
      <c r="E800" s="480" t="n">
        <f aca="false">Multiples!E13</f>
        <v>2.9</v>
      </c>
      <c r="F800" s="480" t="n">
        <f aca="false">Multiples!F13</f>
        <v>36.45</v>
      </c>
      <c r="G800" s="480" t="n">
        <f aca="false">Multiples!G13</f>
        <v>84.23</v>
      </c>
      <c r="H800" s="480" t="n">
        <f aca="false">Multiples!H13</f>
        <v>0</v>
      </c>
    </row>
    <row r="801" customFormat="false" ht="15" hidden="false" customHeight="false" outlineLevel="0" collapsed="false">
      <c r="A801" s="468" t="str">
        <f aca="false">Multiples!A14</f>
        <v>PBT</v>
      </c>
      <c r="B801" s="480" t="str">
        <f aca="false">Multiples!B14</f>
        <v>UPCoM</v>
      </c>
      <c r="C801" s="480" t="str">
        <f aca="false">Multiples!C14</f>
        <v>Thương mại vật tư bao bì</v>
      </c>
      <c r="D801" s="480" t="n">
        <f aca="false">Multiples!D14</f>
        <v>2042</v>
      </c>
      <c r="E801" s="480" t="n">
        <f aca="false">Multiples!E14</f>
        <v>1.9</v>
      </c>
      <c r="F801" s="480" t="n">
        <f aca="false">Multiples!F14</f>
        <v>0.04</v>
      </c>
      <c r="G801" s="480" t="n">
        <f aca="false">Multiples!G14</f>
        <v>9.97</v>
      </c>
      <c r="H801" s="480" t="n">
        <f aca="false">Multiples!H14</f>
        <v>0</v>
      </c>
    </row>
    <row r="802" customFormat="false" ht="15" hidden="false" customHeight="false" outlineLevel="0" collapsed="false">
      <c r="A802" s="468" t="str">
        <f aca="false">Multiples!A15</f>
        <v>TPC</v>
      </c>
      <c r="B802" s="480" t="str">
        <f aca="false">Multiples!B15</f>
        <v>HOSE</v>
      </c>
      <c r="C802" s="480" t="str">
        <f aca="false">Multiples!C15</f>
        <v>Màng, túi nhựa</v>
      </c>
      <c r="D802" s="480" t="n">
        <f aca="false">Multiples!D15</f>
        <v>490</v>
      </c>
      <c r="E802" s="480" t="n">
        <f aca="false">Multiples!E15</f>
        <v>7</v>
      </c>
      <c r="F802" s="480" t="n">
        <f aca="false">Multiples!F15</f>
        <v>4.21</v>
      </c>
      <c r="G802" s="480" t="n">
        <f aca="false">Multiples!G15</f>
        <v>20.41</v>
      </c>
      <c r="H802" s="480" t="n">
        <f aca="false">Multiples!H15</f>
        <v>1</v>
      </c>
    </row>
    <row r="803" customFormat="false" ht="15" hidden="false" customHeight="false" outlineLevel="0" collapsed="false">
      <c r="A803" s="468" t="str">
        <f aca="false">Multiples!A16</f>
        <v>VBC</v>
      </c>
      <c r="B803" s="480" t="str">
        <f aca="false">Multiples!B16</f>
        <v>HNX</v>
      </c>
      <c r="C803" s="480" t="str">
        <f aca="false">Multiples!C16</f>
        <v>Bao bì nhựa</v>
      </c>
      <c r="D803" s="480" t="n">
        <f aca="false">Multiples!D16</f>
        <v>913</v>
      </c>
      <c r="E803" s="480" t="n">
        <f aca="false">Multiples!E16</f>
        <v>0</v>
      </c>
      <c r="F803" s="480" t="n">
        <f aca="false">Multiples!F16</f>
        <v>4.17</v>
      </c>
      <c r="G803" s="480" t="n">
        <f aca="false">Multiples!G16</f>
        <v>4.85</v>
      </c>
      <c r="H803" s="480" t="n">
        <f aca="false">Multiples!H16</f>
        <v>1</v>
      </c>
    </row>
    <row r="804" customFormat="false" ht="15" hidden="false" customHeight="false" outlineLevel="0" collapsed="false">
      <c r="A804" s="468" t="str">
        <f aca="false">Multiples!A17</f>
        <v>BBS</v>
      </c>
      <c r="B804" s="480" t="str">
        <f aca="false">Multiples!B17</f>
        <v>HNX</v>
      </c>
      <c r="C804" s="480" t="str">
        <f aca="false">Multiples!C17</f>
        <v>Bao bì giấy, bao xi măng</v>
      </c>
      <c r="D804" s="480" t="n">
        <f aca="false">Multiples!D17</f>
        <v>484</v>
      </c>
      <c r="E804" s="480" t="n">
        <f aca="false">Multiples!E17</f>
        <v>6.5</v>
      </c>
      <c r="F804" s="480" t="n">
        <f aca="false">Multiples!F17</f>
        <v>5.5</v>
      </c>
      <c r="G804" s="480" t="n">
        <f aca="false">Multiples!G17</f>
        <v>9.19</v>
      </c>
      <c r="H804" s="480" t="n">
        <f aca="false">Multiples!H17</f>
        <v>1</v>
      </c>
    </row>
    <row r="805" customFormat="false" ht="15" hidden="false" customHeight="false" outlineLevel="0" collapsed="false">
      <c r="A805" s="468" t="str">
        <f aca="false">Multiples!A18</f>
        <v>STP</v>
      </c>
      <c r="B805" s="480" t="str">
        <f aca="false">Multiples!B18</f>
        <v>HNX</v>
      </c>
      <c r="C805" s="480" t="str">
        <f aca="false">Multiples!C18</f>
        <v>Bao bì giấy</v>
      </c>
      <c r="D805" s="480" t="n">
        <f aca="false">Multiples!D18</f>
        <v>212</v>
      </c>
      <c r="E805" s="480" t="n">
        <f aca="false">Multiples!E18</f>
        <v>0</v>
      </c>
      <c r="F805" s="480" t="n">
        <f aca="false">Multiples!F18</f>
        <v>2.96</v>
      </c>
      <c r="G805" s="480" t="n">
        <f aca="false">Multiples!G18</f>
        <v>6.65</v>
      </c>
      <c r="H805" s="480" t="n">
        <f aca="false">Multiples!H18</f>
        <v>1</v>
      </c>
    </row>
    <row r="806" customFormat="false" ht="15" hidden="false" customHeight="false" outlineLevel="0" collapsed="false">
      <c r="A806" s="468" t="str">
        <f aca="false">Multiples!A19</f>
        <v>PBP</v>
      </c>
      <c r="B806" s="480" t="str">
        <f aca="false">Multiples!B19</f>
        <v>HNX</v>
      </c>
      <c r="C806" s="480" t="str">
        <f aca="false">Multiples!C19</f>
        <v>Bao bì PP</v>
      </c>
      <c r="D806" s="480" t="n">
        <f aca="false">Multiples!D19</f>
        <v>372</v>
      </c>
      <c r="E806" s="480" t="n">
        <f aca="false">Multiples!E19</f>
        <v>5.3</v>
      </c>
      <c r="F806" s="480" t="n">
        <f aca="false">Multiples!F19</f>
        <v>2.06</v>
      </c>
      <c r="G806" s="480" t="n">
        <f aca="false">Multiples!G19</f>
        <v>6.46</v>
      </c>
      <c r="H806" s="480" t="n">
        <f aca="false">Multiples!H19</f>
        <v>1</v>
      </c>
    </row>
    <row r="807" customFormat="false" ht="15" hidden="false" customHeight="false" outlineLevel="0" collapsed="false">
      <c r="A807" s="468" t="str">
        <f aca="false">Multiples!A20</f>
        <v>PMP</v>
      </c>
      <c r="B807" s="480" t="str">
        <f aca="false">Multiples!B20</f>
        <v>HNX</v>
      </c>
      <c r="C807" s="480" t="str">
        <f aca="false">Multiples!C20</f>
        <v>Bao bì PP</v>
      </c>
      <c r="D807" s="480" t="n">
        <f aca="false">Multiples!D20</f>
        <v>746</v>
      </c>
      <c r="E807" s="480" t="n">
        <f aca="false">Multiples!E20</f>
        <v>4</v>
      </c>
      <c r="F807" s="480" t="n">
        <f aca="false">Multiples!F20</f>
        <v>5.4</v>
      </c>
      <c r="G807" s="480" t="n">
        <f aca="false">Multiples!G20</f>
        <v>5.53</v>
      </c>
      <c r="H807" s="480" t="n">
        <f aca="false">Multiples!H20</f>
        <v>1</v>
      </c>
    </row>
    <row r="808" customFormat="false" ht="15" hidden="false" customHeight="false" outlineLevel="0" collapsed="false">
      <c r="A808" s="468" t="s">
        <v>1579</v>
      </c>
      <c r="F808" s="486" t="n">
        <f aca="false">Multiples!F22</f>
        <v>4.63</v>
      </c>
      <c r="G808" s="486" t="n">
        <f aca="false">Multiples!G22</f>
        <v>7.135</v>
      </c>
      <c r="H808" s="486" t="n">
        <f aca="false">Multiples!H22</f>
        <v>14</v>
      </c>
    </row>
    <row r="809" customFormat="false" ht="15" hidden="false" customHeight="false" outlineLevel="0" collapsed="false">
      <c r="A809" s="468" t="s">
        <v>1580</v>
      </c>
      <c r="F809" s="486" t="n">
        <f aca="false">Multiples!F23</f>
        <v>7.99</v>
      </c>
      <c r="G809" s="486" t="n">
        <f aca="false">Multiples!G23</f>
        <v>9.43</v>
      </c>
    </row>
    <row r="810" customFormat="false" ht="15" hidden="false" customHeight="false" outlineLevel="0" collapsed="false">
      <c r="A810" s="222" t="s">
        <v>1468</v>
      </c>
    </row>
    <row r="812" customFormat="false" ht="15" hidden="false" customHeight="false" outlineLevel="0" collapsed="false">
      <c r="A812" s="469" t="s">
        <v>1581</v>
      </c>
    </row>
    <row r="813" customFormat="false" ht="15" hidden="false" customHeight="false" outlineLevel="0" collapsed="false">
      <c r="A813" s="467" t="s">
        <v>1582</v>
      </c>
      <c r="B813" s="467" t="s">
        <v>1583</v>
      </c>
      <c r="C813" s="467" t="s">
        <v>1584</v>
      </c>
      <c r="D813" s="467" t="s">
        <v>1585</v>
      </c>
      <c r="E813" s="467" t="s">
        <v>1586</v>
      </c>
      <c r="F813" s="467" t="s">
        <v>1587</v>
      </c>
    </row>
    <row r="814" customFormat="false" ht="15" hidden="false" customHeight="false" outlineLevel="0" collapsed="false">
      <c r="A814" s="468" t="s">
        <v>1588</v>
      </c>
      <c r="B814" s="471" t="n">
        <f aca="false">Sensitivity!B5</f>
        <v>0.03</v>
      </c>
      <c r="C814" s="471" t="n">
        <f aca="false">Sensitivity!C5</f>
        <v>0.04</v>
      </c>
      <c r="D814" s="471" t="n">
        <f aca="false">Sensitivity!D5</f>
        <v>0.05</v>
      </c>
      <c r="E814" s="471" t="n">
        <f aca="false">Sensitivity!E5</f>
        <v>0.06</v>
      </c>
      <c r="F814" s="471" t="n">
        <f aca="false">Sensitivity!F5</f>
        <v>0.07</v>
      </c>
    </row>
    <row r="815" customFormat="false" ht="15" hidden="false" customHeight="false" outlineLevel="0" collapsed="false">
      <c r="A815" s="473" t="n">
        <f aca="false">Sensitivity!A6</f>
        <v>0.116378331713872</v>
      </c>
      <c r="B815" s="470" t="n">
        <f aca="false">Sensitivity!B6</f>
        <v>52.1978032793631</v>
      </c>
      <c r="C815" s="470" t="n">
        <f aca="false">Sensitivity!C6</f>
        <v>55.3308961937083</v>
      </c>
      <c r="D815" s="470" t="n">
        <f aca="false">Sensitivity!D6</f>
        <v>59.2111674360915</v>
      </c>
      <c r="E815" s="470" t="n">
        <f aca="false">Sensitivity!E6</f>
        <v>64.2362050365185</v>
      </c>
      <c r="F815" s="470" t="n">
        <f aca="false">Sensitivity!F6</f>
        <v>71.1465054611667</v>
      </c>
    </row>
    <row r="816" customFormat="false" ht="15" hidden="false" customHeight="false" outlineLevel="0" collapsed="false">
      <c r="A816" s="473" t="n">
        <f aca="false">Sensitivity!A7</f>
        <v>0.126378331713872</v>
      </c>
      <c r="B816" s="470" t="n">
        <f aca="false">Sensitivity!B7</f>
        <v>40.5042160819163</v>
      </c>
      <c r="C816" s="470" t="n">
        <f aca="false">Sensitivity!C7</f>
        <v>42.1800193539711</v>
      </c>
      <c r="D816" s="470" t="n">
        <f aca="false">Sensitivity!D7</f>
        <v>44.1310371374378</v>
      </c>
      <c r="E816" s="470" t="n">
        <f aca="false">Sensitivity!E7</f>
        <v>46.4816539284192</v>
      </c>
      <c r="F816" s="470" t="n">
        <f aca="false">Sensitivity!F7</f>
        <v>49.4445040823671</v>
      </c>
    </row>
    <row r="817" customFormat="false" ht="15" hidden="false" customHeight="false" outlineLevel="0" collapsed="false">
      <c r="A817" s="473" t="n">
        <f aca="false">Sensitivity!A8</f>
        <v>0.136378331713872</v>
      </c>
      <c r="B817" s="470" t="n">
        <f aca="false">Sensitivity!B8</f>
        <v>31.238476193677</v>
      </c>
      <c r="C817" s="470" t="n">
        <f aca="false">Sensitivity!C8</f>
        <v>31.9974619633138</v>
      </c>
      <c r="D817" s="470" t="n">
        <f aca="false">Sensitivity!D8</f>
        <v>32.7937752037977</v>
      </c>
      <c r="E817" s="470" t="n">
        <f aca="false">Sensitivity!E8</f>
        <v>33.6420774572218</v>
      </c>
      <c r="F817" s="470" t="n">
        <f aca="false">Sensitivity!F8</f>
        <v>34.5658654031187</v>
      </c>
    </row>
    <row r="818" customFormat="false" ht="15" hidden="false" customHeight="false" outlineLevel="0" collapsed="false">
      <c r="A818" s="473" t="n">
        <f aca="false">Sensitivity!A9</f>
        <v>0.146378331713872</v>
      </c>
      <c r="B818" s="470" t="n">
        <f aca="false">Sensitivity!B9</f>
        <v>23.7649322155348</v>
      </c>
      <c r="C818" s="470" t="n">
        <f aca="false">Sensitivity!C9</f>
        <v>23.9361926590634</v>
      </c>
      <c r="D818" s="470" t="n">
        <f aca="false">Sensitivity!D9</f>
        <v>24.0242622397062</v>
      </c>
      <c r="E818" s="470" t="n">
        <f aca="false">Sensitivity!E9</f>
        <v>24.0002479951074</v>
      </c>
      <c r="F818" s="470" t="n">
        <f aca="false">Sensitivity!F9</f>
        <v>23.8201254659498</v>
      </c>
    </row>
    <row r="819" customFormat="false" ht="15" hidden="false" customHeight="false" outlineLevel="0" collapsed="false">
      <c r="A819" s="473" t="n">
        <f aca="false">Sensitivity!A10</f>
        <v>0.156378331713872</v>
      </c>
      <c r="B819" s="470" t="n">
        <f aca="false">Sensitivity!B10</f>
        <v>17.6496259251526</v>
      </c>
      <c r="C819" s="470" t="n">
        <f aca="false">Sensitivity!C10</f>
        <v>17.4408061810752</v>
      </c>
      <c r="D819" s="470" t="n">
        <f aca="false">Sensitivity!D10</f>
        <v>17.0897290240432</v>
      </c>
      <c r="E819" s="470" t="n">
        <f aca="false">Sensitivity!E10</f>
        <v>16.5521135216854</v>
      </c>
      <c r="F819" s="470" t="n">
        <f aca="false">Sensitivity!F10</f>
        <v>15.7631731673779</v>
      </c>
    </row>
    <row r="820" customFormat="false" ht="15" hidden="false" customHeight="false" outlineLevel="0" collapsed="false">
      <c r="A820" s="468" t="s">
        <v>1589</v>
      </c>
      <c r="B820" s="484" t="n">
        <f aca="false">Sensitivity!B14</f>
        <v>-0.3</v>
      </c>
      <c r="C820" s="484" t="n">
        <f aca="false">Sensitivity!C14</f>
        <v>-0.15</v>
      </c>
      <c r="D820" s="484" t="n">
        <f aca="false">Sensitivity!D14</f>
        <v>0</v>
      </c>
      <c r="E820" s="484" t="n">
        <f aca="false">Sensitivity!E14</f>
        <v>0.15</v>
      </c>
      <c r="F820" s="484" t="n">
        <f aca="false">Sensitivity!F14</f>
        <v>0.3</v>
      </c>
    </row>
    <row r="821" customFormat="false" ht="15" hidden="false" customHeight="false" outlineLevel="0" collapsed="false">
      <c r="A821" s="491" t="n">
        <f aca="false">Sensitivity!A15</f>
        <v>0.3</v>
      </c>
      <c r="B821" s="470" t="n">
        <f aca="false">Sensitivity!B15</f>
        <v>13.7654700414121</v>
      </c>
      <c r="C821" s="470" t="n">
        <f aca="false">Sensitivity!C15</f>
        <v>24.7746628569887</v>
      </c>
      <c r="D821" s="470" t="n">
        <f aca="false">Sensitivity!D15</f>
        <v>35.7838556725654</v>
      </c>
      <c r="E821" s="470" t="n">
        <f aca="false">Sensitivity!E15</f>
        <v>46.7930484881421</v>
      </c>
      <c r="F821" s="470" t="n">
        <f aca="false">Sensitivity!F15</f>
        <v>57.8022413037188</v>
      </c>
    </row>
    <row r="822" customFormat="false" ht="15" hidden="false" customHeight="false" outlineLevel="0" collapsed="false">
      <c r="A822" s="491" t="n">
        <f aca="false">Sensitivity!A16</f>
        <v>0.35</v>
      </c>
      <c r="B822" s="470" t="n">
        <f aca="false">Sensitivity!B16</f>
        <v>10.0957391028865</v>
      </c>
      <c r="C822" s="470" t="n">
        <f aca="false">Sensitivity!C16</f>
        <v>20.3185610030648</v>
      </c>
      <c r="D822" s="470" t="n">
        <f aca="false">Sensitivity!D16</f>
        <v>30.5413829032432</v>
      </c>
      <c r="E822" s="470" t="n">
        <f aca="false">Sensitivity!E16</f>
        <v>40.7642048034216</v>
      </c>
      <c r="F822" s="470" t="n">
        <f aca="false">Sensitivity!F16</f>
        <v>50.9870267035999</v>
      </c>
    </row>
    <row r="823" customFormat="false" ht="15" hidden="false" customHeight="false" outlineLevel="0" collapsed="false">
      <c r="A823" s="491" t="n">
        <f aca="false">Sensitivity!A17</f>
        <v>0.4</v>
      </c>
      <c r="B823" s="470" t="n">
        <f aca="false">Sensitivity!B17</f>
        <v>6.42600816436093</v>
      </c>
      <c r="C823" s="470" t="n">
        <f aca="false">Sensitivity!C17</f>
        <v>15.8624591491409</v>
      </c>
      <c r="D823" s="470" t="n">
        <f aca="false">Sensitivity!D17</f>
        <v>25.298910133921</v>
      </c>
      <c r="E823" s="470" t="n">
        <f aca="false">Sensitivity!E17</f>
        <v>34.735361118701</v>
      </c>
      <c r="F823" s="470" t="n">
        <f aca="false">Sensitivity!F17</f>
        <v>44.171812103481</v>
      </c>
    </row>
    <row r="824" customFormat="false" ht="15" hidden="false" customHeight="false" outlineLevel="0" collapsed="false">
      <c r="A824" s="491" t="n">
        <f aca="false">Sensitivity!A18</f>
        <v>0.45</v>
      </c>
      <c r="B824" s="470" t="n">
        <f aca="false">Sensitivity!B18</f>
        <v>2.75627722583538</v>
      </c>
      <c r="C824" s="470" t="n">
        <f aca="false">Sensitivity!C18</f>
        <v>11.4063572952171</v>
      </c>
      <c r="D824" s="470" t="n">
        <f aca="false">Sensitivity!D18</f>
        <v>20.0564373645988</v>
      </c>
      <c r="E824" s="470" t="n">
        <f aca="false">Sensitivity!E18</f>
        <v>28.7065174339804</v>
      </c>
      <c r="F824" s="470" t="n">
        <f aca="false">Sensitivity!F18</f>
        <v>37.3565975033621</v>
      </c>
    </row>
    <row r="825" customFormat="false" ht="15" hidden="false" customHeight="false" outlineLevel="0" collapsed="false">
      <c r="A825" s="491" t="n">
        <f aca="false">Sensitivity!A19</f>
        <v>0.5</v>
      </c>
      <c r="B825" s="470" t="n">
        <f aca="false">Sensitivity!B19</f>
        <v>-0.91345371269019</v>
      </c>
      <c r="C825" s="470" t="n">
        <f aca="false">Sensitivity!C19</f>
        <v>6.95025544129316</v>
      </c>
      <c r="D825" s="470" t="n">
        <f aca="false">Sensitivity!D19</f>
        <v>14.8139645952765</v>
      </c>
      <c r="E825" s="470" t="n">
        <f aca="false">Sensitivity!E19</f>
        <v>22.6776737492599</v>
      </c>
      <c r="F825" s="470" t="n">
        <f aca="false">Sensitivity!F19</f>
        <v>30.5413829032432</v>
      </c>
    </row>
    <row r="826" customFormat="false" ht="15" hidden="false" customHeight="false" outlineLevel="0" collapsed="false">
      <c r="A826" s="468" t="s">
        <v>1590</v>
      </c>
      <c r="B826" s="484" t="n">
        <f aca="false">Sensitivity!B23</f>
        <v>0.0988115315855466</v>
      </c>
      <c r="C826" s="484" t="n">
        <f aca="false">Sensitivity!C23</f>
        <v>0.118811531585547</v>
      </c>
      <c r="D826" s="484" t="n">
        <f aca="false">Sensitivity!D23</f>
        <v>0.138811531585547</v>
      </c>
      <c r="E826" s="484" t="n">
        <f aca="false">Sensitivity!E23</f>
        <v>0.158811531585547</v>
      </c>
      <c r="F826" s="484" t="n">
        <f aca="false">Sensitivity!F23</f>
        <v>0.178811531585547</v>
      </c>
    </row>
    <row r="827" customFormat="false" ht="15" hidden="false" customHeight="false" outlineLevel="0" collapsed="false">
      <c r="A827" s="473" t="n">
        <f aca="false">Sensitivity!A24</f>
        <v>0.116378331713872</v>
      </c>
      <c r="B827" s="470" t="n">
        <f aca="false">Sensitivity!B24</f>
        <v>38.2951839338821</v>
      </c>
      <c r="C827" s="470" t="n">
        <f aca="false">Sensitivity!C24</f>
        <v>50.5136094764786</v>
      </c>
      <c r="D827" s="470" t="n">
        <f aca="false">Sensitivity!D24</f>
        <v>59.2111674360915</v>
      </c>
      <c r="E827" s="470" t="n">
        <f aca="false">Sensitivity!E24</f>
        <v>65.7180638303185</v>
      </c>
      <c r="F827" s="470" t="n">
        <f aca="false">Sensitivity!F24</f>
        <v>70.7693725817287</v>
      </c>
    </row>
    <row r="828" customFormat="false" ht="15" hidden="false" customHeight="false" outlineLevel="0" collapsed="false">
      <c r="A828" s="473" t="n">
        <f aca="false">Sensitivity!A25</f>
        <v>0.126378331713872</v>
      </c>
      <c r="B828" s="470" t="n">
        <f aca="false">Sensitivity!B25</f>
        <v>26.7462246196837</v>
      </c>
      <c r="C828" s="470" t="n">
        <f aca="false">Sensitivity!C25</f>
        <v>36.9018569043305</v>
      </c>
      <c r="D828" s="470" t="n">
        <f aca="false">Sensitivity!D25</f>
        <v>44.1310371374378</v>
      </c>
      <c r="E828" s="470" t="n">
        <f aca="false">Sensitivity!E25</f>
        <v>49.5393973933225</v>
      </c>
      <c r="F828" s="470" t="n">
        <f aca="false">Sensitivity!F25</f>
        <v>53.7379116828026</v>
      </c>
    </row>
    <row r="829" customFormat="false" ht="15" hidden="false" customHeight="false" outlineLevel="0" collapsed="false">
      <c r="A829" s="473" t="n">
        <f aca="false">Sensitivity!A26</f>
        <v>0.136378331713872</v>
      </c>
      <c r="B829" s="470" t="n">
        <f aca="false">Sensitivity!B26</f>
        <v>18.0861659289313</v>
      </c>
      <c r="C829" s="470" t="n">
        <f aca="false">Sensitivity!C26</f>
        <v>26.6778646561547</v>
      </c>
      <c r="D829" s="470" t="n">
        <f aca="false">Sensitivity!D26</f>
        <v>32.7937752037977</v>
      </c>
      <c r="E829" s="470" t="n">
        <f aca="false">Sensitivity!E26</f>
        <v>37.3692659880689</v>
      </c>
      <c r="F829" s="470" t="n">
        <f aca="false">Sensitivity!F26</f>
        <v>40.9212230564328</v>
      </c>
    </row>
    <row r="830" customFormat="false" ht="15" hidden="false" customHeight="false" outlineLevel="0" collapsed="false">
      <c r="A830" s="473" t="n">
        <f aca="false">Sensitivity!A27</f>
        <v>0.146378331713872</v>
      </c>
      <c r="B830" s="470" t="n">
        <f aca="false">Sensitivity!B27</f>
        <v>11.40766124909</v>
      </c>
      <c r="C830" s="470" t="n">
        <f aca="false">Sensitivity!C27</f>
        <v>18.7778621190711</v>
      </c>
      <c r="D830" s="470" t="n">
        <f aca="false">Sensitivity!D27</f>
        <v>24.0242622397062</v>
      </c>
      <c r="E830" s="470" t="n">
        <f aca="false">Sensitivity!E27</f>
        <v>27.9492469522142</v>
      </c>
      <c r="F830" s="470" t="n">
        <f aca="false">Sensitivity!F27</f>
        <v>30.9962156491544</v>
      </c>
    </row>
    <row r="831" customFormat="false" ht="15" hidden="false" customHeight="false" outlineLevel="0" collapsed="false">
      <c r="A831" s="473" t="n">
        <f aca="false">Sensitivity!A28</f>
        <v>0.156378331713872</v>
      </c>
      <c r="B831" s="470" t="n">
        <f aca="false">Sensitivity!B28</f>
        <v>6.14490672490059</v>
      </c>
      <c r="C831" s="470" t="n">
        <f aca="false">Sensitivity!C28</f>
        <v>12.5385097952462</v>
      </c>
      <c r="D831" s="470" t="n">
        <f aca="false">Sensitivity!D28</f>
        <v>17.0897290240432</v>
      </c>
      <c r="E831" s="470" t="n">
        <f aca="false">Sensitivity!E28</f>
        <v>20.4946286667601</v>
      </c>
      <c r="F831" s="470" t="n">
        <f aca="false">Sensitivity!F28</f>
        <v>23.1378549179401</v>
      </c>
    </row>
    <row r="832" customFormat="false" ht="15" hidden="false" customHeight="false" outlineLevel="0" collapsed="false">
      <c r="A832" s="222" t="s">
        <v>1591</v>
      </c>
    </row>
    <row r="834" customFormat="false" ht="15" hidden="false" customHeight="false" outlineLevel="0" collapsed="false">
      <c r="A834" s="469" t="s">
        <v>1592</v>
      </c>
    </row>
    <row r="835" customFormat="false" ht="22.35" hidden="false" customHeight="false" outlineLevel="0" collapsed="false">
      <c r="A835" s="467" t="s">
        <v>755</v>
      </c>
      <c r="B835" s="467" t="s">
        <v>756</v>
      </c>
      <c r="C835" s="467" t="s">
        <v>757</v>
      </c>
      <c r="D835" s="467" t="s">
        <v>760</v>
      </c>
      <c r="E835" s="467" t="s">
        <v>761</v>
      </c>
      <c r="F835" s="467" t="s">
        <v>762</v>
      </c>
      <c r="G835" s="467" t="s">
        <v>763</v>
      </c>
      <c r="H835" s="467" t="s">
        <v>764</v>
      </c>
      <c r="I835" s="467" t="s">
        <v>765</v>
      </c>
      <c r="J835" s="467" t="s">
        <v>766</v>
      </c>
      <c r="K835" s="467" t="s">
        <v>767</v>
      </c>
      <c r="L835" s="467" t="s">
        <v>1593</v>
      </c>
    </row>
    <row r="836" customFormat="false" ht="15" hidden="false" customHeight="false" outlineLevel="0" collapsed="false">
      <c r="A836" s="468" t="s">
        <v>1316</v>
      </c>
      <c r="B836" s="470" t="n">
        <f aca="false">Summary!B51</f>
        <v>28.7792676740121</v>
      </c>
      <c r="C836" s="470" t="n">
        <f aca="false">Summary!C51</f>
        <v>28.7792676740121</v>
      </c>
      <c r="D836" s="470" t="n">
        <f aca="false">Summary!F51</f>
        <v>32.7937752037978</v>
      </c>
      <c r="E836" s="470" t="n">
        <f aca="false">Summary!G51</f>
        <v>32.7937752037978</v>
      </c>
      <c r="F836" s="470" t="n">
        <f aca="false">Summary!H51</f>
        <v>25.298910133921</v>
      </c>
      <c r="G836" s="470" t="n">
        <f aca="false">Summary!I51</f>
        <v>25.298910133921</v>
      </c>
      <c r="H836" s="470" t="n">
        <f aca="false">Summary!J51</f>
        <v>170.317748046407</v>
      </c>
      <c r="I836" s="470" t="n">
        <f aca="false">Summary!K51</f>
        <v>170.317748046407</v>
      </c>
      <c r="J836" s="470" t="n">
        <f aca="false">Summary!L51</f>
        <v>13.8547081054738</v>
      </c>
      <c r="K836" s="470" t="n">
        <f aca="false">Summary!M51</f>
        <v>13.8547081054738</v>
      </c>
    </row>
    <row r="837" customFormat="false" ht="15" hidden="false" customHeight="false" outlineLevel="0" collapsed="false">
      <c r="A837" s="468" t="str">
        <f aca="false">Summary!A52</f>
        <v>Cầu: tăng trưởng sản lượng ×0,8 / ×1,2 (GDP, tiêu dùng, TMĐT – Mục 3.1.1, 3.2.2)</v>
      </c>
      <c r="B837" s="470" t="n">
        <f aca="false">Summary!B52</f>
        <v>1.20348171612066</v>
      </c>
      <c r="C837" s="470" t="n">
        <f aca="false">Summary!C52</f>
        <v>61.0725086921756</v>
      </c>
      <c r="D837" s="470" t="n">
        <f aca="false">Summary!F52</f>
        <v>-10.3124952393945</v>
      </c>
      <c r="E837" s="470" t="n">
        <f aca="false">Summary!G52</f>
        <v>84.6475301393289</v>
      </c>
      <c r="F837" s="470" t="n">
        <f aca="false">Summary!H52</f>
        <v>-0.534284317615226</v>
      </c>
      <c r="G837" s="470" t="n">
        <f aca="false">Summary!I52</f>
        <v>54.1782577437987</v>
      </c>
      <c r="H837" s="470" t="n">
        <f aca="false">Summary!J52</f>
        <v>137.259386260341</v>
      </c>
      <c r="I837" s="470" t="n">
        <f aca="false">Summary!K52</f>
        <v>209.565440708054</v>
      </c>
      <c r="J837" s="470" t="n">
        <f aca="false">Summary!L52</f>
        <v>6.5651549352034</v>
      </c>
      <c r="K837" s="470" t="n">
        <f aca="false">Summary!M52</f>
        <v>22.6244231602783</v>
      </c>
      <c r="L837" s="470" t="str">
        <f aca="false">Summary!N52</f>
        <v>Lý do biên độ: ±20% tốc độ tăng sản lượng mọi phân khúc – GDP 6T/2026 +8,18%, tiêu dùng +8,15%, TMĐT +18–25%/năm nhưng SAM chỉ +4,73%/năm; tăng trưởng của AgriPack phụ thuộc giành thị phần và tiến độ nhà máy (kịch bản Bear dùng ×0,7).</v>
      </c>
    </row>
    <row r="838" customFormat="false" ht="15" hidden="false" customHeight="false" outlineLevel="0" collapsed="false">
      <c r="A838" s="468" t="str">
        <f aca="false">Summary!A53</f>
        <v>Giá bán: +1% / +3% mỗi năm, Base +2% (CPI, sức mạnh khách hàng B2B – Mục 3.1.2, 3.2.3)</v>
      </c>
      <c r="B838" s="470" t="n">
        <f aca="false">Summary!B53</f>
        <v>21.9489978682581</v>
      </c>
      <c r="C838" s="470" t="n">
        <f aca="false">Summary!C53</f>
        <v>35.8895826617102</v>
      </c>
      <c r="D838" s="470" t="n">
        <f aca="false">Summary!F53</f>
        <v>22.029117094492</v>
      </c>
      <c r="E838" s="470" t="n">
        <f aca="false">Summary!G53</f>
        <v>44.0088793251819</v>
      </c>
      <c r="F838" s="470" t="n">
        <f aca="false">Summary!H53</f>
        <v>18.9878937288418</v>
      </c>
      <c r="G838" s="470" t="n">
        <f aca="false">Summary!I53</f>
        <v>31.8595934817822</v>
      </c>
      <c r="H838" s="470" t="n">
        <f aca="false">Summary!J53</f>
        <v>162.126023734606</v>
      </c>
      <c r="I838" s="470" t="n">
        <f aca="false">Summary!K53</f>
        <v>178.837298929894</v>
      </c>
      <c r="J838" s="470" t="n">
        <f aca="false">Summary!L53</f>
        <v>12.0296873871274</v>
      </c>
      <c r="K838" s="470" t="n">
        <f aca="false">Summary!M53</f>
        <v>15.7584823404092</v>
      </c>
      <c r="L838" s="470" t="str">
        <f aca="false">Summary!N53</f>
        <v>Lý do biên độ: ±1 điểm %/năm giá bán F&amp;B, khuôn và đệm – CPI 8T/2026 +4,45% cho phép tăng giá gần lạm phát, nhưng khách hàng B2B có sức mạnh đàm phán rất cao và bao bì nhựa rẻ hơn nhiều lần (Mục 3.2.3).</v>
      </c>
    </row>
    <row r="839" customFormat="false" ht="15" hidden="false" customHeight="false" outlineLevel="0" collapsed="false">
      <c r="A839" s="468" t="str">
        <f aca="false">Summary!A54</f>
        <v>Chi phí biến đổi/DT: +1 / −1 điểm % (lạm phát chi phí thu gom, năng lượng – Mục 3.1.2)</v>
      </c>
      <c r="B839" s="470" t="n">
        <f aca="false">Summary!B54</f>
        <v>20.2390601223735</v>
      </c>
      <c r="C839" s="470" t="n">
        <f aca="false">Summary!C54</f>
        <v>37.0992320137935</v>
      </c>
      <c r="D839" s="470" t="n">
        <f aca="false">Summary!F54</f>
        <v>20.8983510308382</v>
      </c>
      <c r="E839" s="470" t="n">
        <f aca="false">Summary!G54</f>
        <v>44.6396284403264</v>
      </c>
      <c r="F839" s="470" t="n">
        <f aca="false">Summary!H54</f>
        <v>15.8438154277841</v>
      </c>
      <c r="G839" s="470" t="n">
        <f aca="false">Summary!I54</f>
        <v>34.2529677468459</v>
      </c>
      <c r="H839" s="470" t="n">
        <f aca="false">Summary!J54</f>
        <v>170.317748046407</v>
      </c>
      <c r="I839" s="470" t="n">
        <f aca="false">Summary!K54</f>
        <v>170.317748046407</v>
      </c>
      <c r="J839" s="470" t="n">
        <f aca="false">Summary!L54</f>
        <v>12.4921661211025</v>
      </c>
      <c r="K839" s="470" t="n">
        <f aca="false">Summary!M54</f>
        <v>15.217250089845</v>
      </c>
      <c r="L839" s="470" t="str">
        <f aca="false">Summary!N54</f>
        <v>Lý do biên độ: ±1 điểm % doanh thu – nhóm nhà ở, điện, nước, chất đốt, VLXD +6,71% (8T/2026); bã mía bị cạnh tranh bởi lò hơi nhà máy đường và nhà sản xuất bao bì sợi (Mục 3.1.2, 3.2.3).</v>
      </c>
    </row>
    <row r="840" customFormat="false" ht="15" hidden="false" customHeight="false" outlineLevel="0" collapsed="false">
      <c r="A840" s="468" t="str">
        <f aca="false">Summary!A55</f>
        <v>Chi phí nhân sự/DT: +1 / −1 điểm % (lương tối thiểu vùng +7,2% – NĐ 293/2025)</v>
      </c>
      <c r="B840" s="470" t="n">
        <f aca="false">Summary!B55</f>
        <v>18.2398389677937</v>
      </c>
      <c r="C840" s="470" t="n">
        <f aca="false">Summary!C55</f>
        <v>38.9695941295551</v>
      </c>
      <c r="D840" s="470" t="n">
        <f aca="false">Summary!F55</f>
        <v>18.0391358934412</v>
      </c>
      <c r="E840" s="470" t="n">
        <f aca="false">Summary!G55</f>
        <v>47.4883966051073</v>
      </c>
      <c r="F840" s="470" t="n">
        <f aca="false">Summary!H55</f>
        <v>13.7049776787317</v>
      </c>
      <c r="G840" s="470" t="n">
        <f aca="false">Summary!I55</f>
        <v>36.0801048714689</v>
      </c>
      <c r="H840" s="470" t="n">
        <f aca="false">Summary!J55</f>
        <v>170.317748046407</v>
      </c>
      <c r="I840" s="470" t="n">
        <f aca="false">Summary!K55</f>
        <v>170.317748046407</v>
      </c>
      <c r="J840" s="470" t="n">
        <f aca="false">Summary!L55</f>
        <v>12.1106543654786</v>
      </c>
      <c r="K840" s="470" t="n">
        <f aca="false">Summary!M55</f>
        <v>15.598761845469</v>
      </c>
      <c r="L840" s="470" t="str">
        <f aca="false">Summary!N55</f>
        <v>Lý do biên độ: ±1 điểm % doanh thu – lương tối thiểu vùng tăng 7,2% từ 01/01/2026 (NĐ 293/2025/NĐ-CP); tiền lương là khoản chi phí lớn thứ hai sau chi phí biến đổi.</v>
      </c>
    </row>
    <row r="841" customFormat="false" ht="15" hidden="false" customHeight="false" outlineLevel="0" collapsed="false">
      <c r="A841" s="468" t="str">
        <f aca="false">Summary!A56</f>
        <v>Lãi suất: Rf và Kd +1 / −1 điểm % (điều hành lãi suất, tín dụng – Mục 3.1.3)</v>
      </c>
      <c r="B841" s="470" t="n">
        <f aca="false">Summary!B56</f>
        <v>23.9828097052436</v>
      </c>
      <c r="C841" s="470" t="n">
        <f aca="false">Summary!C56</f>
        <v>34.5325687902573</v>
      </c>
      <c r="D841" s="470" t="n">
        <f aca="false">Summary!F56</f>
        <v>24.509412578658</v>
      </c>
      <c r="E841" s="470" t="n">
        <f aca="false">Summary!G56</f>
        <v>43.3222560269216</v>
      </c>
      <c r="F841" s="470" t="n">
        <f aca="false">Summary!H56</f>
        <v>21.5921278371396</v>
      </c>
      <c r="G841" s="470" t="n">
        <f aca="false">Summary!I56</f>
        <v>29.1536821014104</v>
      </c>
      <c r="H841" s="470" t="n">
        <f aca="false">Summary!J56</f>
        <v>170.317748046407</v>
      </c>
      <c r="I841" s="470" t="n">
        <f aca="false">Summary!K56</f>
        <v>170.317748046407</v>
      </c>
      <c r="J841" s="470" t="n">
        <f aca="false">Summary!L56</f>
        <v>13.6677337912126</v>
      </c>
      <c r="K841" s="470" t="n">
        <f aca="false">Summary!M56</f>
        <v>14.0416824197349</v>
      </c>
      <c r="L841" s="470" t="str">
        <f aca="false">Summary!N56</f>
        <v>Lý do biên độ: ±1 điểm % cho cả lợi suất phi rủi ro (bình quân TPCP 10 năm 3,92%) và lãi vay (10%, khung cho vay 8,1–10,5%/năm); nhỏ hơn độ lệch chuẩn ~1,6 điểm % của lợi suất TPCP 10 năm 2016–2025 (Discount rate A28:C40) vì Rf là bình quân dài hạn.</v>
      </c>
    </row>
    <row r="842" customFormat="false" ht="15" hidden="false" customHeight="false" outlineLevel="0" collapsed="false">
      <c r="A842" s="468" t="str">
        <f aca="false">Summary!A57</f>
        <v>Rủi ro quốc gia CRP: +1 / −1 điểm % (xếp hạng Moody's Ba2, triển vọng tích cực – Mục 3.1)</v>
      </c>
      <c r="B842" s="470" t="n">
        <f aca="false">Summary!B57</f>
        <v>23.9878290794445</v>
      </c>
      <c r="C842" s="470" t="n">
        <f aca="false">Summary!C57</f>
        <v>34.7682709171803</v>
      </c>
      <c r="D842" s="470" t="n">
        <f aca="false">Summary!F57</f>
        <v>23.641702196259</v>
      </c>
      <c r="E842" s="470" t="n">
        <f aca="false">Summary!G57</f>
        <v>44.7786855565083</v>
      </c>
      <c r="F842" s="470" t="n">
        <f aca="false">Summary!H57</f>
        <v>22.4723866550408</v>
      </c>
      <c r="G842" s="470" t="n">
        <f aca="false">Summary!I57</f>
        <v>28.286507889131</v>
      </c>
      <c r="H842" s="470" t="n">
        <f aca="false">Summary!J57</f>
        <v>170.317748046407</v>
      </c>
      <c r="I842" s="470" t="n">
        <f aca="false">Summary!K57</f>
        <v>170.317748046407</v>
      </c>
      <c r="J842" s="470" t="n">
        <f aca="false">Summary!L57</f>
        <v>13.8547081054738</v>
      </c>
      <c r="K842" s="470" t="n">
        <f aca="false">Summary!M57</f>
        <v>13.8547081054738</v>
      </c>
      <c r="L842" s="470" t="str">
        <f aca="false">Summary!N57</f>
        <v>Lý do biên độ: ±1 điểm % CRP 3,9% – Moody's nâng triển vọng Việt Nam lên tích cực (5/2026): nâng hạng làm CRP giảm; ngược lại nếu cú sốc bên ngoài làm chênh lệch lợi suất nới rộng.</v>
      </c>
    </row>
    <row r="843" customFormat="false" ht="15" hidden="false" customHeight="false" outlineLevel="0" collapsed="false">
      <c r="A843" s="468" t="str">
        <f aca="false">Summary!A58</f>
        <v>Ưu đãi thuế NQ 198/2025/QH15 nếu đủ điều kiện (miễn 2026–27, giảm 50% 2028–29 – Mục 3.1.6.2)</v>
      </c>
      <c r="B843" s="470" t="n">
        <f aca="false">Summary!B58</f>
        <v>28.7792676740121</v>
      </c>
      <c r="C843" s="470" t="n">
        <f aca="false">Summary!C58</f>
        <v>31.7392798631718</v>
      </c>
      <c r="D843" s="470" t="n">
        <f aca="false">Summary!F58</f>
        <v>32.7937752037978</v>
      </c>
      <c r="E843" s="470" t="n">
        <f aca="false">Summary!G58</f>
        <v>36.1591764636833</v>
      </c>
      <c r="F843" s="470" t="n">
        <f aca="false">Summary!H58</f>
        <v>25.298910133921</v>
      </c>
      <c r="G843" s="470" t="n">
        <f aca="false">Summary!I58</f>
        <v>29.3335393469349</v>
      </c>
      <c r="H843" s="470" t="n">
        <f aca="false">Summary!J58</f>
        <v>170.317748046407</v>
      </c>
      <c r="I843" s="470" t="n">
        <f aca="false">Summary!K58</f>
        <v>170.317748046407</v>
      </c>
      <c r="J843" s="470" t="n">
        <f aca="false">Summary!L58</f>
        <v>13.8547081054738</v>
      </c>
      <c r="K843" s="470" t="n">
        <f aca="false">Summary!M58</f>
        <v>13.8547081054738</v>
      </c>
      <c r="L843" s="470" t="str">
        <f aca="false">Summary!N58</f>
        <v>Lý do: chỉ có chiều thuận lợi vì mô hình Base chưa đưa ưu đãi vào (chưa chứng minh đủ điều kiện). Chỉ tính ưu đãi đến 2029 để ưu đãi tạm thời không đi vào giá trị cuối kỳ (LNST 2030 chuẩn hóa ở thuế suất 20%).</v>
      </c>
    </row>
    <row r="844" customFormat="false" ht="15" hidden="false" customHeight="false" outlineLevel="0" collapsed="false">
      <c r="A844" s="222" t="s">
        <v>1594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04040"/>
    <pageSetUpPr fitToPage="false"/>
  </sheetPr>
  <dimension ref="A1:D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0"/>
    <col collapsed="false" customWidth="true" hidden="false" outlineLevel="0" max="4" min="4" style="0" width="90"/>
  </cols>
  <sheetData>
    <row r="1" customFormat="false" ht="15.75" hidden="false" customHeight="true" outlineLevel="0" collapsed="false">
      <c r="A1" s="430" t="s">
        <v>1595</v>
      </c>
    </row>
    <row r="3" customFormat="false" ht="48" hidden="false" customHeight="true" outlineLevel="0" collapsed="false">
      <c r="A3" s="198" t="s">
        <v>1596</v>
      </c>
      <c r="B3" s="498" t="s">
        <v>1597</v>
      </c>
      <c r="C3" s="498"/>
      <c r="D3" s="498"/>
    </row>
    <row r="4" customFormat="false" ht="48" hidden="false" customHeight="true" outlineLevel="0" collapsed="false">
      <c r="A4" s="198" t="s">
        <v>1598</v>
      </c>
      <c r="B4" s="498" t="s">
        <v>1599</v>
      </c>
      <c r="C4" s="498"/>
      <c r="D4" s="498"/>
    </row>
    <row r="5" customFormat="false" ht="48" hidden="false" customHeight="true" outlineLevel="0" collapsed="false">
      <c r="A5" s="198" t="s">
        <v>1600</v>
      </c>
      <c r="B5" s="498" t="s">
        <v>1601</v>
      </c>
      <c r="C5" s="498"/>
      <c r="D5" s="498"/>
    </row>
    <row r="6" customFormat="false" ht="48" hidden="false" customHeight="true" outlineLevel="0" collapsed="false">
      <c r="A6" s="198" t="s">
        <v>1602</v>
      </c>
      <c r="B6" s="498" t="s">
        <v>1603</v>
      </c>
      <c r="C6" s="498"/>
      <c r="D6" s="498"/>
    </row>
    <row r="7" customFormat="false" ht="48" hidden="false" customHeight="true" outlineLevel="0" collapsed="false">
      <c r="A7" s="198" t="s">
        <v>1604</v>
      </c>
      <c r="B7" s="498" t="s">
        <v>1605</v>
      </c>
      <c r="C7" s="498"/>
      <c r="D7" s="498"/>
    </row>
    <row r="8" customFormat="false" ht="48" hidden="false" customHeight="true" outlineLevel="0" collapsed="false">
      <c r="A8" s="198" t="s">
        <v>1606</v>
      </c>
      <c r="B8" s="498" t="s">
        <v>1607</v>
      </c>
      <c r="C8" s="498"/>
      <c r="D8" s="498"/>
    </row>
    <row r="9" customFormat="false" ht="48" hidden="false" customHeight="true" outlineLevel="0" collapsed="false">
      <c r="A9" s="198" t="s">
        <v>1608</v>
      </c>
      <c r="B9" s="498" t="s">
        <v>1609</v>
      </c>
      <c r="C9" s="498"/>
      <c r="D9" s="498"/>
    </row>
    <row r="10" customFormat="false" ht="15" hidden="false" customHeight="false" outlineLevel="0" collapsed="false">
      <c r="A10" s="275" t="s">
        <v>1610</v>
      </c>
    </row>
    <row r="11" customFormat="false" ht="15" hidden="false" customHeight="false" outlineLevel="0" collapsed="false">
      <c r="A11" s="273" t="s">
        <v>1611</v>
      </c>
      <c r="B11" s="273" t="s">
        <v>1612</v>
      </c>
      <c r="C11" s="273" t="s">
        <v>1613</v>
      </c>
      <c r="D11" s="273" t="s">
        <v>1614</v>
      </c>
    </row>
    <row r="12" customFormat="false" ht="39.75" hidden="false" customHeight="true" outlineLevel="0" collapsed="false">
      <c r="A12" s="246" t="s">
        <v>11</v>
      </c>
      <c r="B12" s="246" t="s">
        <v>1615</v>
      </c>
      <c r="C12" s="499" t="s">
        <v>1616</v>
      </c>
      <c r="D12" s="499" t="s">
        <v>1617</v>
      </c>
    </row>
    <row r="13" customFormat="false" ht="39.75" hidden="false" customHeight="true" outlineLevel="0" collapsed="false">
      <c r="A13" s="246" t="s">
        <v>11</v>
      </c>
      <c r="B13" s="246" t="s">
        <v>1618</v>
      </c>
      <c r="C13" s="499" t="s">
        <v>1619</v>
      </c>
      <c r="D13" s="499" t="s">
        <v>1620</v>
      </c>
    </row>
    <row r="14" customFormat="false" ht="39.75" hidden="false" customHeight="true" outlineLevel="0" collapsed="false">
      <c r="A14" s="246" t="s">
        <v>13</v>
      </c>
      <c r="B14" s="246" t="s">
        <v>1621</v>
      </c>
      <c r="C14" s="499" t="s">
        <v>1622</v>
      </c>
      <c r="D14" s="499" t="s">
        <v>1623</v>
      </c>
    </row>
    <row r="15" customFormat="false" ht="39.75" hidden="false" customHeight="true" outlineLevel="0" collapsed="false">
      <c r="A15" s="246" t="s">
        <v>13</v>
      </c>
      <c r="B15" s="246" t="s">
        <v>1624</v>
      </c>
      <c r="C15" s="499" t="s">
        <v>1625</v>
      </c>
      <c r="D15" s="499" t="s">
        <v>1626</v>
      </c>
    </row>
    <row r="16" customFormat="false" ht="39.75" hidden="false" customHeight="true" outlineLevel="0" collapsed="false">
      <c r="A16" s="246" t="s">
        <v>13</v>
      </c>
      <c r="B16" s="246" t="s">
        <v>1627</v>
      </c>
      <c r="C16" s="499" t="s">
        <v>1628</v>
      </c>
      <c r="D16" s="499" t="s">
        <v>1629</v>
      </c>
    </row>
    <row r="17" customFormat="false" ht="39.75" hidden="false" customHeight="true" outlineLevel="0" collapsed="false">
      <c r="A17" s="246" t="s">
        <v>17</v>
      </c>
      <c r="B17" s="246" t="s">
        <v>1630</v>
      </c>
      <c r="C17" s="499" t="s">
        <v>1631</v>
      </c>
      <c r="D17" s="499" t="s">
        <v>1632</v>
      </c>
    </row>
    <row r="18" customFormat="false" ht="39.75" hidden="false" customHeight="true" outlineLevel="0" collapsed="false">
      <c r="A18" s="246" t="s">
        <v>720</v>
      </c>
      <c r="B18" s="246" t="s">
        <v>1633</v>
      </c>
      <c r="C18" s="499" t="s">
        <v>1634</v>
      </c>
      <c r="D18" s="499" t="s">
        <v>1635</v>
      </c>
    </row>
    <row r="19" customFormat="false" ht="39.75" hidden="false" customHeight="true" outlineLevel="0" collapsed="false">
      <c r="A19" s="246" t="s">
        <v>896</v>
      </c>
      <c r="B19" s="246" t="s">
        <v>1636</v>
      </c>
      <c r="C19" s="499" t="s">
        <v>1637</v>
      </c>
      <c r="D19" s="499" t="s">
        <v>1638</v>
      </c>
    </row>
    <row r="20" customFormat="false" ht="39.75" hidden="false" customHeight="true" outlineLevel="0" collapsed="false">
      <c r="A20" s="246" t="s">
        <v>40</v>
      </c>
      <c r="B20" s="246" t="s">
        <v>1639</v>
      </c>
      <c r="C20" s="499" t="s">
        <v>1640</v>
      </c>
      <c r="D20" s="499" t="s">
        <v>1641</v>
      </c>
    </row>
    <row r="21" customFormat="false" ht="39.75" hidden="false" customHeight="true" outlineLevel="0" collapsed="false">
      <c r="A21" s="246" t="s">
        <v>40</v>
      </c>
      <c r="B21" s="246" t="s">
        <v>1642</v>
      </c>
      <c r="C21" s="499" t="s">
        <v>1643</v>
      </c>
      <c r="D21" s="499" t="s">
        <v>1644</v>
      </c>
    </row>
    <row r="22" customFormat="false" ht="39.75" hidden="false" customHeight="true" outlineLevel="0" collapsed="false">
      <c r="A22" s="246" t="s">
        <v>40</v>
      </c>
      <c r="B22" s="246" t="s">
        <v>1645</v>
      </c>
      <c r="C22" s="499" t="s">
        <v>1646</v>
      </c>
      <c r="D22" s="499" t="s">
        <v>1647</v>
      </c>
    </row>
    <row r="23" customFormat="false" ht="39.75" hidden="false" customHeight="true" outlineLevel="0" collapsed="false">
      <c r="A23" s="246" t="s">
        <v>112</v>
      </c>
      <c r="B23" s="246" t="s">
        <v>1648</v>
      </c>
      <c r="C23" s="499" t="s">
        <v>1649</v>
      </c>
      <c r="D23" s="499" t="s">
        <v>1650</v>
      </c>
    </row>
    <row r="24" customFormat="false" ht="39.75" hidden="false" customHeight="true" outlineLevel="0" collapsed="false">
      <c r="A24" s="246" t="s">
        <v>112</v>
      </c>
      <c r="B24" s="246" t="s">
        <v>1651</v>
      </c>
      <c r="C24" s="499" t="s">
        <v>1652</v>
      </c>
      <c r="D24" s="499" t="s">
        <v>1653</v>
      </c>
    </row>
    <row r="25" customFormat="false" ht="39.75" hidden="false" customHeight="true" outlineLevel="0" collapsed="false">
      <c r="A25" s="246" t="s">
        <v>112</v>
      </c>
      <c r="B25" s="246" t="s">
        <v>1654</v>
      </c>
      <c r="C25" s="499" t="s">
        <v>1655</v>
      </c>
      <c r="D25" s="499" t="s">
        <v>1656</v>
      </c>
    </row>
    <row r="26" customFormat="false" ht="39.75" hidden="false" customHeight="true" outlineLevel="0" collapsed="false">
      <c r="A26" s="246" t="s">
        <v>112</v>
      </c>
      <c r="B26" s="246" t="s">
        <v>1657</v>
      </c>
      <c r="C26" s="499" t="s">
        <v>1658</v>
      </c>
      <c r="D26" s="499" t="s">
        <v>1659</v>
      </c>
    </row>
    <row r="27" customFormat="false" ht="39.75" hidden="false" customHeight="true" outlineLevel="0" collapsed="false">
      <c r="A27" s="246" t="s">
        <v>112</v>
      </c>
      <c r="B27" s="246" t="s">
        <v>1660</v>
      </c>
      <c r="C27" s="499" t="s">
        <v>1661</v>
      </c>
      <c r="D27" s="499" t="s">
        <v>1662</v>
      </c>
    </row>
    <row r="28" customFormat="false" ht="39.75" hidden="false" customHeight="true" outlineLevel="0" collapsed="false">
      <c r="A28" s="246" t="s">
        <v>887</v>
      </c>
      <c r="B28" s="246" t="s">
        <v>1663</v>
      </c>
      <c r="C28" s="499" t="s">
        <v>1664</v>
      </c>
      <c r="D28" s="499" t="s">
        <v>1665</v>
      </c>
    </row>
    <row r="29" customFormat="false" ht="39.75" hidden="false" customHeight="true" outlineLevel="0" collapsed="false">
      <c r="A29" s="246" t="s">
        <v>887</v>
      </c>
      <c r="B29" s="246" t="s">
        <v>1666</v>
      </c>
      <c r="C29" s="499" t="s">
        <v>1667</v>
      </c>
      <c r="D29" s="499" t="s">
        <v>1668</v>
      </c>
    </row>
  </sheetData>
  <mergeCells count="7">
    <mergeCell ref="B3:D3"/>
    <mergeCell ref="B4:D4"/>
    <mergeCell ref="B5:D5"/>
    <mergeCell ref="B6:D6"/>
    <mergeCell ref="B7:D7"/>
    <mergeCell ref="B8:D8"/>
    <mergeCell ref="B9:D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2020-12-20T23:38:57Z</dcterms:created>
  <dc:creator>Christina Ross</dc:creator>
  <dc:description/>
  <dc:language>en-US</dc:language>
  <cp:lastModifiedBy>lộc nguyễn</cp:lastModifiedBy>
  <dcterms:modified xsi:type="dcterms:W3CDTF">2026-10-01T13:13:58Z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